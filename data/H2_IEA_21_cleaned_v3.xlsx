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3"/>
  <workbookPr filterPrivacy="1" showInkAnnotation="0" updateLinks="never"/>
  <xr:revisionPtr revIDLastSave="0" documentId="8_{C51AF8A1-3790-C046-AC85-2BAFD7C092F0}" xr6:coauthVersionLast="47" xr6:coauthVersionMax="47" xr10:uidLastSave="{00000000-0000-0000-0000-000000000000}"/>
  <bookViews>
    <workbookView xWindow="0" yWindow="680" windowWidth="34200" windowHeight="20200" activeTab="2" xr2:uid="{00000000-000D-0000-FFFF-FFFF00000000}"/>
  </bookViews>
  <sheets>
    <sheet name="Notes" sheetId="22" r:id="rId1"/>
    <sheet name="Definitions and assumptions" sheetId="21" r:id="rId2"/>
    <sheet name="Projects" sheetId="18" r:id="rId3"/>
    <sheet name="References" sheetId="7" r:id="rId4"/>
    <sheet name="Lists" sheetId="16" state="hidden" r:id="rId5"/>
    <sheet name="Countries" sheetId="17" state="hidden" r:id="rId6"/>
    <sheet name="References (quality check)" sheetId="24" r:id="rId7"/>
  </sheets>
  <externalReferences>
    <externalReference r:id="rId8"/>
    <externalReference r:id="rId9"/>
    <externalReference r:id="rId10"/>
  </externalReferences>
  <definedNames>
    <definedName name="_xlnm._FilterDatabase" localSheetId="3" hidden="1">References!$A$2:$B$2</definedName>
    <definedName name="_xlnm._FilterDatabase" localSheetId="6" hidden="1">'References (quality check)'!$A$2:$E$2</definedName>
    <definedName name="ElectrolysisConvF" localSheetId="1">[1]Lists!$D$3:$F$6</definedName>
    <definedName name="ElectrolysisConvF" localSheetId="0">[1]Lists!$D$3:$F$6</definedName>
    <definedName name="ElectrolysisConvF">Lists!$D$3:$F$6</definedName>
    <definedName name="H2dens">0.089</definedName>
    <definedName name="HoursInYear">8760</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93" i="18" l="1"/>
  <c r="AE993" i="18" s="1"/>
  <c r="AB989" i="18"/>
  <c r="AE989" i="18" s="1"/>
  <c r="AA992" i="18"/>
  <c r="AB992" i="18" s="1"/>
  <c r="AB991" i="18"/>
  <c r="AE991" i="18" s="1"/>
  <c r="AC990" i="18"/>
  <c r="AB990" i="18" s="1"/>
  <c r="AE990" i="18" s="1"/>
  <c r="AA565" i="18"/>
  <c r="AC993" i="18" l="1"/>
  <c r="AC989" i="18"/>
  <c r="AE992" i="18"/>
  <c r="AC992" i="18"/>
  <c r="AC991" i="18"/>
  <c r="AA990" i="18"/>
  <c r="AC939" i="18" l="1"/>
  <c r="AB503" i="18" l="1"/>
  <c r="AB966" i="18" l="1"/>
  <c r="AE966" i="18" s="1"/>
  <c r="AA966" i="18" l="1"/>
  <c r="AA284" i="18" l="1"/>
  <c r="AC273" i="18" l="1"/>
  <c r="AB565" i="18" l="1"/>
  <c r="AA718" i="18"/>
  <c r="AA987" i="18" l="1"/>
  <c r="AB551" i="18" l="1"/>
  <c r="AE551" i="18" s="1"/>
  <c r="AC551" i="18" l="1"/>
  <c r="I833" i="18" l="1"/>
  <c r="J833" i="18" s="1"/>
  <c r="I864" i="18"/>
  <c r="J864" i="18" s="1"/>
  <c r="I874" i="18"/>
  <c r="J874" i="18" s="1"/>
  <c r="I875" i="18"/>
  <c r="J875" i="18" s="1"/>
  <c r="I876" i="18"/>
  <c r="J876" i="18" s="1"/>
  <c r="I879" i="18"/>
  <c r="J879" i="18" s="1"/>
  <c r="I883" i="18"/>
  <c r="J883" i="18" s="1"/>
  <c r="I884" i="18"/>
  <c r="J884" i="18" s="1"/>
  <c r="I885" i="18"/>
  <c r="J885" i="18" s="1"/>
  <c r="I886" i="18"/>
  <c r="J886" i="18" s="1"/>
  <c r="I887" i="18"/>
  <c r="J887" i="18" s="1"/>
  <c r="I888" i="18"/>
  <c r="J888" i="18" s="1"/>
  <c r="I889" i="18"/>
  <c r="J889" i="18" s="1"/>
  <c r="I897" i="18"/>
  <c r="J897" i="18" s="1"/>
  <c r="I898" i="18"/>
  <c r="J898" i="18" s="1"/>
  <c r="I908" i="18"/>
  <c r="J908" i="18" s="1"/>
  <c r="I916" i="18"/>
  <c r="J916" i="18" s="1"/>
  <c r="I938" i="18"/>
  <c r="J938" i="18" s="1"/>
  <c r="I950" i="18"/>
  <c r="J950" i="18" s="1"/>
  <c r="I951" i="18"/>
  <c r="J951" i="18" s="1"/>
  <c r="I952" i="18"/>
  <c r="J952" i="18" s="1"/>
  <c r="I954" i="18"/>
  <c r="J954" i="18" s="1"/>
  <c r="I958" i="18"/>
  <c r="J958" i="18" s="1"/>
  <c r="I959" i="18"/>
  <c r="J959" i="18" s="1"/>
  <c r="I972" i="18"/>
  <c r="J972" i="18" s="1"/>
  <c r="I974" i="18"/>
  <c r="J974" i="18" s="1"/>
  <c r="I978" i="18"/>
  <c r="J978" i="18" s="1"/>
  <c r="I979" i="18"/>
  <c r="J979" i="18" s="1"/>
  <c r="I984" i="18"/>
  <c r="J984" i="18" s="1"/>
  <c r="J818" i="18"/>
  <c r="J819" i="18"/>
  <c r="J821" i="18"/>
  <c r="J822" i="18"/>
  <c r="J823" i="18"/>
  <c r="J824" i="18"/>
  <c r="J825" i="18"/>
  <c r="J830" i="18"/>
  <c r="J842" i="18"/>
  <c r="J845" i="18"/>
  <c r="J857" i="18"/>
  <c r="J877" i="18"/>
  <c r="J892" i="18"/>
  <c r="J901" i="18"/>
  <c r="J902" i="18"/>
  <c r="J903" i="18"/>
  <c r="J904" i="18"/>
  <c r="J905" i="18"/>
  <c r="J906" i="18"/>
  <c r="J907" i="18"/>
  <c r="J922" i="18"/>
  <c r="J924" i="18"/>
  <c r="J933" i="18"/>
  <c r="J939" i="18"/>
  <c r="J940" i="18"/>
  <c r="J957" i="18"/>
  <c r="AA833" i="18"/>
  <c r="AA848" i="18"/>
  <c r="AA864" i="18"/>
  <c r="AA874" i="18"/>
  <c r="AA875" i="18"/>
  <c r="AA876" i="18"/>
  <c r="AA883" i="18"/>
  <c r="AA884" i="18"/>
  <c r="AA885" i="18"/>
  <c r="AA886" i="18"/>
  <c r="AA887" i="18"/>
  <c r="AA888" i="18"/>
  <c r="AA889" i="18"/>
  <c r="AA897" i="18"/>
  <c r="AA916" i="18"/>
  <c r="AA938" i="18"/>
  <c r="AA950" i="18"/>
  <c r="AA951" i="18"/>
  <c r="AA954" i="18"/>
  <c r="AA958" i="18"/>
  <c r="AA959" i="18"/>
  <c r="AA974" i="18"/>
  <c r="AA978" i="18"/>
  <c r="AA979" i="18"/>
  <c r="AA980" i="18"/>
  <c r="AA984" i="18"/>
  <c r="AB985" i="18"/>
  <c r="AC985" i="18" s="1"/>
  <c r="AE984" i="18"/>
  <c r="AB984" i="18"/>
  <c r="AB983" i="18"/>
  <c r="AE983" i="18" s="1"/>
  <c r="AB982" i="18"/>
  <c r="AC982" i="18" s="1"/>
  <c r="AB981" i="18"/>
  <c r="AC981" i="18" s="1"/>
  <c r="AE980" i="18"/>
  <c r="I980" i="18"/>
  <c r="J980" i="18" s="1"/>
  <c r="AE979" i="18"/>
  <c r="AC979" i="18"/>
  <c r="AB979" i="18" s="1"/>
  <c r="AC978" i="18"/>
  <c r="AB978" i="18" s="1"/>
  <c r="AE978" i="18" s="1"/>
  <c r="AB976" i="18"/>
  <c r="AC976" i="18" s="1"/>
  <c r="AE975" i="18"/>
  <c r="AC975" i="18"/>
  <c r="AA975" i="18"/>
  <c r="AE974" i="18"/>
  <c r="AB973" i="18"/>
  <c r="AE973" i="18" s="1"/>
  <c r="AC972" i="18"/>
  <c r="AB972" i="18" s="1"/>
  <c r="AE972" i="18" s="1"/>
  <c r="AA972" i="18"/>
  <c r="AB971" i="18"/>
  <c r="AE971" i="18" s="1"/>
  <c r="AB965" i="18"/>
  <c r="AC965" i="18" s="1"/>
  <c r="AB964" i="18"/>
  <c r="AA964" i="18" s="1"/>
  <c r="AB963" i="18"/>
  <c r="AE963" i="18" s="1"/>
  <c r="AB962" i="18"/>
  <c r="AE962" i="18" s="1"/>
  <c r="AB961" i="18"/>
  <c r="AE961" i="18" s="1"/>
  <c r="AB960" i="18"/>
  <c r="AE960" i="18" s="1"/>
  <c r="AB959" i="18"/>
  <c r="AE959" i="18" s="1"/>
  <c r="AB958" i="18"/>
  <c r="AE958" i="18" s="1"/>
  <c r="AB957" i="18"/>
  <c r="AE957" i="18" s="1"/>
  <c r="AB956" i="18"/>
  <c r="AA956" i="18" s="1"/>
  <c r="AB955" i="18"/>
  <c r="AE955" i="18" s="1"/>
  <c r="AE954" i="18"/>
  <c r="AB954" i="18"/>
  <c r="AB953" i="18"/>
  <c r="AE953" i="18" s="1"/>
  <c r="AE952" i="18"/>
  <c r="AE951" i="18"/>
  <c r="AB950" i="18"/>
  <c r="AE950" i="18" s="1"/>
  <c r="AB949" i="18"/>
  <c r="AE949" i="18" s="1"/>
  <c r="AC948" i="18"/>
  <c r="AB948" i="18" s="1"/>
  <c r="AE948" i="18" s="1"/>
  <c r="AB947" i="18"/>
  <c r="AA947" i="18" s="1"/>
  <c r="AB946" i="18"/>
  <c r="AE946" i="18" s="1"/>
  <c r="AB944" i="18"/>
  <c r="AC944" i="18" s="1"/>
  <c r="AC943" i="18"/>
  <c r="AB943" i="18" s="1"/>
  <c r="AC940" i="18"/>
  <c r="AB940" i="18" s="1"/>
  <c r="AA940" i="18" s="1"/>
  <c r="AC938" i="18"/>
  <c r="AB938" i="18" s="1"/>
  <c r="AE938" i="18" s="1"/>
  <c r="AB937" i="18"/>
  <c r="AE937" i="18" s="1"/>
  <c r="AB936" i="18"/>
  <c r="AE936" i="18" s="1"/>
  <c r="AB935" i="18"/>
  <c r="AC935" i="18" s="1"/>
  <c r="AB934" i="18"/>
  <c r="AC934" i="18" s="1"/>
  <c r="AB933" i="18"/>
  <c r="AC933" i="18" s="1"/>
  <c r="AB932" i="18"/>
  <c r="AC932" i="18" s="1"/>
  <c r="AB931" i="18"/>
  <c r="AE931" i="18" s="1"/>
  <c r="AB930" i="18"/>
  <c r="AE930" i="18" s="1"/>
  <c r="AB929" i="18"/>
  <c r="AE929" i="18" s="1"/>
  <c r="AB928" i="18"/>
  <c r="AC928" i="18" s="1"/>
  <c r="AB927" i="18"/>
  <c r="AE927" i="18" s="1"/>
  <c r="AB926" i="18"/>
  <c r="AC926" i="18" s="1"/>
  <c r="AC924" i="18"/>
  <c r="AB924" i="18" s="1"/>
  <c r="AE924" i="18" s="1"/>
  <c r="AB923" i="18"/>
  <c r="AE923" i="18" s="1"/>
  <c r="AB922" i="18"/>
  <c r="AE922" i="18" s="1"/>
  <c r="AB921" i="18"/>
  <c r="AC921" i="18" s="1"/>
  <c r="AB920" i="18"/>
  <c r="AE920" i="18" s="1"/>
  <c r="AB919" i="18"/>
  <c r="AC919" i="18" s="1"/>
  <c r="AB917" i="18"/>
  <c r="AC917" i="18" s="1"/>
  <c r="AC916" i="18"/>
  <c r="AB916" i="18" s="1"/>
  <c r="AE916" i="18" s="1"/>
  <c r="AB915" i="18"/>
  <c r="AE915" i="18" s="1"/>
  <c r="AC914" i="18"/>
  <c r="AB914" i="18" s="1"/>
  <c r="AE914" i="18" s="1"/>
  <c r="AB910" i="18"/>
  <c r="AE910" i="18" s="1"/>
  <c r="AB909" i="18"/>
  <c r="AC909" i="18" s="1"/>
  <c r="AC908" i="18"/>
  <c r="AB908" i="18" s="1"/>
  <c r="AE908" i="18" s="1"/>
  <c r="AA908" i="18"/>
  <c r="AB907" i="18"/>
  <c r="AE907" i="18" s="1"/>
  <c r="AB906" i="18"/>
  <c r="AC906" i="18" s="1"/>
  <c r="AB905" i="18"/>
  <c r="AE905" i="18" s="1"/>
  <c r="AB904" i="18"/>
  <c r="AE904" i="18" s="1"/>
  <c r="AB903" i="18"/>
  <c r="AE903" i="18" s="1"/>
  <c r="AB902" i="18"/>
  <c r="AE902" i="18" s="1"/>
  <c r="AB901" i="18"/>
  <c r="AE901" i="18" s="1"/>
  <c r="AC900" i="18"/>
  <c r="AB900" i="18" s="1"/>
  <c r="AE898" i="18"/>
  <c r="AE897" i="18"/>
  <c r="J896" i="18"/>
  <c r="AB894" i="18"/>
  <c r="AC894" i="18" s="1"/>
  <c r="AE889" i="18"/>
  <c r="AE888" i="18"/>
  <c r="AE887" i="18"/>
  <c r="AE886" i="18"/>
  <c r="AE885" i="18"/>
  <c r="AE884" i="18"/>
  <c r="AE883" i="18"/>
  <c r="AB881" i="18"/>
  <c r="AE881" i="18" s="1"/>
  <c r="AC878" i="18"/>
  <c r="AB878" i="18" s="1"/>
  <c r="AA878" i="18" s="1"/>
  <c r="AB877" i="18"/>
  <c r="AC877" i="18" s="1"/>
  <c r="AB876" i="18"/>
  <c r="AC876" i="18" s="1"/>
  <c r="AE875" i="18"/>
  <c r="AC875" i="18"/>
  <c r="AB875" i="18" s="1"/>
  <c r="AE874" i="18"/>
  <c r="AC874" i="18"/>
  <c r="AB874" i="18" s="1"/>
  <c r="AB873" i="18"/>
  <c r="AC873" i="18" s="1"/>
  <c r="AB871" i="18"/>
  <c r="AC871" i="18" s="1"/>
  <c r="AB870" i="18"/>
  <c r="AC870" i="18" s="1"/>
  <c r="AB866" i="18"/>
  <c r="AE866" i="18" s="1"/>
  <c r="AB865" i="18"/>
  <c r="AE865" i="18" s="1"/>
  <c r="AE864" i="18"/>
  <c r="AC864" i="18"/>
  <c r="AB864" i="18" s="1"/>
  <c r="AB863" i="18"/>
  <c r="AE863" i="18" s="1"/>
  <c r="AB862" i="18"/>
  <c r="AE862" i="18" s="1"/>
  <c r="AA861" i="18"/>
  <c r="AB861" i="18" s="1"/>
  <c r="AA860" i="18"/>
  <c r="AB860" i="18" s="1"/>
  <c r="AE860" i="18" s="1"/>
  <c r="AB859" i="18"/>
  <c r="AE859" i="18" s="1"/>
  <c r="AB858" i="18"/>
  <c r="AC858" i="18" s="1"/>
  <c r="AB857" i="18"/>
  <c r="AC857" i="18" s="1"/>
  <c r="AB854" i="18"/>
  <c r="AC854" i="18" s="1"/>
  <c r="AC853" i="18"/>
  <c r="AB853" i="18" s="1"/>
  <c r="AA853" i="18" s="1"/>
  <c r="AC852" i="18"/>
  <c r="AB852" i="18" s="1"/>
  <c r="AB851" i="18"/>
  <c r="AE851" i="18" s="1"/>
  <c r="AB850" i="18"/>
  <c r="AC850" i="18" s="1"/>
  <c r="AB849" i="18"/>
  <c r="AE849" i="18" s="1"/>
  <c r="AE848" i="18"/>
  <c r="AC848" i="18"/>
  <c r="AB848" i="18" s="1"/>
  <c r="I848" i="18"/>
  <c r="J848" i="18" s="1"/>
  <c r="J847" i="18"/>
  <c r="J846" i="18"/>
  <c r="AC845" i="18"/>
  <c r="AB845" i="18" s="1"/>
  <c r="AE845" i="18" s="1"/>
  <c r="AB844" i="18"/>
  <c r="AE844" i="18" s="1"/>
  <c r="AB842" i="18"/>
  <c r="AE842" i="18" s="1"/>
  <c r="AB841" i="18"/>
  <c r="AE841" i="18" s="1"/>
  <c r="AB840" i="18"/>
  <c r="AE840" i="18" s="1"/>
  <c r="AB839" i="18"/>
  <c r="AC839" i="18" s="1"/>
  <c r="AB838" i="18"/>
  <c r="AC838" i="18" s="1"/>
  <c r="AB837" i="18"/>
  <c r="AC837" i="18" s="1"/>
  <c r="AB836" i="18"/>
  <c r="AC836" i="18" s="1"/>
  <c r="AB835" i="18"/>
  <c r="AC835" i="18" s="1"/>
  <c r="AB834" i="18"/>
  <c r="AC834" i="18" s="1"/>
  <c r="AB833" i="18"/>
  <c r="AE833" i="18" s="1"/>
  <c r="AB832" i="18"/>
  <c r="AE832" i="18" s="1"/>
  <c r="AB831" i="18"/>
  <c r="AE831" i="18" s="1"/>
  <c r="AB829" i="18"/>
  <c r="AE829" i="18" s="1"/>
  <c r="AB828" i="18"/>
  <c r="AC828" i="18" s="1"/>
  <c r="AB827" i="18"/>
  <c r="AE827" i="18" s="1"/>
  <c r="AB826" i="18"/>
  <c r="AE826" i="18" s="1"/>
  <c r="AE825" i="18"/>
  <c r="AC825" i="18"/>
  <c r="AA825" i="18"/>
  <c r="AB824" i="18"/>
  <c r="AE824" i="18" s="1"/>
  <c r="AB823" i="18"/>
  <c r="AE823" i="18" s="1"/>
  <c r="AB822" i="18"/>
  <c r="AE822" i="18" s="1"/>
  <c r="AB821" i="18"/>
  <c r="AE821" i="18" s="1"/>
  <c r="AB820" i="18"/>
  <c r="AE820" i="18" s="1"/>
  <c r="J820" i="18"/>
  <c r="AB819" i="18"/>
  <c r="AE819" i="18" s="1"/>
  <c r="AB818" i="18"/>
  <c r="AC818" i="18" s="1"/>
  <c r="AE926" i="18" l="1"/>
  <c r="AE943" i="18"/>
  <c r="AA943" i="18"/>
  <c r="AE876" i="18"/>
  <c r="AE834" i="18"/>
  <c r="AA914" i="18"/>
  <c r="AA961" i="18"/>
  <c r="AE965" i="18"/>
  <c r="AA962" i="18"/>
  <c r="AE818" i="18"/>
  <c r="AA845" i="18"/>
  <c r="AE906" i="18"/>
  <c r="AE917" i="18"/>
  <c r="AE932" i="18"/>
  <c r="AE956" i="18"/>
  <c r="AE839" i="18"/>
  <c r="AE858" i="18"/>
  <c r="AE928" i="18"/>
  <c r="AE940" i="18"/>
  <c r="AE947" i="18"/>
  <c r="AE985" i="18"/>
  <c r="AE870" i="18"/>
  <c r="AA948" i="18"/>
  <c r="AE871" i="18"/>
  <c r="AE976" i="18"/>
  <c r="AE921" i="18"/>
  <c r="AC937" i="18"/>
  <c r="AC955" i="18"/>
  <c r="AC957" i="18"/>
  <c r="AA960" i="18"/>
  <c r="AC983" i="18"/>
  <c r="AE944" i="18"/>
  <c r="AE873" i="18"/>
  <c r="AE934" i="18"/>
  <c r="AA946" i="18"/>
  <c r="AE838" i="18"/>
  <c r="AC829" i="18"/>
  <c r="AA924" i="18"/>
  <c r="AC822" i="18"/>
  <c r="AE836" i="18"/>
  <c r="AE877" i="18"/>
  <c r="AE894" i="18"/>
  <c r="AE981" i="18"/>
  <c r="AC971" i="18"/>
  <c r="AC851" i="18"/>
  <c r="AC849" i="18"/>
  <c r="AE854" i="18"/>
  <c r="AC862" i="18"/>
  <c r="AE909" i="18"/>
  <c r="AC920" i="18"/>
  <c r="AC930" i="18"/>
  <c r="AC936" i="18"/>
  <c r="AC949" i="18"/>
  <c r="AE982" i="18"/>
  <c r="AC823" i="18"/>
  <c r="AC904" i="18"/>
  <c r="AC907" i="18"/>
  <c r="AE850" i="18"/>
  <c r="AE852" i="18"/>
  <c r="AA852" i="18"/>
  <c r="AA900" i="18"/>
  <c r="AE900" i="18"/>
  <c r="AE861" i="18"/>
  <c r="AC861" i="18"/>
  <c r="AC953" i="18"/>
  <c r="AE837" i="18"/>
  <c r="AC903" i="18"/>
  <c r="AE933" i="18"/>
  <c r="AC819" i="18"/>
  <c r="AC905" i="18"/>
  <c r="AC821" i="18"/>
  <c r="AE828" i="18"/>
  <c r="AC831" i="18"/>
  <c r="AE835" i="18"/>
  <c r="AC842" i="18"/>
  <c r="AC865" i="18"/>
  <c r="AE878" i="18"/>
  <c r="AE919" i="18"/>
  <c r="AC931" i="18"/>
  <c r="AE935" i="18"/>
  <c r="AC824" i="18"/>
  <c r="AC826" i="18"/>
  <c r="AC840" i="18"/>
  <c r="AE857" i="18"/>
  <c r="AC863" i="18"/>
  <c r="AC901" i="18"/>
  <c r="AC910" i="18"/>
  <c r="AC922" i="18"/>
  <c r="AC927" i="18"/>
  <c r="AC929" i="18"/>
  <c r="AC859" i="18"/>
  <c r="AE964" i="18"/>
  <c r="AE853" i="18"/>
  <c r="AA963" i="18"/>
  <c r="AC820" i="18"/>
  <c r="AC827" i="18"/>
  <c r="AC832" i="18"/>
  <c r="AC841" i="18"/>
  <c r="AC844" i="18"/>
  <c r="AC860" i="18"/>
  <c r="AC866" i="18"/>
  <c r="AC881" i="18"/>
  <c r="AC902" i="18"/>
  <c r="AC915" i="18"/>
  <c r="AC923" i="18"/>
  <c r="AB750" i="18" l="1"/>
  <c r="AC750" i="18" s="1"/>
  <c r="AB749" i="18"/>
  <c r="AC749" i="18" s="1"/>
  <c r="AB454" i="18"/>
  <c r="AC454" i="18" s="1"/>
  <c r="AB455" i="18"/>
  <c r="AC455" i="18" s="1"/>
  <c r="AB456" i="18"/>
  <c r="AE454" i="18" l="1"/>
  <c r="AB507" i="18" l="1"/>
  <c r="AE507" i="18" s="1"/>
  <c r="AC303" i="18" l="1"/>
  <c r="AB303" i="18" s="1"/>
  <c r="AC674" i="18" l="1"/>
  <c r="AC663" i="18" l="1"/>
  <c r="AB663" i="18" s="1"/>
  <c r="AB624" i="18"/>
  <c r="AE624" i="18" s="1"/>
  <c r="AC624" i="18" l="1"/>
  <c r="AE456" i="18"/>
  <c r="AC549" i="18" l="1"/>
  <c r="AB549" i="18" s="1"/>
  <c r="AE549" i="18" s="1"/>
  <c r="AB298" i="18"/>
  <c r="AE298" i="18" s="1"/>
  <c r="AB569" i="18"/>
  <c r="AC569" i="18" s="1"/>
  <c r="AB442" i="18"/>
  <c r="AE442" i="18" s="1"/>
  <c r="AC298" i="18" l="1"/>
  <c r="AE569" i="18"/>
  <c r="AC442" i="18"/>
  <c r="AB477" i="18"/>
  <c r="AE477" i="18" s="1"/>
  <c r="AC477" i="18" l="1"/>
  <c r="AC521" i="18"/>
  <c r="AB521" i="18" s="1"/>
  <c r="AE521" i="18" s="1"/>
  <c r="AA521" i="18" l="1"/>
  <c r="AB520" i="18"/>
  <c r="AC520" i="18" s="1"/>
  <c r="AE520" i="18" l="1"/>
  <c r="AB605" i="18"/>
  <c r="AE605" i="18" s="1"/>
  <c r="AC605" i="18" l="1"/>
  <c r="AE238" i="18"/>
  <c r="AC238" i="18"/>
  <c r="AB238" i="18" s="1"/>
  <c r="AE88" i="18"/>
  <c r="AC88" i="18"/>
  <c r="AB88" i="18"/>
  <c r="AC805" i="18" l="1"/>
  <c r="AB805" i="18" s="1"/>
  <c r="AE805" i="18" l="1"/>
  <c r="AA805" i="18"/>
  <c r="AB281" i="18"/>
  <c r="AB306" i="18"/>
  <c r="AE306" i="18" s="1"/>
  <c r="AB562" i="18"/>
  <c r="AE562" i="18" s="1"/>
  <c r="AB803" i="18"/>
  <c r="AE803" i="18" s="1"/>
  <c r="AB568" i="18"/>
  <c r="AE568" i="18" s="1"/>
  <c r="AB567" i="18"/>
  <c r="AE567" i="18" s="1"/>
  <c r="AB718" i="18"/>
  <c r="AC718" i="18" s="1"/>
  <c r="AB785" i="18"/>
  <c r="AC785" i="18" s="1"/>
  <c r="AC306" i="18" l="1"/>
  <c r="AC281" i="18"/>
  <c r="AE281" i="18"/>
  <c r="AC562" i="18"/>
  <c r="AA568" i="18"/>
  <c r="AC803" i="18"/>
  <c r="AC567" i="18"/>
  <c r="AE718" i="18"/>
  <c r="AE785" i="18"/>
  <c r="AB498" i="18"/>
  <c r="AE498" i="18" s="1"/>
  <c r="AB291" i="18"/>
  <c r="AE291" i="18" s="1"/>
  <c r="AC498" i="18" l="1"/>
  <c r="AC291" i="18"/>
  <c r="AB793" i="18"/>
  <c r="AC793" i="18" s="1"/>
  <c r="AE455" i="18"/>
  <c r="AE793" i="18" l="1"/>
  <c r="AB413" i="18"/>
  <c r="AA413" i="18" s="1"/>
  <c r="AC406" i="18" l="1"/>
  <c r="AB406" i="18" s="1"/>
  <c r="AE406" i="18" s="1"/>
  <c r="AC13" i="18" l="1"/>
  <c r="AB13" i="18" s="1"/>
  <c r="AA13" i="18" s="1"/>
  <c r="AB486" i="18" l="1"/>
  <c r="AB672" i="18" l="1"/>
  <c r="AE672" i="18" s="1"/>
  <c r="AB817" i="18"/>
  <c r="AE817" i="18" s="1"/>
  <c r="AB816" i="18"/>
  <c r="AE816" i="18" s="1"/>
  <c r="AB762" i="18"/>
  <c r="AC762" i="18" s="1"/>
  <c r="AC672" i="18" l="1"/>
  <c r="AC817" i="18"/>
  <c r="AE762" i="18"/>
  <c r="AC816" i="18"/>
  <c r="AB815" i="18" l="1"/>
  <c r="AE815" i="18" s="1"/>
  <c r="AC814" i="18"/>
  <c r="AB814" i="18" s="1"/>
  <c r="AE813" i="18"/>
  <c r="AB812" i="18"/>
  <c r="AE812" i="18" s="1"/>
  <c r="AE811" i="18"/>
  <c r="AE810" i="18"/>
  <c r="AB810" i="18"/>
  <c r="AB809" i="18"/>
  <c r="AC809" i="18" s="1"/>
  <c r="AE808" i="18"/>
  <c r="AC807" i="18"/>
  <c r="AB807" i="18" s="1"/>
  <c r="AE807" i="18" s="1"/>
  <c r="AB806" i="18"/>
  <c r="AE806" i="18" s="1"/>
  <c r="AC812" i="18" l="1"/>
  <c r="AA807" i="18"/>
  <c r="AA814" i="18"/>
  <c r="AE814" i="18"/>
  <c r="AC806" i="18"/>
  <c r="AE809" i="18"/>
  <c r="AC815" i="18"/>
  <c r="AB545" i="18" l="1"/>
  <c r="AE545" i="18" s="1"/>
  <c r="AA545" i="18" l="1"/>
  <c r="AB199" i="18"/>
  <c r="AC199" i="18" s="1"/>
  <c r="AE199" i="18" l="1"/>
  <c r="AB804" i="18" l="1"/>
  <c r="AC804" i="18" s="1"/>
  <c r="AE804" i="18" l="1"/>
  <c r="AB802" i="18"/>
  <c r="AE802" i="18" s="1"/>
  <c r="I802" i="18"/>
  <c r="AC802" i="18" l="1"/>
  <c r="AB800" i="18"/>
  <c r="AE800" i="18" s="1"/>
  <c r="AB799" i="18"/>
  <c r="AE799" i="18" s="1"/>
  <c r="AA799" i="18" l="1"/>
  <c r="AA800" i="18"/>
  <c r="AE798" i="18"/>
  <c r="AB798" i="18"/>
  <c r="AA798" i="18"/>
  <c r="AB797" i="18"/>
  <c r="AC797" i="18" s="1"/>
  <c r="AC796" i="18"/>
  <c r="AB796" i="18" s="1"/>
  <c r="AE796" i="18" s="1"/>
  <c r="AA796" i="18"/>
  <c r="I796" i="18"/>
  <c r="J796" i="18" s="1"/>
  <c r="I795" i="18"/>
  <c r="J795" i="18" s="1"/>
  <c r="AB794" i="18"/>
  <c r="AE794" i="18" s="1"/>
  <c r="AB792" i="18"/>
  <c r="AE792" i="18" s="1"/>
  <c r="AB791" i="18"/>
  <c r="AE791" i="18" s="1"/>
  <c r="AB790" i="18"/>
  <c r="AC790" i="18" s="1"/>
  <c r="AC794" i="18" l="1"/>
  <c r="AE797" i="18"/>
  <c r="AE790" i="18"/>
  <c r="AC792" i="18"/>
  <c r="AC791" i="18"/>
  <c r="AB680" i="18"/>
  <c r="AE680" i="18" s="1"/>
  <c r="AB325" i="18"/>
  <c r="AC325" i="18" s="1"/>
  <c r="AC680" i="18" l="1"/>
  <c r="AE325" i="18"/>
  <c r="AB787" i="18"/>
  <c r="AC787" i="18" s="1"/>
  <c r="AC786" i="18"/>
  <c r="AB786" i="18" s="1"/>
  <c r="AE786" i="18" l="1"/>
  <c r="AA786" i="18"/>
  <c r="AE787" i="18"/>
  <c r="AB784" i="18"/>
  <c r="AE784" i="18" s="1"/>
  <c r="AB783" i="18"/>
  <c r="AE783" i="18" s="1"/>
  <c r="AB782" i="18"/>
  <c r="AE782" i="18" s="1"/>
  <c r="AB781" i="18"/>
  <c r="AE781" i="18" s="1"/>
  <c r="AB780" i="18"/>
  <c r="AE780" i="18" s="1"/>
  <c r="AB779" i="18"/>
  <c r="AC779" i="18" s="1"/>
  <c r="AB778" i="18"/>
  <c r="AE778" i="18" s="1"/>
  <c r="AB510" i="18"/>
  <c r="AC510" i="18" s="1"/>
  <c r="AC781" i="18" l="1"/>
  <c r="AE510" i="18"/>
  <c r="AC778" i="18"/>
  <c r="AC782" i="18"/>
  <c r="AE779" i="18"/>
  <c r="AC780" i="18"/>
  <c r="AC783" i="18"/>
  <c r="AC784" i="18"/>
  <c r="AE776" i="18"/>
  <c r="AB776" i="18"/>
  <c r="AA776" i="18"/>
  <c r="AE775" i="18"/>
  <c r="AE774" i="18"/>
  <c r="AC773" i="18"/>
  <c r="AB773" i="18" s="1"/>
  <c r="AE773" i="18" s="1"/>
  <c r="AA773" i="18"/>
  <c r="AB772" i="18"/>
  <c r="AE772" i="18" s="1"/>
  <c r="AC772" i="18" l="1"/>
  <c r="AC602" i="18" l="1"/>
  <c r="AB602" i="18" s="1"/>
  <c r="AE602" i="18" s="1"/>
  <c r="AA602" i="18"/>
  <c r="AB604" i="18" l="1"/>
  <c r="AA604" i="18" s="1"/>
  <c r="AE604" i="18" l="1"/>
  <c r="AA771" i="18"/>
  <c r="AB769" i="18" l="1"/>
  <c r="AA769" i="18" s="1"/>
  <c r="AE769" i="18" l="1"/>
  <c r="J767" i="18"/>
  <c r="AB766" i="18" l="1"/>
  <c r="AE766" i="18" s="1"/>
  <c r="AB765" i="18"/>
  <c r="AC765" i="18" s="1"/>
  <c r="AB764" i="18"/>
  <c r="AE764" i="18" s="1"/>
  <c r="AC764" i="18" l="1"/>
  <c r="AE765" i="18"/>
  <c r="AC766" i="18"/>
  <c r="AA757" i="18" l="1"/>
  <c r="AB488" i="18" l="1"/>
  <c r="AB756" i="18" l="1"/>
  <c r="AE756" i="18" s="1"/>
  <c r="AA756" i="18"/>
  <c r="AB752" i="18" l="1"/>
  <c r="AE752" i="18" s="1"/>
  <c r="AC752" i="18" l="1"/>
  <c r="AC690" i="18" l="1"/>
  <c r="AB690" i="18" s="1"/>
  <c r="AA690" i="18" s="1"/>
  <c r="AC751" i="18" l="1"/>
  <c r="AB751" i="18" s="1"/>
  <c r="AA751" i="18" s="1"/>
  <c r="AC748" i="18"/>
  <c r="AB748" i="18" s="1"/>
  <c r="AA748" i="18" s="1"/>
  <c r="AC747" i="18"/>
  <c r="AB747" i="18" s="1"/>
  <c r="AA747" i="18" s="1"/>
  <c r="AC746" i="18"/>
  <c r="AB746" i="18" s="1"/>
  <c r="AA746" i="18" s="1"/>
  <c r="AC745" i="18"/>
  <c r="AB745" i="18" s="1"/>
  <c r="AA745" i="18" s="1"/>
  <c r="AB744" i="18"/>
  <c r="AC744" i="18" s="1"/>
  <c r="AB743" i="18"/>
  <c r="AC743" i="18" s="1"/>
  <c r="AB742" i="18"/>
  <c r="AC742" i="18" s="1"/>
  <c r="AB741" i="18"/>
  <c r="AC741" i="18" s="1"/>
  <c r="AB740" i="18"/>
  <c r="AA740" i="18" s="1"/>
  <c r="AB739" i="18"/>
  <c r="AC739" i="18" s="1"/>
  <c r="AB738" i="18"/>
  <c r="AC738" i="18" s="1"/>
  <c r="AB735" i="18"/>
  <c r="AC735" i="18" s="1"/>
  <c r="AB734" i="18"/>
  <c r="AC734" i="18" s="1"/>
  <c r="AB732" i="18"/>
  <c r="AA732" i="18"/>
  <c r="AB731" i="18"/>
  <c r="AC731" i="18" s="1"/>
  <c r="AB730" i="18"/>
  <c r="AC730" i="18" s="1"/>
  <c r="AB729" i="18"/>
  <c r="AB728" i="18"/>
  <c r="AB727" i="18"/>
  <c r="AC727" i="18" s="1"/>
  <c r="AB726" i="18"/>
  <c r="AA726" i="18" s="1"/>
  <c r="AB724" i="18"/>
  <c r="AC724" i="18" s="1"/>
  <c r="AB723" i="18"/>
  <c r="AC723" i="18" s="1"/>
  <c r="AB722" i="18"/>
  <c r="AC722" i="18" s="1"/>
  <c r="AB721" i="18"/>
  <c r="AC721" i="18" s="1"/>
  <c r="AB720" i="18"/>
  <c r="AC720" i="18" s="1"/>
  <c r="AB716" i="18"/>
  <c r="AC716" i="18" s="1"/>
  <c r="AB715" i="18"/>
  <c r="AC715" i="18" s="1"/>
  <c r="AB714" i="18"/>
  <c r="AC714" i="18" s="1"/>
  <c r="AB713" i="18"/>
  <c r="AC713" i="18" s="1"/>
  <c r="AB712" i="18"/>
  <c r="AC712" i="18" s="1"/>
  <c r="AC711" i="18"/>
  <c r="AA711" i="18"/>
  <c r="AB709" i="18"/>
  <c r="AC709" i="18" s="1"/>
  <c r="AB708" i="18"/>
  <c r="AC708" i="18" s="1"/>
  <c r="AB707" i="18"/>
  <c r="AC707" i="18" s="1"/>
  <c r="AB705" i="18"/>
  <c r="AC705" i="18" s="1"/>
  <c r="AB703" i="18"/>
  <c r="AC703" i="18" s="1"/>
  <c r="AC701" i="18"/>
  <c r="AB701" i="18" s="1"/>
  <c r="AA701" i="18" s="1"/>
  <c r="AB699" i="18"/>
  <c r="AC699" i="18" s="1"/>
  <c r="AB698" i="18"/>
  <c r="AC698" i="18" s="1"/>
  <c r="AB697" i="18"/>
  <c r="AC697" i="18" s="1"/>
  <c r="AB696" i="18"/>
  <c r="AC696" i="18" s="1"/>
  <c r="AC695" i="18"/>
  <c r="AA695" i="18"/>
  <c r="AB692" i="18"/>
  <c r="AC681" i="18"/>
  <c r="AB681" i="18" s="1"/>
  <c r="J751" i="18"/>
  <c r="J747" i="18"/>
  <c r="J744" i="18"/>
  <c r="J737" i="18"/>
  <c r="J736" i="18"/>
  <c r="J731" i="18"/>
  <c r="J730" i="18"/>
  <c r="J710" i="18"/>
  <c r="J709" i="18"/>
  <c r="J695" i="18"/>
  <c r="J691" i="18"/>
  <c r="J684" i="18"/>
  <c r="J682" i="18"/>
  <c r="J681" i="18"/>
  <c r="J679" i="18"/>
  <c r="J673" i="18"/>
  <c r="AB679" i="18"/>
  <c r="AB677" i="18"/>
  <c r="AC677" i="18" s="1"/>
  <c r="AB676" i="18"/>
  <c r="AC676" i="18" s="1"/>
  <c r="AB675" i="18"/>
  <c r="AB674" i="18"/>
  <c r="AB673" i="18"/>
  <c r="AC673" i="18" s="1"/>
  <c r="AB671" i="18"/>
  <c r="AE671" i="18" s="1"/>
  <c r="AB670" i="18"/>
  <c r="I669" i="18"/>
  <c r="J669" i="18" s="1"/>
  <c r="AB668" i="18"/>
  <c r="AE668" i="18" s="1"/>
  <c r="AE667" i="18"/>
  <c r="AC667" i="18"/>
  <c r="AB667" i="18" s="1"/>
  <c r="AA667" i="18"/>
  <c r="I667" i="18"/>
  <c r="J667" i="18" s="1"/>
  <c r="AB666" i="18"/>
  <c r="AC666" i="18" s="1"/>
  <c r="J666" i="18"/>
  <c r="AB664" i="18"/>
  <c r="AC664" i="18" s="1"/>
  <c r="I663" i="18"/>
  <c r="J663" i="18" s="1"/>
  <c r="AB662" i="18"/>
  <c r="I661" i="18"/>
  <c r="J661" i="18" s="1"/>
  <c r="AB660" i="18"/>
  <c r="AC660" i="18" s="1"/>
  <c r="J660" i="18"/>
  <c r="AE659" i="18"/>
  <c r="AC659" i="18"/>
  <c r="AB659" i="18" s="1"/>
  <c r="AA659" i="18"/>
  <c r="I659" i="18"/>
  <c r="J659" i="18" s="1"/>
  <c r="AE658" i="18"/>
  <c r="AC658" i="18"/>
  <c r="AB658" i="18" s="1"/>
  <c r="AA658" i="18"/>
  <c r="I658" i="18"/>
  <c r="J658" i="18" s="1"/>
  <c r="J657" i="18"/>
  <c r="AB656" i="18"/>
  <c r="AE656" i="18" s="1"/>
  <c r="J656" i="18"/>
  <c r="AB655" i="18"/>
  <c r="AC655" i="18" s="1"/>
  <c r="J653" i="18"/>
  <c r="J652" i="18"/>
  <c r="AB651" i="18"/>
  <c r="AC651" i="18" s="1"/>
  <c r="J651" i="18"/>
  <c r="J650" i="18"/>
  <c r="AB649" i="18"/>
  <c r="AC649" i="18" s="1"/>
  <c r="I649" i="18"/>
  <c r="J649" i="18" s="1"/>
  <c r="AB648" i="18"/>
  <c r="AE648" i="18" s="1"/>
  <c r="I648" i="18"/>
  <c r="J648" i="18" s="1"/>
  <c r="AB647" i="18"/>
  <c r="AE647" i="18" s="1"/>
  <c r="I647" i="18"/>
  <c r="J647" i="18" s="1"/>
  <c r="J646" i="18"/>
  <c r="J645" i="18"/>
  <c r="J644" i="18"/>
  <c r="AB641" i="18"/>
  <c r="AE641" i="18" s="1"/>
  <c r="AB640" i="18"/>
  <c r="AE640" i="18" s="1"/>
  <c r="AE639" i="18"/>
  <c r="AC639" i="18"/>
  <c r="AA639" i="18"/>
  <c r="J639" i="18"/>
  <c r="AE638" i="18"/>
  <c r="AC638" i="18"/>
  <c r="AA638" i="18"/>
  <c r="J638" i="18"/>
  <c r="AB633" i="18"/>
  <c r="AE633" i="18" s="1"/>
  <c r="AB632" i="18"/>
  <c r="AE632" i="18" s="1"/>
  <c r="J632" i="18"/>
  <c r="AB630" i="18"/>
  <c r="AC630" i="18" s="1"/>
  <c r="J629" i="18"/>
  <c r="AE628" i="18"/>
  <c r="AA628" i="18"/>
  <c r="I628" i="18"/>
  <c r="J628" i="18" s="1"/>
  <c r="AE627" i="18"/>
  <c r="AA627" i="18"/>
  <c r="I627" i="18"/>
  <c r="J627" i="18" s="1"/>
  <c r="AE626" i="18"/>
  <c r="AA626" i="18"/>
  <c r="I626" i="18"/>
  <c r="J626" i="18" s="1"/>
  <c r="AE625" i="18"/>
  <c r="AA625" i="18"/>
  <c r="I625" i="18"/>
  <c r="J625" i="18" s="1"/>
  <c r="AB622" i="18"/>
  <c r="AE622" i="18" s="1"/>
  <c r="AB621" i="18"/>
  <c r="AC621" i="18" s="1"/>
  <c r="AB620" i="18"/>
  <c r="AC620" i="18" s="1"/>
  <c r="AE619" i="18"/>
  <c r="AB619" i="18"/>
  <c r="AA619" i="18"/>
  <c r="I619" i="18"/>
  <c r="J619" i="18" s="1"/>
  <c r="AB618" i="18"/>
  <c r="AC618" i="18" s="1"/>
  <c r="AB617" i="18"/>
  <c r="AB616" i="18"/>
  <c r="AC616" i="18" s="1"/>
  <c r="AC615" i="18"/>
  <c r="AB615" i="18" s="1"/>
  <c r="AE615" i="18" s="1"/>
  <c r="AB614" i="18"/>
  <c r="AC614" i="18" s="1"/>
  <c r="AB613" i="18"/>
  <c r="AC613" i="18" s="1"/>
  <c r="J613" i="18"/>
  <c r="AB612" i="18"/>
  <c r="AB611" i="18"/>
  <c r="AE611" i="18" s="1"/>
  <c r="AB610" i="18"/>
  <c r="AC610" i="18" s="1"/>
  <c r="AB609" i="18"/>
  <c r="AC609" i="18" s="1"/>
  <c r="AB608" i="18"/>
  <c r="AC608" i="18" s="1"/>
  <c r="AB607" i="18"/>
  <c r="AB606" i="18"/>
  <c r="AC606" i="18" s="1"/>
  <c r="AC599" i="18"/>
  <c r="AB599" i="18" s="1"/>
  <c r="AD599" i="18" s="1"/>
  <c r="AE599" i="18" s="1"/>
  <c r="AB598" i="18"/>
  <c r="AC598" i="18" s="1"/>
  <c r="AB597" i="18"/>
  <c r="AB596" i="18"/>
  <c r="AC596" i="18" s="1"/>
  <c r="AB595" i="18"/>
  <c r="AE595" i="18" s="1"/>
  <c r="AB594" i="18"/>
  <c r="AE594" i="18" s="1"/>
  <c r="AB593" i="18"/>
  <c r="AE593" i="18" s="1"/>
  <c r="AB592" i="18"/>
  <c r="AE592" i="18" s="1"/>
  <c r="AB591" i="18"/>
  <c r="AC591" i="18" s="1"/>
  <c r="AB590" i="18"/>
  <c r="AC590" i="18" s="1"/>
  <c r="AB589" i="18"/>
  <c r="AB588" i="18"/>
  <c r="AC588" i="18" s="1"/>
  <c r="AB587" i="18"/>
  <c r="AE587" i="18" s="1"/>
  <c r="AB586" i="18"/>
  <c r="AE586" i="18" s="1"/>
  <c r="J586" i="18"/>
  <c r="AB585" i="18"/>
  <c r="AC585" i="18" s="1"/>
  <c r="AB584" i="18"/>
  <c r="J584" i="18"/>
  <c r="AB582" i="18"/>
  <c r="AA582" i="18"/>
  <c r="AB581" i="18"/>
  <c r="AE581" i="18" s="1"/>
  <c r="AB580" i="18"/>
  <c r="AC580" i="18" s="1"/>
  <c r="AB579" i="18"/>
  <c r="AE579" i="18" s="1"/>
  <c r="AB578" i="18"/>
  <c r="AE578" i="18" s="1"/>
  <c r="AB577" i="18"/>
  <c r="AC577" i="18" s="1"/>
  <c r="AB576" i="18"/>
  <c r="AC576" i="18" s="1"/>
  <c r="AB575" i="18"/>
  <c r="AB571" i="18"/>
  <c r="AC571" i="18" s="1"/>
  <c r="AB570" i="18"/>
  <c r="AE570" i="18" s="1"/>
  <c r="AB566" i="18"/>
  <c r="AC566" i="18" s="1"/>
  <c r="AC565" i="18"/>
  <c r="AB564" i="18"/>
  <c r="AB563" i="18"/>
  <c r="AC563" i="18" s="1"/>
  <c r="AB561" i="18"/>
  <c r="AA561" i="18" s="1"/>
  <c r="AB560" i="18"/>
  <c r="AC560" i="18" s="1"/>
  <c r="AE559" i="18"/>
  <c r="AC559" i="18"/>
  <c r="AA559" i="18"/>
  <c r="AB558" i="18"/>
  <c r="AC558" i="18" s="1"/>
  <c r="J558" i="18"/>
  <c r="AB557" i="18"/>
  <c r="AC557" i="18" s="1"/>
  <c r="J557" i="18"/>
  <c r="AB556" i="18"/>
  <c r="AC556" i="18" s="1"/>
  <c r="AC555" i="18"/>
  <c r="AB555" i="18" s="1"/>
  <c r="AE555" i="18" s="1"/>
  <c r="AB554" i="18"/>
  <c r="AC554" i="18" s="1"/>
  <c r="AB553" i="18"/>
  <c r="AC553" i="18" s="1"/>
  <c r="AB552" i="18"/>
  <c r="AE550" i="18"/>
  <c r="AC550" i="18"/>
  <c r="AA550" i="18"/>
  <c r="AE548" i="18"/>
  <c r="AC548" i="18"/>
  <c r="AA548" i="18"/>
  <c r="AE547" i="18"/>
  <c r="AC547" i="18"/>
  <c r="AA547" i="18"/>
  <c r="AA546" i="18"/>
  <c r="AB546" i="18" s="1"/>
  <c r="AB544" i="18"/>
  <c r="AE544" i="18" s="1"/>
  <c r="AB543" i="18"/>
  <c r="AE543" i="18" s="1"/>
  <c r="AB542" i="18"/>
  <c r="AC542" i="18" s="1"/>
  <c r="AB541" i="18"/>
  <c r="AE541" i="18" s="1"/>
  <c r="AD540" i="18"/>
  <c r="AE540" i="18" s="1"/>
  <c r="AC540" i="18"/>
  <c r="AB540" i="18" s="1"/>
  <c r="AE539" i="18"/>
  <c r="AC539" i="18"/>
  <c r="AA539" i="18"/>
  <c r="AB536" i="18"/>
  <c r="AE536" i="18" s="1"/>
  <c r="AB535" i="18"/>
  <c r="AC535" i="18" s="1"/>
  <c r="AB533" i="18"/>
  <c r="AE533" i="18" s="1"/>
  <c r="AB530" i="18"/>
  <c r="AC530" i="18" s="1"/>
  <c r="AB529" i="18"/>
  <c r="AC529" i="18" s="1"/>
  <c r="AB528" i="18"/>
  <c r="AC528" i="18" s="1"/>
  <c r="AB527" i="18"/>
  <c r="AB526" i="18"/>
  <c r="AB525" i="18"/>
  <c r="AE525" i="18" s="1"/>
  <c r="AB524" i="18"/>
  <c r="AE524" i="18" s="1"/>
  <c r="AB523" i="18"/>
  <c r="AE523" i="18" s="1"/>
  <c r="AB522" i="18"/>
  <c r="AC522" i="18" s="1"/>
  <c r="AB519" i="18"/>
  <c r="AC519" i="18" s="1"/>
  <c r="AE505" i="18"/>
  <c r="AE504" i="18"/>
  <c r="AE503" i="18"/>
  <c r="AC503" i="18"/>
  <c r="AB502" i="18"/>
  <c r="AC502" i="18" s="1"/>
  <c r="AB501" i="18"/>
  <c r="AC501" i="18" s="1"/>
  <c r="AB500" i="18"/>
  <c r="AC500" i="18" s="1"/>
  <c r="AB499" i="18"/>
  <c r="AE496" i="18"/>
  <c r="AE495" i="18"/>
  <c r="AC495" i="18"/>
  <c r="AA495" i="18"/>
  <c r="AB494" i="18"/>
  <c r="AC494" i="18" s="1"/>
  <c r="AB493" i="18"/>
  <c r="AC493" i="18" s="1"/>
  <c r="AB492" i="18"/>
  <c r="AB491" i="18"/>
  <c r="AB490" i="18"/>
  <c r="AE490" i="18" s="1"/>
  <c r="AB487" i="18"/>
  <c r="AC487" i="18" s="1"/>
  <c r="AE486" i="18"/>
  <c r="AE485" i="18"/>
  <c r="AB484" i="18"/>
  <c r="AE484" i="18" s="1"/>
  <c r="AB483" i="18"/>
  <c r="AE483" i="18" s="1"/>
  <c r="AB482" i="18"/>
  <c r="AC482" i="18" s="1"/>
  <c r="AE481" i="18"/>
  <c r="AC481" i="18"/>
  <c r="AA481" i="18"/>
  <c r="AE480" i="18"/>
  <c r="AE479" i="18"/>
  <c r="AB479" i="18"/>
  <c r="AD478" i="18"/>
  <c r="AE478" i="18" s="1"/>
  <c r="AC478" i="18"/>
  <c r="AB478" i="18" s="1"/>
  <c r="AB476" i="18"/>
  <c r="AB475" i="18"/>
  <c r="AC475" i="18" s="1"/>
  <c r="AE474" i="18"/>
  <c r="AC474" i="18"/>
  <c r="AB473" i="18"/>
  <c r="AB471" i="18"/>
  <c r="AE471" i="18" s="1"/>
  <c r="AB470" i="18"/>
  <c r="AE470" i="18" s="1"/>
  <c r="AC469" i="18"/>
  <c r="AB469" i="18" s="1"/>
  <c r="AE469" i="18" s="1"/>
  <c r="AB468" i="18"/>
  <c r="AB467" i="18"/>
  <c r="AC466" i="18"/>
  <c r="AB466" i="18" s="1"/>
  <c r="AC465" i="18"/>
  <c r="AB465" i="18" s="1"/>
  <c r="AB464" i="18"/>
  <c r="AC464" i="18" s="1"/>
  <c r="AC463" i="18"/>
  <c r="AB463" i="18" s="1"/>
  <c r="AE463" i="18" s="1"/>
  <c r="AB460" i="18"/>
  <c r="AB459" i="18"/>
  <c r="AB457" i="18"/>
  <c r="AE457" i="18" s="1"/>
  <c r="AC453" i="18"/>
  <c r="AB453" i="18" s="1"/>
  <c r="AE453" i="18" s="1"/>
  <c r="AB452" i="18"/>
  <c r="AC451" i="18"/>
  <c r="AB451" i="18" s="1"/>
  <c r="AB450" i="18"/>
  <c r="AC450" i="18" s="1"/>
  <c r="AB449" i="18"/>
  <c r="AC449" i="18" s="1"/>
  <c r="AB448" i="18"/>
  <c r="AB444" i="18"/>
  <c r="AB443" i="18"/>
  <c r="AE443" i="18" s="1"/>
  <c r="AB441" i="18"/>
  <c r="AE441" i="18" s="1"/>
  <c r="AB440" i="18"/>
  <c r="AC440" i="18" s="1"/>
  <c r="AC439" i="18"/>
  <c r="AB439" i="18" s="1"/>
  <c r="AE439" i="18" s="1"/>
  <c r="AB438" i="18"/>
  <c r="AE438" i="18" s="1"/>
  <c r="AB437" i="18"/>
  <c r="AE437" i="18" s="1"/>
  <c r="AB436" i="18"/>
  <c r="AC436" i="18" s="1"/>
  <c r="AE433" i="18"/>
  <c r="AC433" i="18"/>
  <c r="AA433" i="18"/>
  <c r="AE430" i="18"/>
  <c r="AE429" i="18"/>
  <c r="AE427" i="18"/>
  <c r="AC427" i="18"/>
  <c r="AA427" i="18"/>
  <c r="AE426" i="18"/>
  <c r="AC426" i="18"/>
  <c r="AA426" i="18"/>
  <c r="AC425" i="18"/>
  <c r="AB425" i="18" s="1"/>
  <c r="AB424" i="18"/>
  <c r="AC424" i="18" s="1"/>
  <c r="AB423" i="18"/>
  <c r="AB422" i="18"/>
  <c r="AB421" i="18"/>
  <c r="AC421" i="18" s="1"/>
  <c r="AB420" i="18"/>
  <c r="AE420" i="18" s="1"/>
  <c r="AB419" i="18"/>
  <c r="AE419" i="18" s="1"/>
  <c r="AB418" i="18"/>
  <c r="AC418" i="18" s="1"/>
  <c r="AB417" i="18"/>
  <c r="AC417" i="18" s="1"/>
  <c r="AB416" i="18"/>
  <c r="AC416" i="18" s="1"/>
  <c r="AE415" i="18"/>
  <c r="AC415" i="18"/>
  <c r="AE414" i="18"/>
  <c r="AC414" i="18"/>
  <c r="AB412" i="18"/>
  <c r="AC412" i="18" s="1"/>
  <c r="AB411" i="18"/>
  <c r="AC411" i="18" s="1"/>
  <c r="AB410" i="18"/>
  <c r="AC410" i="18" s="1"/>
  <c r="AB409" i="18"/>
  <c r="AB408" i="18"/>
  <c r="AC407" i="18"/>
  <c r="AB407" i="18" s="1"/>
  <c r="AB405" i="18"/>
  <c r="AC405" i="18" s="1"/>
  <c r="AC404" i="18"/>
  <c r="AB404" i="18" s="1"/>
  <c r="AE404" i="18" s="1"/>
  <c r="AE403" i="18"/>
  <c r="AC403" i="18"/>
  <c r="AA403" i="18"/>
  <c r="AB402" i="18"/>
  <c r="AC402" i="18" s="1"/>
  <c r="AE401" i="18"/>
  <c r="AC401" i="18"/>
  <c r="AE398" i="18"/>
  <c r="AE397" i="18"/>
  <c r="AB397" i="18"/>
  <c r="AC397" i="18" s="1"/>
  <c r="AE396" i="18"/>
  <c r="AC396" i="18"/>
  <c r="AE395" i="18"/>
  <c r="AC395" i="18"/>
  <c r="AE394" i="18"/>
  <c r="AE393" i="18"/>
  <c r="AB392" i="18"/>
  <c r="AE392" i="18" s="1"/>
  <c r="AE391" i="18"/>
  <c r="AC391" i="18"/>
  <c r="AB390" i="18"/>
  <c r="AB389" i="18"/>
  <c r="AE389" i="18" s="1"/>
  <c r="AE388" i="18"/>
  <c r="AC388" i="18"/>
  <c r="AA388" i="18"/>
  <c r="AB386" i="18"/>
  <c r="AE386" i="18" s="1"/>
  <c r="AB385" i="18"/>
  <c r="AC385" i="18" s="1"/>
  <c r="AB384" i="18"/>
  <c r="AC384" i="18" s="1"/>
  <c r="AB383" i="18"/>
  <c r="AC383" i="18" s="1"/>
  <c r="AB382" i="18"/>
  <c r="AE379" i="18"/>
  <c r="AC379" i="18"/>
  <c r="AA379" i="18"/>
  <c r="AB378" i="18"/>
  <c r="AE378" i="18" s="1"/>
  <c r="AB377" i="18"/>
  <c r="AE377" i="18" s="1"/>
  <c r="AE376" i="18"/>
  <c r="AC376" i="18"/>
  <c r="AA376" i="18"/>
  <c r="AE375" i="18"/>
  <c r="AC375" i="18"/>
  <c r="AA375" i="18"/>
  <c r="AB374" i="18"/>
  <c r="AC374" i="18" s="1"/>
  <c r="AB373" i="18"/>
  <c r="AC373" i="18" s="1"/>
  <c r="AB372" i="18"/>
  <c r="AE371" i="18"/>
  <c r="AC371" i="18"/>
  <c r="AE370" i="18"/>
  <c r="AC370" i="18"/>
  <c r="AA370" i="18"/>
  <c r="AB369" i="18"/>
  <c r="AB368" i="18"/>
  <c r="AE367" i="18"/>
  <c r="AC367" i="18"/>
  <c r="AA367" i="18"/>
  <c r="AE366" i="18"/>
  <c r="AC366" i="18"/>
  <c r="AA366" i="18"/>
  <c r="AB365" i="18"/>
  <c r="AE365" i="18" s="1"/>
  <c r="AE364" i="18"/>
  <c r="AC364" i="18"/>
  <c r="AE363" i="18"/>
  <c r="AE362" i="18"/>
  <c r="AC362" i="18"/>
  <c r="AA362" i="18"/>
  <c r="AB361" i="18"/>
  <c r="AC361" i="18" s="1"/>
  <c r="AE360" i="18"/>
  <c r="AC360" i="18"/>
  <c r="AA360" i="18"/>
  <c r="AE359" i="18"/>
  <c r="AC359" i="18"/>
  <c r="AA359" i="18"/>
  <c r="AB358" i="18"/>
  <c r="AE358" i="18" s="1"/>
  <c r="AE357" i="18"/>
  <c r="AC357" i="18"/>
  <c r="AA357" i="18"/>
  <c r="AB354" i="18"/>
  <c r="AE354" i="18" s="1"/>
  <c r="AB353" i="18"/>
  <c r="AC353" i="18" s="1"/>
  <c r="AE352" i="18"/>
  <c r="AC352" i="18"/>
  <c r="AA352" i="18"/>
  <c r="AB351" i="18"/>
  <c r="AC351" i="18" s="1"/>
  <c r="AE350" i="18"/>
  <c r="AC350" i="18"/>
  <c r="AE349" i="18"/>
  <c r="AC349" i="18"/>
  <c r="AE348" i="18"/>
  <c r="AC348" i="18"/>
  <c r="AE346" i="18"/>
  <c r="AC346" i="18"/>
  <c r="AA346" i="18"/>
  <c r="AE345" i="18"/>
  <c r="AC345" i="18"/>
  <c r="AA345" i="18"/>
  <c r="AE344" i="18"/>
  <c r="AC344" i="18"/>
  <c r="AA344" i="18"/>
  <c r="AB343" i="18"/>
  <c r="AC343" i="18" s="1"/>
  <c r="AB340" i="18"/>
  <c r="AC340" i="18" s="1"/>
  <c r="AB339" i="18"/>
  <c r="AC339" i="18" s="1"/>
  <c r="AE338" i="18"/>
  <c r="AC338" i="18"/>
  <c r="AA338" i="18"/>
  <c r="AB337" i="18"/>
  <c r="AC333" i="18"/>
  <c r="AB333" i="18" s="1"/>
  <c r="AE332" i="18"/>
  <c r="AC332" i="18"/>
  <c r="AA332" i="18"/>
  <c r="AB331" i="18"/>
  <c r="AC331" i="18" s="1"/>
  <c r="AB330" i="18"/>
  <c r="AB329" i="18"/>
  <c r="AB328" i="18"/>
  <c r="AC328" i="18" s="1"/>
  <c r="AE327" i="18"/>
  <c r="AC327" i="18"/>
  <c r="AA327" i="18"/>
  <c r="AB323" i="18"/>
  <c r="AC323" i="18" s="1"/>
  <c r="AE322" i="18"/>
  <c r="AC322" i="18"/>
  <c r="AA322" i="18"/>
  <c r="AB321" i="18"/>
  <c r="AC321" i="18" s="1"/>
  <c r="AB320" i="18"/>
  <c r="AB319" i="18"/>
  <c r="AB318" i="18"/>
  <c r="AE318" i="18" s="1"/>
  <c r="AB317" i="18"/>
  <c r="AE317" i="18" s="1"/>
  <c r="AB316" i="18"/>
  <c r="AE316" i="18" s="1"/>
  <c r="AB315" i="18"/>
  <c r="AC315" i="18" s="1"/>
  <c r="AE314" i="18"/>
  <c r="AC314" i="18"/>
  <c r="AA314" i="18"/>
  <c r="AB313" i="18"/>
  <c r="AC313" i="18" s="1"/>
  <c r="AB312" i="18"/>
  <c r="AE312" i="18" s="1"/>
  <c r="AB311" i="18"/>
  <c r="AB310" i="18"/>
  <c r="AE310" i="18" s="1"/>
  <c r="AB309" i="18"/>
  <c r="AC309" i="18" s="1"/>
  <c r="AC308" i="18"/>
  <c r="AB308" i="18" s="1"/>
  <c r="AE308" i="18" s="1"/>
  <c r="AB307" i="18"/>
  <c r="AE305" i="18"/>
  <c r="AC305" i="18"/>
  <c r="AA305" i="18"/>
  <c r="AA304" i="18"/>
  <c r="AB304" i="18" s="1"/>
  <c r="AE304" i="18" s="1"/>
  <c r="AE303" i="18"/>
  <c r="AB302" i="18"/>
  <c r="AB300" i="18"/>
  <c r="AB299" i="18"/>
  <c r="AC299" i="18" s="1"/>
  <c r="AB297" i="18"/>
  <c r="AE297" i="18" s="1"/>
  <c r="AB296" i="18"/>
  <c r="AC296" i="18" s="1"/>
  <c r="AB295" i="18"/>
  <c r="AC295" i="18" s="1"/>
  <c r="AB294" i="18"/>
  <c r="AC294" i="18" s="1"/>
  <c r="AB293" i="18"/>
  <c r="AB292" i="18"/>
  <c r="AB290" i="18"/>
  <c r="AE290" i="18" s="1"/>
  <c r="AB289" i="18"/>
  <c r="AE289" i="18" s="1"/>
  <c r="AC288" i="18"/>
  <c r="AB288" i="18" s="1"/>
  <c r="AB287" i="18"/>
  <c r="AB286" i="18"/>
  <c r="AE286" i="18" s="1"/>
  <c r="AB285" i="18"/>
  <c r="AE285" i="18" s="1"/>
  <c r="AB284" i="18"/>
  <c r="AE284" i="18" s="1"/>
  <c r="AB283" i="18"/>
  <c r="AC283" i="18" s="1"/>
  <c r="AE282" i="18"/>
  <c r="AC282" i="18"/>
  <c r="AA282" i="18"/>
  <c r="AB280" i="18"/>
  <c r="AB279" i="18"/>
  <c r="AB278" i="18"/>
  <c r="AE278" i="18" s="1"/>
  <c r="AB277" i="18"/>
  <c r="AC277" i="18" s="1"/>
  <c r="AC276" i="18"/>
  <c r="AB276" i="18" s="1"/>
  <c r="AE276" i="18" s="1"/>
  <c r="AB275" i="18"/>
  <c r="AB274" i="18"/>
  <c r="AB273" i="18"/>
  <c r="AA273" i="18" s="1"/>
  <c r="AB272" i="18"/>
  <c r="AC272" i="18" s="1"/>
  <c r="AB271" i="18"/>
  <c r="AC271" i="18" s="1"/>
  <c r="AB270" i="18"/>
  <c r="AB269" i="18"/>
  <c r="AB268" i="18"/>
  <c r="AC268" i="18" s="1"/>
  <c r="AB267" i="18"/>
  <c r="AE267" i="18" s="1"/>
  <c r="AB266" i="18"/>
  <c r="AE266" i="18" s="1"/>
  <c r="AC265" i="18"/>
  <c r="AB265" i="18" s="1"/>
  <c r="AB264" i="18"/>
  <c r="AB263" i="18"/>
  <c r="AE263" i="18" s="1"/>
  <c r="AB262" i="18"/>
  <c r="AC262" i="18" s="1"/>
  <c r="AB261" i="18"/>
  <c r="AC261" i="18" s="1"/>
  <c r="AC259" i="18"/>
  <c r="AB259" i="18" s="1"/>
  <c r="AE259" i="18" s="1"/>
  <c r="AE258" i="18"/>
  <c r="AC258" i="18"/>
  <c r="AB257" i="18"/>
  <c r="AC257" i="18" s="1"/>
  <c r="AB256" i="18"/>
  <c r="AE256" i="18" s="1"/>
  <c r="AB255" i="18"/>
  <c r="AE255" i="18" s="1"/>
  <c r="AE254" i="18"/>
  <c r="AC254" i="18"/>
  <c r="AB253" i="18"/>
  <c r="AC253" i="18" s="1"/>
  <c r="AB252" i="18"/>
  <c r="AC252" i="18" s="1"/>
  <c r="AB251" i="18"/>
  <c r="AE251" i="18" s="1"/>
  <c r="AE250" i="18"/>
  <c r="AC250" i="18"/>
  <c r="AB248" i="18"/>
  <c r="AC248" i="18" s="1"/>
  <c r="AE247" i="18"/>
  <c r="AC247" i="18"/>
  <c r="AA247" i="18"/>
  <c r="AB246" i="18"/>
  <c r="AE246" i="18" s="1"/>
  <c r="AB245" i="18"/>
  <c r="AE245" i="18" s="1"/>
  <c r="AC244" i="18"/>
  <c r="AB244" i="18" s="1"/>
  <c r="AE244" i="18" s="1"/>
  <c r="AB243" i="18"/>
  <c r="AE243" i="18" s="1"/>
  <c r="AC241" i="18"/>
  <c r="AE240" i="18"/>
  <c r="AE239" i="18"/>
  <c r="AC239" i="18"/>
  <c r="AA239" i="18"/>
  <c r="AB237" i="18"/>
  <c r="AC237" i="18" s="1"/>
  <c r="AE236" i="18"/>
  <c r="AC236" i="18"/>
  <c r="AB235" i="18"/>
  <c r="AE235" i="18" s="1"/>
  <c r="AE234" i="18"/>
  <c r="AC234" i="18"/>
  <c r="AB233" i="18"/>
  <c r="AE233" i="18" s="1"/>
  <c r="AC230" i="18"/>
  <c r="AB230" i="18" s="1"/>
  <c r="AA230" i="18" s="1"/>
  <c r="AE229" i="18"/>
  <c r="AC229" i="18"/>
  <c r="AB228" i="18"/>
  <c r="AE228" i="18" s="1"/>
  <c r="AB226" i="18"/>
  <c r="AC226" i="18" s="1"/>
  <c r="AE225" i="18"/>
  <c r="AC225" i="18"/>
  <c r="AA225" i="18"/>
  <c r="AB224" i="18"/>
  <c r="AE224" i="18" s="1"/>
  <c r="AE223" i="18"/>
  <c r="AC223" i="18"/>
  <c r="AA223" i="18"/>
  <c r="AB220" i="18"/>
  <c r="AE220" i="18" s="1"/>
  <c r="AB219" i="18"/>
  <c r="AE219" i="18" s="1"/>
  <c r="AE217" i="18"/>
  <c r="AC217" i="18"/>
  <c r="AA217" i="18"/>
  <c r="AB216" i="18"/>
  <c r="AC216" i="18" s="1"/>
  <c r="AE215" i="18"/>
  <c r="AC215" i="18"/>
  <c r="AE214" i="18"/>
  <c r="AC214" i="18"/>
  <c r="AB213" i="18"/>
  <c r="AE213" i="18" s="1"/>
  <c r="AC212" i="18"/>
  <c r="AB212" i="18" s="1"/>
  <c r="AE212" i="18" s="1"/>
  <c r="AB210" i="18"/>
  <c r="AE210" i="18" s="1"/>
  <c r="AB209" i="18"/>
  <c r="AC209" i="18" s="1"/>
  <c r="AB208" i="18"/>
  <c r="AC208" i="18" s="1"/>
  <c r="AB207" i="18"/>
  <c r="AC207" i="18" s="1"/>
  <c r="AB206" i="18"/>
  <c r="AC206" i="18" s="1"/>
  <c r="AC205" i="18"/>
  <c r="AB205" i="18" s="1"/>
  <c r="AB204" i="18"/>
  <c r="AE204" i="18" s="1"/>
  <c r="AB203" i="18"/>
  <c r="AA203" i="18" s="1"/>
  <c r="AE202" i="18"/>
  <c r="AC202" i="18"/>
  <c r="AE201" i="18"/>
  <c r="AC201" i="18"/>
  <c r="AA201" i="18"/>
  <c r="AB200" i="18"/>
  <c r="AC200" i="18" s="1"/>
  <c r="AB198" i="18"/>
  <c r="AE198" i="18" s="1"/>
  <c r="AB197" i="18"/>
  <c r="AE197" i="18" s="1"/>
  <c r="AE196" i="18"/>
  <c r="AC196" i="18"/>
  <c r="AE195" i="18"/>
  <c r="AC195" i="18"/>
  <c r="AB194" i="18"/>
  <c r="AC194" i="18" s="1"/>
  <c r="AE193" i="18"/>
  <c r="AC193" i="18"/>
  <c r="AA193" i="18"/>
  <c r="AB192" i="18"/>
  <c r="AE192" i="18" s="1"/>
  <c r="AE191" i="18"/>
  <c r="AC191" i="18"/>
  <c r="AE190" i="18"/>
  <c r="AC190" i="18"/>
  <c r="AA190" i="18"/>
  <c r="AE189" i="18"/>
  <c r="AC189" i="18"/>
  <c r="AA189" i="18"/>
  <c r="AB187" i="18"/>
  <c r="AE187" i="18" s="1"/>
  <c r="AE186" i="18"/>
  <c r="AC186" i="18"/>
  <c r="AA186" i="18"/>
  <c r="AB185" i="18"/>
  <c r="AE185" i="18" s="1"/>
  <c r="AB184" i="18"/>
  <c r="AE184" i="18" s="1"/>
  <c r="AE183" i="18"/>
  <c r="AC183" i="18"/>
  <c r="AB182" i="18"/>
  <c r="AE182" i="18" s="1"/>
  <c r="AE181" i="18"/>
  <c r="AC181" i="18"/>
  <c r="AA181" i="18"/>
  <c r="AB180" i="18"/>
  <c r="AE180" i="18" s="1"/>
  <c r="AE179" i="18"/>
  <c r="AC179" i="18"/>
  <c r="AE178" i="18"/>
  <c r="AC178" i="18"/>
  <c r="AA178" i="18"/>
  <c r="AB177" i="18"/>
  <c r="AE177" i="18" s="1"/>
  <c r="AB176" i="18"/>
  <c r="AC176" i="18" s="1"/>
  <c r="AE175" i="18"/>
  <c r="AC175" i="18"/>
  <c r="AA175" i="18"/>
  <c r="AE174" i="18"/>
  <c r="AC174" i="18"/>
  <c r="AA174" i="18"/>
  <c r="AB173" i="18"/>
  <c r="AE173" i="18" s="1"/>
  <c r="AE172" i="18"/>
  <c r="AC172" i="18"/>
  <c r="AA172" i="18"/>
  <c r="AE171" i="18"/>
  <c r="AC171" i="18"/>
  <c r="AA171" i="18"/>
  <c r="AB170" i="18"/>
  <c r="AC170" i="18" s="1"/>
  <c r="AB169" i="18"/>
  <c r="AE169" i="18" s="1"/>
  <c r="AB168" i="18"/>
  <c r="AC168" i="18" s="1"/>
  <c r="AB167" i="18"/>
  <c r="AC167" i="18" s="1"/>
  <c r="AB166" i="18"/>
  <c r="AC166" i="18" s="1"/>
  <c r="AE165" i="18"/>
  <c r="AC165" i="18"/>
  <c r="AB164" i="18"/>
  <c r="AC164" i="18" s="1"/>
  <c r="AE163" i="18"/>
  <c r="AC163" i="18"/>
  <c r="AA163" i="18"/>
  <c r="AE162" i="18"/>
  <c r="AC162" i="18"/>
  <c r="AA162" i="18"/>
  <c r="AB160" i="18"/>
  <c r="AE160" i="18" s="1"/>
  <c r="AB159" i="18"/>
  <c r="AE159" i="18" s="1"/>
  <c r="AB158" i="18"/>
  <c r="AC158" i="18" s="1"/>
  <c r="AE157" i="18"/>
  <c r="AC157" i="18"/>
  <c r="AA157" i="18"/>
  <c r="AE156" i="18"/>
  <c r="AC156" i="18"/>
  <c r="AB155" i="18"/>
  <c r="AC155" i="18" s="1"/>
  <c r="AE154" i="18"/>
  <c r="AC154" i="18"/>
  <c r="AA154" i="18"/>
  <c r="AE153" i="18"/>
  <c r="AC153" i="18"/>
  <c r="AA153" i="18"/>
  <c r="AE152" i="18"/>
  <c r="AC152" i="18"/>
  <c r="AE151" i="18"/>
  <c r="AC151" i="18"/>
  <c r="AE150" i="18"/>
  <c r="AC150" i="18"/>
  <c r="AE149" i="18"/>
  <c r="AC149" i="18"/>
  <c r="AE147" i="18"/>
  <c r="AC147" i="18"/>
  <c r="AA147" i="18"/>
  <c r="AB146" i="18"/>
  <c r="AC146" i="18" s="1"/>
  <c r="AB145" i="18"/>
  <c r="AE145" i="18" s="1"/>
  <c r="AE144" i="18"/>
  <c r="AC144" i="18"/>
  <c r="AA144" i="18"/>
  <c r="AE143" i="18"/>
  <c r="AC143" i="18"/>
  <c r="AB142" i="18"/>
  <c r="AE142" i="18" s="1"/>
  <c r="AB141" i="18"/>
  <c r="AE141" i="18" s="1"/>
  <c r="AB140" i="18"/>
  <c r="AE140" i="18" s="1"/>
  <c r="AB139" i="18"/>
  <c r="AC139" i="18" s="1"/>
  <c r="AE138" i="18"/>
  <c r="AC138" i="18"/>
  <c r="AA138" i="18"/>
  <c r="AB136" i="18"/>
  <c r="AC136" i="18" s="1"/>
  <c r="AB135" i="18"/>
  <c r="AC135" i="18" s="1"/>
  <c r="AE134" i="18"/>
  <c r="AC134" i="18"/>
  <c r="AE133" i="18"/>
  <c r="AC133" i="18"/>
  <c r="AA133" i="18"/>
  <c r="AB132" i="18"/>
  <c r="AC132" i="18" s="1"/>
  <c r="AE131" i="18"/>
  <c r="AC131" i="18"/>
  <c r="AB130" i="18"/>
  <c r="AC130" i="18" s="1"/>
  <c r="AE129" i="18"/>
  <c r="AC129" i="18"/>
  <c r="AB128" i="18"/>
  <c r="AE128" i="18" s="1"/>
  <c r="AB127" i="18"/>
  <c r="AC127" i="18" s="1"/>
  <c r="AE125" i="18"/>
  <c r="AC125" i="18"/>
  <c r="AA125" i="18"/>
  <c r="AB124" i="18"/>
  <c r="AC124" i="18" s="1"/>
  <c r="AE123" i="18"/>
  <c r="AC123" i="18"/>
  <c r="AE122" i="18"/>
  <c r="AC122" i="18"/>
  <c r="AE119" i="18"/>
  <c r="AC119" i="18"/>
  <c r="AA119" i="18"/>
  <c r="AB118" i="18"/>
  <c r="AC118" i="18" s="1"/>
  <c r="AE117" i="18"/>
  <c r="AC117" i="18"/>
  <c r="AA117" i="18"/>
  <c r="AB116" i="18"/>
  <c r="AC116" i="18" s="1"/>
  <c r="AE115" i="18"/>
  <c r="AC115" i="18"/>
  <c r="AE114" i="18"/>
  <c r="AC114" i="18"/>
  <c r="AE113" i="18"/>
  <c r="AC113" i="18"/>
  <c r="AA113" i="18"/>
  <c r="AE112" i="18"/>
  <c r="AC112" i="18"/>
  <c r="AE111" i="18"/>
  <c r="AC111" i="18"/>
  <c r="AB110" i="18"/>
  <c r="AE110" i="18" s="1"/>
  <c r="AE109" i="18"/>
  <c r="AC109" i="18"/>
  <c r="AA109" i="18"/>
  <c r="AE108" i="18"/>
  <c r="AC108" i="18"/>
  <c r="AA108" i="18"/>
  <c r="AE107" i="18"/>
  <c r="AC107" i="18"/>
  <c r="AA107" i="18"/>
  <c r="AB106" i="18"/>
  <c r="AC106" i="18" s="1"/>
  <c r="AB105" i="18"/>
  <c r="AE105" i="18" s="1"/>
  <c r="AB104" i="18"/>
  <c r="AC104" i="18" s="1"/>
  <c r="AB103" i="18"/>
  <c r="AE103" i="18" s="1"/>
  <c r="AB102" i="18"/>
  <c r="AE102" i="18" s="1"/>
  <c r="AB101" i="18"/>
  <c r="AE101" i="18" s="1"/>
  <c r="AB99" i="18"/>
  <c r="AC99" i="18" s="1"/>
  <c r="AE98" i="18"/>
  <c r="AC98" i="18"/>
  <c r="AA98" i="18"/>
  <c r="AE97" i="18"/>
  <c r="AC97" i="18"/>
  <c r="AA97" i="18"/>
  <c r="AE96" i="18"/>
  <c r="AC96" i="18"/>
  <c r="AA96" i="18"/>
  <c r="AE95" i="18"/>
  <c r="AC95" i="18"/>
  <c r="AA95" i="18"/>
  <c r="AE94" i="18"/>
  <c r="AC94" i="18"/>
  <c r="AA94" i="18"/>
  <c r="AE93" i="18"/>
  <c r="AC93" i="18"/>
  <c r="AA93" i="18"/>
  <c r="AB92" i="18"/>
  <c r="AE92" i="18" s="1"/>
  <c r="AB91" i="18"/>
  <c r="AA91" i="18" s="1"/>
  <c r="AC90" i="18"/>
  <c r="AB90" i="18" s="1"/>
  <c r="AE86" i="18"/>
  <c r="AC86" i="18"/>
  <c r="AA86" i="18"/>
  <c r="AE85" i="18"/>
  <c r="AC85" i="18"/>
  <c r="AA85" i="18"/>
  <c r="AE84" i="18"/>
  <c r="AC84" i="18"/>
  <c r="AA84" i="18"/>
  <c r="AE83" i="18"/>
  <c r="AC83" i="18"/>
  <c r="AA83" i="18"/>
  <c r="AB82" i="18"/>
  <c r="AC82" i="18" s="1"/>
  <c r="AE81" i="18"/>
  <c r="AC81" i="18"/>
  <c r="AA81" i="18"/>
  <c r="AE80" i="18"/>
  <c r="AC80" i="18"/>
  <c r="AA80" i="18"/>
  <c r="AB79" i="18"/>
  <c r="AE79" i="18" s="1"/>
  <c r="AE78" i="18"/>
  <c r="AC78" i="18"/>
  <c r="AA78" i="18"/>
  <c r="AE77" i="18"/>
  <c r="AC77" i="18"/>
  <c r="AA77" i="18"/>
  <c r="AB76" i="18"/>
  <c r="AC76" i="18" s="1"/>
  <c r="AB75" i="18"/>
  <c r="AC75" i="18" s="1"/>
  <c r="AB74" i="18"/>
  <c r="AC74" i="18" s="1"/>
  <c r="AB73" i="18"/>
  <c r="AE73" i="18" s="1"/>
  <c r="AE72" i="18"/>
  <c r="AC72" i="18"/>
  <c r="AA72" i="18"/>
  <c r="AB71" i="18"/>
  <c r="AE71" i="18" s="1"/>
  <c r="AE70" i="18"/>
  <c r="AC70" i="18"/>
  <c r="AE69" i="18"/>
  <c r="AC69" i="18"/>
  <c r="AB68" i="18"/>
  <c r="AC68" i="18" s="1"/>
  <c r="AB67" i="18"/>
  <c r="AE67" i="18" s="1"/>
  <c r="AB66" i="18"/>
  <c r="AE66" i="18" s="1"/>
  <c r="AE65" i="18"/>
  <c r="AC65" i="18"/>
  <c r="AE63" i="18"/>
  <c r="AC63" i="18"/>
  <c r="AA63" i="18"/>
  <c r="AE62" i="18"/>
  <c r="AC62" i="18"/>
  <c r="AB61" i="18"/>
  <c r="AC61" i="18" s="1"/>
  <c r="AE60" i="18"/>
  <c r="AC60" i="18"/>
  <c r="AE59" i="18"/>
  <c r="AC59" i="18"/>
  <c r="AA59" i="18"/>
  <c r="AB58" i="18"/>
  <c r="AC58" i="18" s="1"/>
  <c r="AB57" i="18"/>
  <c r="AE57" i="18" s="1"/>
  <c r="AE56" i="18"/>
  <c r="AC56" i="18"/>
  <c r="AB55" i="18"/>
  <c r="AC55" i="18" s="1"/>
  <c r="AE53" i="18"/>
  <c r="AC53" i="18"/>
  <c r="AA53" i="18"/>
  <c r="AB52" i="18"/>
  <c r="AE52" i="18" s="1"/>
  <c r="AB51" i="18"/>
  <c r="AC51" i="18" s="1"/>
  <c r="AB50" i="18"/>
  <c r="AC50" i="18" s="1"/>
  <c r="AE49" i="18"/>
  <c r="AC49" i="18"/>
  <c r="AA49" i="18"/>
  <c r="AE48" i="18"/>
  <c r="AC48" i="18"/>
  <c r="AA48" i="18"/>
  <c r="AB47" i="18"/>
  <c r="AE47" i="18" s="1"/>
  <c r="AB46" i="18"/>
  <c r="AC46" i="18" s="1"/>
  <c r="AE45" i="18"/>
  <c r="AC45" i="18"/>
  <c r="AB44" i="18"/>
  <c r="AE44" i="18" s="1"/>
  <c r="AB43" i="18"/>
  <c r="AC43" i="18" s="1"/>
  <c r="AE42" i="18"/>
  <c r="AC42" i="18"/>
  <c r="AA42" i="18"/>
  <c r="AE41" i="18"/>
  <c r="AC41" i="18"/>
  <c r="AA41" i="18"/>
  <c r="AE40" i="18"/>
  <c r="AC40" i="18"/>
  <c r="AB39" i="18"/>
  <c r="AE39" i="18" s="1"/>
  <c r="AE38" i="18"/>
  <c r="AC38" i="18"/>
  <c r="AB37" i="18"/>
  <c r="AC37" i="18" s="1"/>
  <c r="AB36" i="18"/>
  <c r="AE36" i="18" s="1"/>
  <c r="AB35" i="18"/>
  <c r="AE35" i="18" s="1"/>
  <c r="AB34" i="18"/>
  <c r="AC34" i="18" s="1"/>
  <c r="AB33" i="18"/>
  <c r="AC33" i="18" s="1"/>
  <c r="AE32" i="18"/>
  <c r="AC32" i="18"/>
  <c r="AA32" i="18"/>
  <c r="AE31" i="18"/>
  <c r="AC31" i="18"/>
  <c r="AA31" i="18"/>
  <c r="AE30" i="18"/>
  <c r="AC30" i="18"/>
  <c r="AA30" i="18"/>
  <c r="AB29" i="18"/>
  <c r="AC29" i="18" s="1"/>
  <c r="AE28" i="18"/>
  <c r="AC28" i="18"/>
  <c r="AE27" i="18"/>
  <c r="AC27" i="18"/>
  <c r="AB26" i="18"/>
  <c r="AE26" i="18" s="1"/>
  <c r="AB25" i="18"/>
  <c r="AC25" i="18" s="1"/>
  <c r="AB24" i="18"/>
  <c r="AE24" i="18" s="1"/>
  <c r="AB23" i="18"/>
  <c r="AC23" i="18" s="1"/>
  <c r="AB22" i="18"/>
  <c r="AE22" i="18" s="1"/>
  <c r="AB21" i="18"/>
  <c r="AE21" i="18" s="1"/>
  <c r="AB20" i="18"/>
  <c r="AC20" i="18" s="1"/>
  <c r="AB19" i="18"/>
  <c r="AC19" i="18" s="1"/>
  <c r="AC18" i="18"/>
  <c r="AB18" i="18" s="1"/>
  <c r="AB16" i="18"/>
  <c r="AE16" i="18" s="1"/>
  <c r="AB15" i="18"/>
  <c r="AE15" i="18" s="1"/>
  <c r="AB14" i="18"/>
  <c r="AE14" i="18" s="1"/>
  <c r="AB12" i="18"/>
  <c r="AC12" i="18" s="1"/>
  <c r="AE11" i="18"/>
  <c r="AC11" i="18"/>
  <c r="AE10" i="18"/>
  <c r="AC10" i="18"/>
  <c r="AB9" i="18"/>
  <c r="AE9" i="18" s="1"/>
  <c r="AB8" i="18"/>
  <c r="AE8" i="18" s="1"/>
  <c r="AB7" i="18"/>
  <c r="AE7" i="18" s="1"/>
  <c r="AB6" i="18"/>
  <c r="AC6" i="18" s="1"/>
  <c r="AB5" i="18"/>
  <c r="AE5" i="18" s="1"/>
  <c r="AE124" i="18" l="1"/>
  <c r="AE585" i="18"/>
  <c r="AE309" i="18"/>
  <c r="AE519" i="18"/>
  <c r="AE167" i="18"/>
  <c r="AC184" i="18"/>
  <c r="AE502" i="18"/>
  <c r="AE535" i="18"/>
  <c r="AE620" i="18"/>
  <c r="AE135" i="18"/>
  <c r="AE194" i="18"/>
  <c r="AE321" i="18"/>
  <c r="AE132" i="18"/>
  <c r="AC210" i="18"/>
  <c r="AC285" i="18"/>
  <c r="AE328" i="18"/>
  <c r="AC358" i="18"/>
  <c r="AE299" i="18"/>
  <c r="AC471" i="18"/>
  <c r="AC441" i="18"/>
  <c r="AC26" i="18"/>
  <c r="AC140" i="18"/>
  <c r="AE268" i="18"/>
  <c r="AA312" i="18"/>
  <c r="AE565" i="18"/>
  <c r="AE76" i="18"/>
  <c r="AC79" i="18"/>
  <c r="AE237" i="18"/>
  <c r="AC523" i="18"/>
  <c r="AA15" i="18"/>
  <c r="AC9" i="18"/>
  <c r="AE676" i="18"/>
  <c r="AA265" i="18"/>
  <c r="AE265" i="18"/>
  <c r="AE58" i="18"/>
  <c r="AE277" i="18"/>
  <c r="AE417" i="18"/>
  <c r="AE561" i="18"/>
  <c r="AC611" i="18"/>
  <c r="AE155" i="18"/>
  <c r="AE402" i="18"/>
  <c r="AC438" i="18"/>
  <c r="AC470" i="18"/>
  <c r="AE6" i="18"/>
  <c r="AC16" i="18"/>
  <c r="AE46" i="18"/>
  <c r="AE55" i="18"/>
  <c r="AE99" i="18"/>
  <c r="AC105" i="18"/>
  <c r="AE116" i="18"/>
  <c r="AC198" i="18"/>
  <c r="AE257" i="18"/>
  <c r="AC278" i="18"/>
  <c r="AE283" i="18"/>
  <c r="AE315" i="18"/>
  <c r="AE418" i="18"/>
  <c r="AE475" i="18"/>
  <c r="AE487" i="18"/>
  <c r="AC524" i="18"/>
  <c r="AE542" i="18"/>
  <c r="AE104" i="18"/>
  <c r="AE206" i="18"/>
  <c r="AC386" i="18"/>
  <c r="AE576" i="18"/>
  <c r="AE262" i="18"/>
  <c r="AC310" i="18"/>
  <c r="AE482" i="18"/>
  <c r="AE528" i="18"/>
  <c r="AE25" i="18"/>
  <c r="AE29" i="18"/>
  <c r="AE139" i="18"/>
  <c r="AC235" i="18"/>
  <c r="AC263" i="18"/>
  <c r="AC483" i="18"/>
  <c r="AE673" i="18"/>
  <c r="AC5" i="18"/>
  <c r="AE566" i="18"/>
  <c r="AC593" i="18"/>
  <c r="AE12" i="18"/>
  <c r="AC47" i="18"/>
  <c r="AC101" i="18"/>
  <c r="AE166" i="18"/>
  <c r="AA204" i="18"/>
  <c r="AE410" i="18"/>
  <c r="AC419" i="18"/>
  <c r="AE130" i="18"/>
  <c r="AC317" i="18"/>
  <c r="AC389" i="18"/>
  <c r="AE501" i="18"/>
  <c r="AE522" i="18"/>
  <c r="AC525" i="18"/>
  <c r="AE580" i="18"/>
  <c r="AC592" i="18"/>
  <c r="AC14" i="18"/>
  <c r="AC57" i="18"/>
  <c r="AC365" i="18"/>
  <c r="AE385" i="18"/>
  <c r="AE411" i="18"/>
  <c r="AE610" i="18"/>
  <c r="AE666" i="18"/>
  <c r="AC648" i="18"/>
  <c r="AE288" i="18"/>
  <c r="AA288" i="18"/>
  <c r="AE421" i="18"/>
  <c r="AE19" i="18"/>
  <c r="AE23" i="18"/>
  <c r="AE33" i="18"/>
  <c r="AE37" i="18"/>
  <c r="AC44" i="18"/>
  <c r="AE50" i="18"/>
  <c r="AC67" i="18"/>
  <c r="AC71" i="18"/>
  <c r="AE74" i="18"/>
  <c r="AC92" i="18"/>
  <c r="AE136" i="18"/>
  <c r="AC159" i="18"/>
  <c r="AE170" i="18"/>
  <c r="AC173" i="18"/>
  <c r="AE176" i="18"/>
  <c r="AC182" i="18"/>
  <c r="AC185" i="18"/>
  <c r="AC192" i="18"/>
  <c r="AE203" i="18"/>
  <c r="AC286" i="18"/>
  <c r="AC289" i="18"/>
  <c r="AC297" i="18"/>
  <c r="AC318" i="18"/>
  <c r="AE340" i="18"/>
  <c r="AE353" i="18"/>
  <c r="AE374" i="18"/>
  <c r="AC377" i="18"/>
  <c r="AE450" i="18"/>
  <c r="AC490" i="18"/>
  <c r="AE530" i="18"/>
  <c r="AC536" i="18"/>
  <c r="AC543" i="18"/>
  <c r="AE557" i="18"/>
  <c r="AC578" i="18"/>
  <c r="AA581" i="18"/>
  <c r="AE590" i="18"/>
  <c r="AE598" i="18"/>
  <c r="AE608" i="18"/>
  <c r="AE651" i="18"/>
  <c r="AE106" i="18"/>
  <c r="AC177" i="18"/>
  <c r="AC180" i="18"/>
  <c r="AC251" i="18"/>
  <c r="AC256" i="18"/>
  <c r="AC267" i="18"/>
  <c r="AE271" i="18"/>
  <c r="AC290" i="18"/>
  <c r="AE294" i="18"/>
  <c r="AE323" i="18"/>
  <c r="AE343" i="18"/>
  <c r="AC354" i="18"/>
  <c r="AC392" i="18"/>
  <c r="AC437" i="18"/>
  <c r="AC443" i="18"/>
  <c r="AC484" i="18"/>
  <c r="AC533" i="18"/>
  <c r="AC541" i="18"/>
  <c r="AC586" i="18"/>
  <c r="AE591" i="18"/>
  <c r="AC594" i="18"/>
  <c r="AE609" i="18"/>
  <c r="AE660" i="18"/>
  <c r="AC24" i="18"/>
  <c r="AE68" i="18"/>
  <c r="AC7" i="18"/>
  <c r="AE20" i="18"/>
  <c r="AE34" i="18"/>
  <c r="AE51" i="18"/>
  <c r="AE75" i="18"/>
  <c r="AC103" i="18"/>
  <c r="AC142" i="18"/>
  <c r="AE164" i="18"/>
  <c r="AC197" i="18"/>
  <c r="AE209" i="18"/>
  <c r="AC219" i="18"/>
  <c r="AC284" i="18"/>
  <c r="AC316" i="18"/>
  <c r="AE351" i="18"/>
  <c r="AC378" i="18"/>
  <c r="AE384" i="18"/>
  <c r="AE412" i="18"/>
  <c r="AE416" i="18"/>
  <c r="AC420" i="18"/>
  <c r="AE424" i="18"/>
  <c r="AE440" i="18"/>
  <c r="AC457" i="18"/>
  <c r="AE464" i="18"/>
  <c r="AC579" i="18"/>
  <c r="AE618" i="18"/>
  <c r="AE621" i="18"/>
  <c r="AC145" i="18"/>
  <c r="AC39" i="18"/>
  <c r="AE127" i="18"/>
  <c r="AE146" i="18"/>
  <c r="AE168" i="18"/>
  <c r="AE261" i="18"/>
  <c r="AE272" i="18"/>
  <c r="AE295" i="18"/>
  <c r="AE613" i="18"/>
  <c r="AE649" i="18"/>
  <c r="AC22" i="18"/>
  <c r="AC36" i="18"/>
  <c r="AE43" i="18"/>
  <c r="AE61" i="18"/>
  <c r="AC73" i="18"/>
  <c r="AE82" i="18"/>
  <c r="AE118" i="18"/>
  <c r="AE158" i="18"/>
  <c r="AC169" i="18"/>
  <c r="AC187" i="18"/>
  <c r="AE216" i="18"/>
  <c r="AC220" i="18"/>
  <c r="AE248" i="18"/>
  <c r="AE273" i="18"/>
  <c r="AE296" i="18"/>
  <c r="AE494" i="18"/>
  <c r="AE529" i="18"/>
  <c r="AE577" i="18"/>
  <c r="AE677" i="18"/>
  <c r="AC632" i="18"/>
  <c r="AC633" i="18"/>
  <c r="AE553" i="18"/>
  <c r="AE560" i="18"/>
  <c r="AE554" i="18"/>
  <c r="AC640" i="18"/>
  <c r="AE655" i="18"/>
  <c r="AE614" i="18"/>
  <c r="AA205" i="18"/>
  <c r="AE205" i="18"/>
  <c r="AE90" i="18"/>
  <c r="AD90" i="18"/>
  <c r="AA18" i="18"/>
  <c r="AE18" i="18"/>
  <c r="AA128" i="18"/>
  <c r="AE200" i="18"/>
  <c r="AE226" i="18"/>
  <c r="AE230" i="18"/>
  <c r="AE253" i="18"/>
  <c r="AE264" i="18"/>
  <c r="AC264" i="18"/>
  <c r="AA276" i="18"/>
  <c r="AE292" i="18"/>
  <c r="AC292" i="18"/>
  <c r="AE300" i="18"/>
  <c r="AC300" i="18"/>
  <c r="AE313" i="18"/>
  <c r="AC330" i="18"/>
  <c r="AE330" i="18"/>
  <c r="AC382" i="18"/>
  <c r="AE382" i="18"/>
  <c r="AC448" i="18"/>
  <c r="AE448" i="18"/>
  <c r="AC492" i="18"/>
  <c r="AE492" i="18"/>
  <c r="AE526" i="18"/>
  <c r="AC526" i="18"/>
  <c r="AE564" i="18"/>
  <c r="AC564" i="18"/>
  <c r="AE575" i="18"/>
  <c r="AC575" i="18"/>
  <c r="AE617" i="18"/>
  <c r="AC617" i="18"/>
  <c r="AE279" i="18"/>
  <c r="AC279" i="18"/>
  <c r="AC293" i="18"/>
  <c r="AE293" i="18"/>
  <c r="AE459" i="18"/>
  <c r="AC459" i="18"/>
  <c r="AC527" i="18"/>
  <c r="AE527" i="18"/>
  <c r="AC8" i="18"/>
  <c r="AC21" i="18"/>
  <c r="AC35" i="18"/>
  <c r="AC52" i="18"/>
  <c r="AC66" i="18"/>
  <c r="AC102" i="18"/>
  <c r="AC110" i="18"/>
  <c r="AC141" i="18"/>
  <c r="AC160" i="18"/>
  <c r="AE207" i="18"/>
  <c r="AC224" i="18"/>
  <c r="AC228" i="18"/>
  <c r="AC233" i="18"/>
  <c r="AC246" i="18"/>
  <c r="AC280" i="18"/>
  <c r="AE280" i="18"/>
  <c r="AE331" i="18"/>
  <c r="AE383" i="18"/>
  <c r="AE405" i="18"/>
  <c r="AE422" i="18"/>
  <c r="AC422" i="18"/>
  <c r="AE449" i="18"/>
  <c r="AC460" i="18"/>
  <c r="AE460" i="18"/>
  <c r="AE493" i="18"/>
  <c r="AC499" i="18"/>
  <c r="AE499" i="18"/>
  <c r="AE670" i="18"/>
  <c r="AA670" i="18"/>
  <c r="AE287" i="18"/>
  <c r="AC287" i="18"/>
  <c r="AC307" i="18"/>
  <c r="AE307" i="18"/>
  <c r="AC423" i="18"/>
  <c r="AE423" i="18"/>
  <c r="AE546" i="18"/>
  <c r="AC546" i="18"/>
  <c r="AE584" i="18"/>
  <c r="AC584" i="18"/>
  <c r="AE675" i="18"/>
  <c r="AC675" i="18"/>
  <c r="AE679" i="18"/>
  <c r="AC679" i="18"/>
  <c r="AC302" i="18"/>
  <c r="AE302" i="18"/>
  <c r="AE208" i="18"/>
  <c r="AC243" i="18"/>
  <c r="AA308" i="18"/>
  <c r="AE311" i="18"/>
  <c r="AC311" i="18"/>
  <c r="AE339" i="18"/>
  <c r="AC372" i="18"/>
  <c r="AE372" i="18"/>
  <c r="AE467" i="18"/>
  <c r="AC467" i="18"/>
  <c r="AE476" i="18"/>
  <c r="AC476" i="18"/>
  <c r="AE500" i="18"/>
  <c r="AE589" i="18"/>
  <c r="AC589" i="18"/>
  <c r="AE597" i="18"/>
  <c r="AC597" i="18"/>
  <c r="AE607" i="18"/>
  <c r="AC607" i="18"/>
  <c r="AE662" i="18"/>
  <c r="AC662" i="18"/>
  <c r="AE269" i="18"/>
  <c r="AC269" i="18"/>
  <c r="AE368" i="18"/>
  <c r="AC368" i="18"/>
  <c r="AA407" i="18"/>
  <c r="AA439" i="18" s="1"/>
  <c r="AE407" i="18"/>
  <c r="AA451" i="18"/>
  <c r="AE451" i="18"/>
  <c r="AC468" i="18"/>
  <c r="AE468" i="18"/>
  <c r="AC213" i="18"/>
  <c r="AE252" i="18"/>
  <c r="AC266" i="18"/>
  <c r="AC270" i="18"/>
  <c r="AE270" i="18"/>
  <c r="AE274" i="18"/>
  <c r="AC274" i="18"/>
  <c r="AC304" i="18"/>
  <c r="AE319" i="18"/>
  <c r="AC319" i="18"/>
  <c r="AA333" i="18"/>
  <c r="AE333" i="18"/>
  <c r="AE361" i="18"/>
  <c r="AC369" i="18"/>
  <c r="AE369" i="18"/>
  <c r="AE373" i="18"/>
  <c r="AE408" i="18"/>
  <c r="AC408" i="18"/>
  <c r="AE425" i="18"/>
  <c r="AA425" i="18"/>
  <c r="AE452" i="18"/>
  <c r="AC452" i="18"/>
  <c r="AE473" i="18"/>
  <c r="AC473" i="18"/>
  <c r="AC275" i="18"/>
  <c r="AE275" i="18"/>
  <c r="AC320" i="18"/>
  <c r="AE320" i="18"/>
  <c r="AE329" i="18"/>
  <c r="AC329" i="18"/>
  <c r="AE337" i="18"/>
  <c r="AC337" i="18"/>
  <c r="AE390" i="18"/>
  <c r="AC390" i="18"/>
  <c r="AC409" i="18"/>
  <c r="AE409" i="18"/>
  <c r="AE444" i="18"/>
  <c r="AC444" i="18"/>
  <c r="AE491" i="18"/>
  <c r="AC491" i="18"/>
  <c r="AE552" i="18"/>
  <c r="AC552" i="18"/>
  <c r="AE612" i="18"/>
  <c r="AA612" i="18"/>
  <c r="AE556" i="18"/>
  <c r="AE558" i="18"/>
  <c r="AE563" i="18"/>
  <c r="AE571" i="18"/>
  <c r="AE588" i="18"/>
  <c r="AE596" i="18"/>
  <c r="AE606" i="18"/>
  <c r="AE616" i="18"/>
  <c r="AE630" i="18"/>
  <c r="AE664" i="18"/>
  <c r="AE674" i="18"/>
  <c r="AA555" i="18"/>
  <c r="AA615" i="18"/>
  <c r="AA622" i="18"/>
  <c r="AC544" i="18"/>
  <c r="AC570" i="18"/>
  <c r="AC587" i="18"/>
  <c r="AC595" i="18"/>
  <c r="AC641" i="18"/>
  <c r="AC647" i="18"/>
  <c r="AC656" i="18"/>
  <c r="AC668" i="18"/>
  <c r="AC671" i="18"/>
  <c r="AB939" i="18" l="1"/>
  <c r="AE939" i="18" s="1"/>
  <c r="AA939" i="18" l="1"/>
  <c r="AB665" i="18"/>
  <c r="AE665" i="18" s="1"/>
  <c r="AC665" i="18" l="1"/>
  <c r="AB684" i="18"/>
  <c r="AE684" i="18" l="1"/>
  <c r="AC684" i="18"/>
  <c r="AB685" i="18"/>
  <c r="AE685" i="18" s="1"/>
  <c r="AC685" i="18" l="1"/>
  <c r="AB689" i="18"/>
  <c r="AE689" i="18" l="1"/>
  <c r="AC689" i="18"/>
  <c r="AE690" i="18" l="1"/>
  <c r="AE692" i="18"/>
  <c r="AA692" i="18"/>
  <c r="AE716" i="18"/>
  <c r="AE696" i="18"/>
  <c r="AE730" i="18"/>
  <c r="AE747" i="18"/>
  <c r="AE724" i="18"/>
  <c r="AE699" i="18"/>
  <c r="AE751" i="18"/>
  <c r="AE720" i="18"/>
  <c r="AE708" i="18"/>
  <c r="AE744" i="18"/>
  <c r="AE713" i="18"/>
  <c r="AE715" i="18"/>
  <c r="AE722" i="18"/>
  <c r="AE714" i="18"/>
  <c r="AE729" i="18"/>
  <c r="AE740" i="18"/>
  <c r="AE710" i="18"/>
  <c r="AE749" i="18"/>
  <c r="AE707" i="18"/>
  <c r="AE732" i="18"/>
  <c r="AE704" i="18"/>
  <c r="AE709" i="18"/>
  <c r="AE723" i="18"/>
  <c r="AE733" i="18"/>
  <c r="AE712" i="18"/>
  <c r="AE731" i="18"/>
  <c r="AE698" i="18"/>
  <c r="AE695" i="18"/>
  <c r="AE743" i="18"/>
  <c r="AE706" i="18"/>
  <c r="AE750" i="18"/>
  <c r="AE742" i="18"/>
  <c r="AE748" i="18"/>
  <c r="AE703" i="18"/>
  <c r="AE705" i="18"/>
  <c r="AE721" i="18"/>
  <c r="AE746" i="18"/>
  <c r="AE745" i="18"/>
  <c r="AE735" i="18"/>
  <c r="AE734" i="18"/>
  <c r="AE701" i="18"/>
  <c r="AE739" i="18"/>
  <c r="AE727" i="18"/>
  <c r="AE711" i="18"/>
  <c r="AE741" i="18"/>
  <c r="AE726" i="18"/>
  <c r="AE738" i="18"/>
  <c r="AE697" i="18"/>
  <c r="AE728" i="18"/>
  <c r="AE681" i="18" l="1"/>
  <c r="AA681" i="18"/>
  <c r="AB754" i="18" l="1"/>
  <c r="AE754" i="18" s="1"/>
  <c r="AC754" i="18" l="1"/>
  <c r="AE488" i="18" l="1"/>
  <c r="AC488" i="18"/>
  <c r="AE757" i="18" l="1"/>
  <c r="AC757" i="18"/>
  <c r="AB758" i="18"/>
  <c r="AC758" i="18" l="1"/>
  <c r="AE758" i="18"/>
  <c r="AE755" i="18"/>
  <c r="AE753" i="18"/>
  <c r="AB759" i="18" l="1"/>
  <c r="AC759" i="18" s="1"/>
  <c r="AE759" i="18" l="1"/>
  <c r="AB760" i="18"/>
  <c r="AC760" i="18" l="1"/>
  <c r="AE760" i="18"/>
  <c r="AB761" i="18" l="1"/>
  <c r="AE761" i="18" s="1"/>
  <c r="AC761" i="18" l="1"/>
  <c r="AB767" i="18" l="1"/>
  <c r="AE767" i="18" l="1"/>
  <c r="AC767" i="18"/>
  <c r="AE768" i="18"/>
  <c r="AE771" i="18" l="1"/>
  <c r="AB771" i="18"/>
  <c r="AE801" i="18" l="1"/>
  <c r="AE678" i="18" l="1"/>
  <c r="AE688" i="18"/>
  <c r="AE687" i="18"/>
  <c r="AE686" i="18"/>
  <c r="AE682" i="18"/>
  <c r="AE683" i="18"/>
  <c r="AE702" i="18"/>
  <c r="AE693" i="18"/>
  <c r="AE700" i="18"/>
  <c r="AE691" i="18"/>
  <c r="AE694" i="18"/>
  <c r="AE725" i="18"/>
  <c r="AE737" i="18"/>
  <c r="AE717" i="18"/>
  <c r="AE719" i="18"/>
  <c r="AE770" i="18"/>
  <c r="AE777" i="18"/>
  <c r="AE763" i="18"/>
  <c r="AE788" i="18"/>
  <c r="AE789" i="18"/>
  <c r="AE795" i="18"/>
  <c r="AB736" i="18" l="1"/>
  <c r="AC736" i="18" s="1"/>
  <c r="AE736" i="18" l="1"/>
  <c r="AE899" i="18"/>
  <c r="AC899" i="18" l="1"/>
  <c r="AE856" i="18"/>
  <c r="AE893" i="18"/>
  <c r="AE882" i="18"/>
  <c r="AE830" i="18"/>
  <c r="AE855" i="18"/>
  <c r="AE967" i="18"/>
  <c r="AE847" i="18"/>
  <c r="AE867" i="18"/>
  <c r="AE892" i="18"/>
  <c r="AE879" i="18"/>
  <c r="AE911" i="18"/>
  <c r="AE846" i="18"/>
  <c r="AE869" i="18"/>
  <c r="AE872" i="18"/>
  <c r="AE942" i="18"/>
  <c r="AE912" i="18"/>
  <c r="AE970" i="18"/>
  <c r="AE868" i="18"/>
  <c r="AE880" i="18"/>
  <c r="AE913" i="18"/>
  <c r="AE918" i="18"/>
  <c r="AE977" i="18"/>
  <c r="AE925" i="18"/>
  <c r="AE969" i="18"/>
  <c r="AE843" i="18"/>
  <c r="AE945" i="18"/>
  <c r="AE941" i="18"/>
  <c r="AE968" i="18"/>
  <c r="AB896" i="18"/>
  <c r="AE896" i="18" s="1"/>
  <c r="AC896" i="18" l="1"/>
  <c r="AB895" i="18"/>
  <c r="AE895" i="18" s="1"/>
  <c r="AC895" i="18" l="1"/>
  <c r="AE891" i="18" l="1"/>
  <c r="AE890" i="18"/>
  <c r="AB986" i="18"/>
  <c r="AE986" i="18" s="1"/>
  <c r="AC986" i="18" l="1"/>
  <c r="AE987" i="18"/>
  <c r="AE988" i="18"/>
  <c r="AB489" i="18" l="1"/>
  <c r="AE489" i="18" l="1"/>
  <c r="AC489"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70" authorId="0" shapeId="0" xr:uid="{00000000-0006-0000-0200-000001000000}">
      <text>
        <r>
          <rPr>
            <b/>
            <sz val="9"/>
            <color indexed="81"/>
            <rFont val="Tahoma"/>
            <family val="2"/>
          </rPr>
          <t>Author:</t>
        </r>
        <r>
          <rPr>
            <sz val="9"/>
            <color indexed="81"/>
            <rFont val="Tahoma"/>
            <family val="2"/>
          </rPr>
          <t xml:space="preserve">
May include other projects already in the database</t>
        </r>
      </text>
    </comment>
    <comment ref="B271" authorId="0" shapeId="0" xr:uid="{00000000-0006-0000-0200-000002000000}">
      <text>
        <r>
          <rPr>
            <b/>
            <sz val="9"/>
            <color indexed="81"/>
            <rFont val="Tahoma"/>
            <family val="2"/>
          </rPr>
          <t>Author:</t>
        </r>
        <r>
          <rPr>
            <sz val="9"/>
            <color indexed="81"/>
            <rFont val="Tahoma"/>
            <family val="2"/>
          </rPr>
          <t xml:space="preserve">
May include other projects already in the database</t>
        </r>
      </text>
    </comment>
    <comment ref="B274" authorId="0" shapeId="0" xr:uid="{00000000-0006-0000-0200-000003000000}">
      <text>
        <r>
          <rPr>
            <b/>
            <sz val="9"/>
            <color indexed="81"/>
            <rFont val="Tahoma"/>
            <family val="2"/>
          </rPr>
          <t>Author:</t>
        </r>
        <r>
          <rPr>
            <sz val="9"/>
            <color indexed="81"/>
            <rFont val="Tahoma"/>
            <family val="2"/>
          </rPr>
          <t xml:space="preserve">
May include other projects already in the database</t>
        </r>
      </text>
    </comment>
    <comment ref="B276" authorId="0" shapeId="0" xr:uid="{00000000-0006-0000-0200-000004000000}">
      <text>
        <r>
          <rPr>
            <b/>
            <sz val="9"/>
            <color indexed="81"/>
            <rFont val="Tahoma"/>
            <family val="2"/>
          </rPr>
          <t>Author:</t>
        </r>
        <r>
          <rPr>
            <sz val="9"/>
            <color indexed="81"/>
            <rFont val="Tahoma"/>
            <family val="2"/>
          </rPr>
          <t xml:space="preserve">
May include other projects already in the database</t>
        </r>
      </text>
    </comment>
    <comment ref="B402" authorId="0" shapeId="0" xr:uid="{00000000-0006-0000-0200-000005000000}">
      <text>
        <r>
          <rPr>
            <b/>
            <sz val="9"/>
            <color indexed="81"/>
            <rFont val="Tahoma"/>
            <family val="2"/>
          </rPr>
          <t>Author:</t>
        </r>
        <r>
          <rPr>
            <sz val="9"/>
            <color indexed="81"/>
            <rFont val="Tahoma"/>
            <family val="2"/>
          </rPr>
          <t xml:space="preserve"> There are over 20 different projects with over 100 partners  under HYPOS, see: 
http://www.hypos-eastgermany.de/die-projektvorhaben/hypos-projekte/</t>
        </r>
      </text>
    </comment>
    <comment ref="B544" authorId="0" shapeId="0" xr:uid="{00000000-0006-0000-0200-000006000000}">
      <text>
        <r>
          <rPr>
            <b/>
            <sz val="9"/>
            <color indexed="81"/>
            <rFont val="Tahoma"/>
            <family val="2"/>
          </rPr>
          <t>Author:</t>
        </r>
        <r>
          <rPr>
            <sz val="9"/>
            <color indexed="81"/>
            <rFont val="Tahoma"/>
            <family val="2"/>
          </rPr>
          <t xml:space="preserve">
May include other projects already in the database</t>
        </r>
      </text>
    </comment>
    <comment ref="B618" authorId="0" shapeId="0" xr:uid="{00000000-0006-0000-0200-000007000000}">
      <text>
        <r>
          <rPr>
            <b/>
            <sz val="9"/>
            <color indexed="81"/>
            <rFont val="Tahoma"/>
            <family val="2"/>
          </rPr>
          <t>Author:</t>
        </r>
        <r>
          <rPr>
            <sz val="9"/>
            <color indexed="81"/>
            <rFont val="Tahoma"/>
            <family val="2"/>
          </rPr>
          <t xml:space="preserve">
May include other projects already in the database</t>
        </r>
      </text>
    </comment>
    <comment ref="B680" authorId="0" shapeId="0" xr:uid="{00000000-0006-0000-0200-000008000000}">
      <text>
        <r>
          <rPr>
            <b/>
            <sz val="9"/>
            <color indexed="81"/>
            <rFont val="Tahoma"/>
            <family val="2"/>
          </rPr>
          <t>Author:</t>
        </r>
        <r>
          <rPr>
            <sz val="9"/>
            <color indexed="81"/>
            <rFont val="Tahoma"/>
            <family val="2"/>
          </rPr>
          <t xml:space="preserve">
May include other projects already in the database</t>
        </r>
      </text>
    </comment>
    <comment ref="B789" authorId="0" shapeId="0" xr:uid="{00000000-0006-0000-0200-000009000000}">
      <text>
        <r>
          <rPr>
            <b/>
            <sz val="9"/>
            <color indexed="81"/>
            <rFont val="Tahoma"/>
            <family val="2"/>
          </rPr>
          <t>Author:</t>
        </r>
        <r>
          <rPr>
            <sz val="9"/>
            <color indexed="81"/>
            <rFont val="Tahoma"/>
            <family val="2"/>
          </rPr>
          <t xml:space="preserve">
May include other projects already in the database</t>
        </r>
      </text>
    </comment>
  </commentList>
</comments>
</file>

<file path=xl/sharedStrings.xml><?xml version="1.0" encoding="utf-8"?>
<sst xmlns="http://schemas.openxmlformats.org/spreadsheetml/2006/main" count="10724" uniqueCount="4152">
  <si>
    <t>Country</t>
  </si>
  <si>
    <t>Project name</t>
  </si>
  <si>
    <t>Technology</t>
  </si>
  <si>
    <t>References</t>
  </si>
  <si>
    <t>Number</t>
  </si>
  <si>
    <t>Reference</t>
  </si>
  <si>
    <t>ECTOS</t>
  </si>
  <si>
    <t xml:space="preserve">Energieinstitut an der Johannes Kepler Universität Linz. Power to Gas – eine Systemanalyse. Markt- und Technologiescouting und –analyse. Endbericht. 2014. https://www.ea.tuwien.ac.at/fileadmin/t/ea/projekte/PtG/Endbericht_-_Power_to_Gas_-_eine_Systemanalyse_-_2014.pdf </t>
  </si>
  <si>
    <t>European Power-to-Gas platform - Power-to-Gas demo database</t>
  </si>
  <si>
    <t>Bailera et al., 2017. Power to Gas projects review: Lab, pilot and demo plants for storing renewable energy and CO2. Renewable and Sustainable Energy Reviews 69 (2017) 292-312</t>
  </si>
  <si>
    <t>F. Smeets and D. Thomas, 2017, HyBALANCE : state-of-the-art PEM electrolysis paving the way to multi-MW renewable energy systems. HyBlance Inauguration Ceremony, Oevel, Belgium, 13 Feb. 2017.</t>
  </si>
  <si>
    <t>G. Gahleitner, 2013. Hydrogen from renewable electricity: an international review of power-to-gas pilot plants for stationary applications</t>
  </si>
  <si>
    <t>M. Gotz et al, 2015. Renewable Power-to-Gas: A technological and economic review</t>
  </si>
  <si>
    <t>Master’s Thesis - Vesa Vartiainen, 2016. SCREENING OF POWER TO GAS PROJECTS</t>
  </si>
  <si>
    <t>Alkaline vs PEM electrolysers: lessons learnt from Falkenhagen and WindGas Hamburg By Denis Thomas, Hydrogenics 2016</t>
  </si>
  <si>
    <t>Global screening of projects and technologies for Power-to-Gas and Bio-SNG, Henrik Iskov, Niels Bjarne Rasmussen, 2013</t>
  </si>
  <si>
    <t>Energiepark Mainz: Technical and economic analysis of the worldwide largest Power-to-Gas plant with PEM electrolysis, M.Kopp, 2016</t>
  </si>
  <si>
    <t>CO2-to-methanol: Nordic technology with global application, Benedikt Stefansson</t>
  </si>
  <si>
    <t>European Power-to-Gas website: http://www.europeanpowertogas.com/index</t>
  </si>
  <si>
    <t>Energy Storage Innovation in Europe: A mapping exercise, F. Geth et al, 2013</t>
  </si>
  <si>
    <t>Aeropila references file</t>
  </si>
  <si>
    <t>Air fuel synthesis pilot plant file</t>
  </si>
  <si>
    <t>Akershus energy park - HyNor lillestrom file</t>
  </si>
  <si>
    <t>Baglan Energy Park Wales file</t>
  </si>
  <si>
    <t>CO2RRECT: Storing electricity while simultaneously capturing CO2, 2013: http://kraftwerkforschung.info/en/co2rrect-storing-electricity-while-simultaneously-capturing-co2/page/0/</t>
  </si>
  <si>
    <t>George Olah Renewable Methanol Plant, https://web.archive.org/web/20130703233732/http://cri.is/index.php?option=com_content&amp;view=article&amp;id=14&amp;Itemid=8&amp;lang=en</t>
  </si>
  <si>
    <t>Carbon Recycling International Inc., https://en.wikipedia.org/wiki/Carbon_Recycling_International#cite_note-13</t>
  </si>
  <si>
    <t>Handbook of Clean Energy Systems, 6 Volume Set, Volume 5, edited by Jinyue Yan</t>
  </si>
  <si>
    <t>TECHNICAL ASSUMPTIONS, TECHNOLOGY DEMONSTRATION AND RESULTS P2G PROJECT Power-to-Gas project in Rozenburg, DNV GL</t>
  </si>
  <si>
    <t>Bio-SNG Güssing file</t>
  </si>
  <si>
    <t>http://www.repotec.at/index.php/95.html</t>
  </si>
  <si>
    <t>DTE Energy Hydrogen Technology Park, 2005 DOE Program Review</t>
  </si>
  <si>
    <t>DTE Energy Hydrogen Technology Park report</t>
  </si>
  <si>
    <t>Sustainability-report_2012_13 Julich forschungszentrum</t>
  </si>
  <si>
    <t>http://forschung-energiespeicher.info/en/wind-to-hydrogen/project-list/project-details//Neue_Materialien_senken_Kosten_bei_PEM_Elektrolyse/</t>
  </si>
  <si>
    <t>Elygrid Project, Dr. Luis Correas, Foundation for the Development of New Hydrogen Technologies in Aragon (Spain)</t>
  </si>
  <si>
    <t>http://www.itm-power.com/news-item/1mw-sale-to-zeag-energie-ag</t>
  </si>
  <si>
    <t>http://www.dlr.de/ra/en/desktopdefault.aspx/tabid-4058/6636_read-48445/</t>
  </si>
  <si>
    <t>http://www.powertogas.info/power-to-gas/pilotprojekte-im-ueberblick/windgas-falkenhagen/</t>
  </si>
  <si>
    <t>https://www.storeandgo.info/demonstration-sites/germany/</t>
  </si>
  <si>
    <t>Experience with the E.ON Power to Gas demo plant-Germany</t>
  </si>
  <si>
    <t>https://de.wikipedia.org/wiki/Power-to-Gas</t>
  </si>
  <si>
    <t>Bioenergy RES Hybrids in Germany, IEA Bioenergy, 2016</t>
  </si>
  <si>
    <t>FUEL CELL INNOVATIVE REMOTE ENERGY SYSTEM FOR TELECOM (FIRST), Maria del Pilar Argumosa, INTA, Thomas H. Schucan, IEA Hydrogen Implementing Agreement</t>
  </si>
  <si>
    <t>Biological methanation processes, Electrochaea 2016</t>
  </si>
  <si>
    <t>Fronius Energy Cell, self-sufficient house file</t>
  </si>
  <si>
    <t>GenHyPEM file</t>
  </si>
  <si>
    <t>H2herten Wasserstoffbasiertes Energiekomplementärsystem für die regenerative Vollversorgung des H2-Anwenderzentrums h2herten dena Jahreskonferenz Power to Gas Berlin, 18. Juni 2013, Karl H. Klug, D. Kwapis</t>
  </si>
  <si>
    <t>http://www.energiepark-mainz.de/en/technology/technical-data/</t>
  </si>
  <si>
    <t>https://www.chalmers.se/SiteCollectionDocuments/SEE/News/Popularreport_GoBiGas_results_highres.pdf</t>
  </si>
  <si>
    <t>https://www.h-tec-systems.com/en/projects/power-gap-filler/</t>
  </si>
  <si>
    <t>https://www.now-gmbh.de/en/national-innovation-programme/projektfinder/verkehr/h2-tankstelle-schnackenburgallee-hamburg</t>
  </si>
  <si>
    <t>http://www.powertogas.info/power-to-gas/pilotprojekte-im-ueberblick/h2-forschungszentrum-der-btu-cottbus/</t>
  </si>
  <si>
    <t>http://www.hychico.com.ar/eng/hydrogen-plant.html</t>
  </si>
  <si>
    <t>http://www.fch.europa.eu/project/hybalance</t>
  </si>
  <si>
    <t>http://hybalance.eu/</t>
  </si>
  <si>
    <t>mefco2-teaser</t>
  </si>
  <si>
    <t>https://cordis.europa.eu/result/rcn/190432_en.html</t>
  </si>
  <si>
    <t>H2 Production in Sotavento Wind Farm,M. Rey Porto</t>
  </si>
  <si>
    <t>GRIMSTAD RENEWABLE ENERGY PARK, Torstein Våland</t>
  </si>
  <si>
    <t>A Renewable Energy Based Hydrogen Demonstration Park in Turkey - HYDEPARK, N.Ilhan, A. Ersöz, M. Çubukçu</t>
  </si>
  <si>
    <t>EVALUATIONS OF HYDROGEN DEMONSTRATION PROJECTS, Maria del Pilar Argumosa, IEA HIA Task 38, 2010</t>
  </si>
  <si>
    <t>Fuel cells as distributed generation, A Cruden, 2008</t>
  </si>
  <si>
    <t>Lolland Case Study: Micro CHP with integrated electrolyser and gas storage 2005-2007, IEAHIA Task 18 Integrated systems, Henrik Iskov</t>
  </si>
  <si>
    <t>Fukushima Power-to-gas Hydrogen Project, Toshiba presentation (P.26)</t>
  </si>
  <si>
    <t>https://www.h2move.de/technik-spezifikationen</t>
  </si>
  <si>
    <t>H2SusBuild brochure</t>
  </si>
  <si>
    <t>http://www.h2susbuild.ntua.gr/objectives.aspx</t>
  </si>
  <si>
    <t>RES2H2 Spanish Site, Maria P. Argumosa, 2009</t>
  </si>
  <si>
    <t>DEPLOYMENT OF HYDROGEN TECHNOLOGIES IN NEW ZEALAND, Jonathan D. Leaver</t>
  </si>
  <si>
    <t>Task 24:  Wind Energy and Hydrogen Integration , L. Correas, I. Aso, 2010</t>
  </si>
  <si>
    <t>HafenCity hydrogen station</t>
  </si>
  <si>
    <t>Hydrogen Refuelling Station Hamburg HafenCity</t>
  </si>
  <si>
    <t>HARI project presentation, Gammon</t>
  </si>
  <si>
    <t>Thesis-2006-Gammon</t>
  </si>
  <si>
    <t>Hydrogen Assisted Renewable Power (HARP) Project in British Columbia, Allan Grant</t>
  </si>
  <si>
    <t>Experimental results for hybrid energy storage systems coupled to photovoltaic generation in residential applications, MacLay, 2011</t>
  </si>
  <si>
    <t>ENERTRAG- Hybrid Power Plant brochure</t>
  </si>
  <si>
    <t>Bozcaada - Aitutaki</t>
  </si>
  <si>
    <t>Hydrogen Powered Fuel Cell Forklifts – Demonstration of Green Warehouse Logistics, Beermann Martin, 2013</t>
  </si>
  <si>
    <t>Storing solar energy as hydrogen, Fronius Energy Cell</t>
  </si>
  <si>
    <t>European Developments in Electrolyser Technology, Technical and Economic Outlook, N. Lymperopoulos, 2018</t>
  </si>
  <si>
    <t>Hydrogen as a means of controlling and integrating wind power into electricity grids, the HyWindBalance project, Klaus Stolzenburg</t>
  </si>
  <si>
    <t>Power-to-Gas in Italy: INGRID and STORE&amp;GO projects, Massimo Bertoncini, 2018</t>
  </si>
  <si>
    <t>Integration and Dynamics of a Renewable Regenerative Hydrogen Fuel Cell System, Alvin Peter Bergen, 2008</t>
  </si>
  <si>
    <t>A Feasibility Study of a Wind/Hydrogen System for Martha’s Vineyard, Massachusetts, T. Geer 2005</t>
  </si>
  <si>
    <t>http://www.itm-power.com/news-item/injection-of-hydrogen-into-the-german-gas-distribution-grid</t>
  </si>
  <si>
    <t>Power-to-Gas in Germany and North-Rhine Westphalia (NRW)</t>
  </si>
  <si>
    <t>MYRTE, France</t>
  </si>
  <si>
    <t>Power-to-Gas demonstration plant Ibbenbüren</t>
  </si>
  <si>
    <t>Étude d’un système autonome de production d’énergie couplant un champ photovoltaïque, un électrolyseur et une pile à combustible : réalisation d’un banc d’essai et modélisation, Séverine Busquet</t>
  </si>
  <si>
    <t>HYDROGEN PRODUCTION FROM RENEWABLES, Dr. N. Lymberopoulos</t>
  </si>
  <si>
    <t>Thèse, doctorat de l'université de Toulouse, Frédéric Gailly, 2011</t>
  </si>
  <si>
    <t>Utsira - Demonstrating the renewable hydrogen society, Torgeir Nakken, 2006</t>
  </si>
  <si>
    <t>A Feasibility Study of a Wind/Hydrogen System for Martha’s Vineyard, Massachusetts, T.geer, 2005</t>
  </si>
  <si>
    <t>STAND-ALONE RENEWABLE ENERGY SYSTEM BASED ON HYDROGEN PRODUCTION, Tapan K. Bose</t>
  </si>
  <si>
    <t>THE SOLAR-HYDROGEN SAPHYS PROJECT : OPERATING RESULTS, S. Galli</t>
  </si>
  <si>
    <t>Tauron CO2-SNG/Polygen</t>
  </si>
  <si>
    <t>http://www.innoenergy.com/innovationproject/our-innovation-projects/co2-sng/</t>
  </si>
  <si>
    <t>Power-to-Gas – A technical review, G. Benjaminsson, 2013</t>
  </si>
  <si>
    <t>https://www.h2-international.com/2017/12/01/hypos-from-storage-to-distribution/</t>
  </si>
  <si>
    <t>http://www.hypos-eastgermany.de/en/</t>
  </si>
  <si>
    <t>Innovative H2 Solutions to Move Towards Clean &amp; Smart Territories European Commission JRC S3P Energy: Smart Mediterraneo Bari, 23-24 June 2016</t>
  </si>
  <si>
    <t>MeGa-stoRE final report</t>
  </si>
  <si>
    <t>https://hydrogentoday.info/news/4350</t>
  </si>
  <si>
    <t>Hydrogen and renewable energy sources integrated system for greenhouse heating</t>
  </si>
  <si>
    <t>Demonstration project of the solar hydrogen energy system located on Taleghan-Iran: Technical-economic assessments</t>
  </si>
  <si>
    <t>WELTEMP Water electrolysis at elevated temperatures</t>
  </si>
  <si>
    <t xml:space="preserve">Power to Gas projects </t>
  </si>
  <si>
    <t>Review on Hydrogen production technologies in Malaysia, Z. Khan</t>
  </si>
  <si>
    <t>Hydrogen Demonstration Project Evaluations, Øystein Ulleberg</t>
  </si>
  <si>
    <t>http://energystorageexchange.org/projects/1447</t>
  </si>
  <si>
    <t>http://energystorageexchange.org/projects/2349</t>
  </si>
  <si>
    <t>https://books.google.fr/books?id=3ZNdDwAAQBAJ&amp;pg=SA7-PA40&amp;lpg=SA7 PA40&amp;dq=Raglan+Nickel+mine+canada+power+to+gas+hydrogen+electrolyzer&amp;source=bl&amp;ots=jVKl__oP3w&amp;sig=Nco6uJDGomFyhk0ZIIVb1JReULY&amp;hl=fr&amp;sa=X&amp;ved=0ahUKEwjy5ZnZy6jcAhUDgVwKHTTWCmwQ6AEIYDAK#v=onepage&amp;q=Raglan%20Nickel%20mine%20canada%20power%20to%20gas%20hydrogen%20electrolyzer&amp;f=false</t>
  </si>
  <si>
    <t>https://www.storeandgo.info/demonstration-sites/switzerland/</t>
  </si>
  <si>
    <t>Case Study: The Hawaii Hydrogen Power Park Demonstration at Kahua Ranch, Andy Lutz, 2010</t>
  </si>
  <si>
    <t>Final Technical Report: Hawaii Hydrogen Center for Development and Deployment of Distributed Energy Systems, University of Hawaii, 2008</t>
  </si>
  <si>
    <t>http://www.hycenta.at/projekte/w2h/</t>
  </si>
  <si>
    <t>Hydrogen and fuel cell technology in the energy and transport systems of the future</t>
  </si>
  <si>
    <t>Hydrogen village burgenland</t>
  </si>
  <si>
    <t>https://www.enargus.de/pub/bscw.cgi/?op=enargus.eps2&amp;q=0325440&amp;v=10&amp;id=2984084</t>
  </si>
  <si>
    <t>Research Studio Austria OptFuel 2-stage anaerobic digestion of biowaste combined with power-to-gas</t>
  </si>
  <si>
    <t>http://oldweb.hs-emden-leer.de/forschung-transfer/institute/eutec/arbeitsgruppe-umweltverfahrenstechnik/projekte-in-der-ag-umweltverfahrenstechnik/power-to-flex.html</t>
  </si>
  <si>
    <t>http://hpem2gas.eu/results/#WP5</t>
  </si>
  <si>
    <t>https://www.azocleantech.com/news.aspx?newsID=25653</t>
  </si>
  <si>
    <t>Sizing and operating power-to-gas systems to absorb excess renewable electricity, B. Simonis, 2017</t>
  </si>
  <si>
    <t>http://www.powertogas.info/power-to-gas/pilotprojekte-im-ueberblick/co2rrect/</t>
  </si>
  <si>
    <t>https://www.siemens.com/innovation/en/home/pictures-of-the-future/energy-and-efficiency/smart-grids-and-energy-storage-electrolyzers-energy-storage-for-the-future.html</t>
  </si>
  <si>
    <t>http://www.helmeth.eu/index.php/project</t>
  </si>
  <si>
    <t>https://energiforskning.dk/en/node/7155</t>
  </si>
  <si>
    <t>https://energiteknologi.dk/node/9160</t>
  </si>
  <si>
    <t>https://www.nvnom.com/homepage/power-gas-plant-delfzijl/</t>
  </si>
  <si>
    <t>https://books.google.fr/books?id=CKfnCAAAQBAJ&amp;pg=PA476&amp;lpg=PA476&amp;dq=NEMO+project+finland+hydrogen&amp;source=bl&amp;ots=BDZBIevcyo&amp;sig=YQjG3gev_i-RL2ezD-48wRSMQjY&amp;hl=fr&amp;sa=X&amp;ved=0ahUKEwiKtvXM67ncAhXKxoUKHRnMCLYQ6AEIQjAG#v=onepage&amp;q=NEMO%20project%20finland%20hydrogen&amp;f=false</t>
  </si>
  <si>
    <t>http://www.fch.europa.eu/project/clean-refinery-hydrogen-europe</t>
  </si>
  <si>
    <t>http://news.cision.com/nel-asa/r/nel-asa--enters-into-exclusive-nok-450-million-industrial-scale-power-to-gas-framework-agreement-wit,c2286835</t>
  </si>
  <si>
    <t>Nel ASA port jérome</t>
  </si>
  <si>
    <t>https://www.global-hydrogen-bus-platform.com/Home.html</t>
  </si>
  <si>
    <t>https://mcphy.com/fr/mclive/communiques/power_to_gas_mcphy_hebei_livraison/</t>
  </si>
  <si>
    <t>http://www.ammoniaenergy.org/renewable-hydrogen-in-fukushima-and-a-bridge-to-the-future/</t>
  </si>
  <si>
    <t>http://rehydrogen.com/OLD2/electrolysers.html</t>
  </si>
  <si>
    <t>https://www.h2orizon.de/</t>
  </si>
  <si>
    <t>https://event.dlr.de/en/hmi2018/h2orizon/</t>
  </si>
  <si>
    <t>https://www.lemoniteur.fr/article/un-demonstrateur-power-to-gas-en-service-a-nantes.1949184</t>
  </si>
  <si>
    <t>https://www.engie.com/wp-content/uploads/2018/05/tap_engie.pdf</t>
  </si>
  <si>
    <t>CHOCHCO_Résumé</t>
  </si>
  <si>
    <t>https://chochco.fr/</t>
  </si>
  <si>
    <t>https://www.energie-innovativ.de/service-events/messetour/gestalter-der-energiewende/gestalter-nach-regierungsbezirken/gestalter-in-niederbayern/gestalter-in-niederbayern/gestalter/Gestalter/show/micropyros-gmbh/</t>
  </si>
  <si>
    <t>https://www.micropyros.de/</t>
  </si>
  <si>
    <t>The world’s most efficient and reliable electrolyser</t>
  </si>
  <si>
    <t xml:space="preserve">LARGE SCALE HYDROGEN PRODUCTION, Henning G. Langås </t>
  </si>
  <si>
    <t>Pilot project on Hydrogen injection in natural gas on island of ameland in the netherlands, M.J. Kippers, 2011</t>
  </si>
  <si>
    <t>Power-to-Gas Demonstration Project Rozenburg, Harm Vlap, 2014</t>
  </si>
  <si>
    <t>CHIC-Emerging-Conclusions__short_June2016</t>
  </si>
  <si>
    <t>http://chic-project.eu/demonstration-sites/aargau</t>
  </si>
  <si>
    <t>https://www.iet.hsr.ch/index.php?id=13510</t>
  </si>
  <si>
    <t>https://hydrogeneurope.eu/project/nexpel</t>
  </si>
  <si>
    <t>https://www.sintef.no/projectweb/nexpel/</t>
  </si>
  <si>
    <t>https://cordis.europa.eu/project/rcn/94279_fr.html</t>
  </si>
  <si>
    <t>PROCON questionnaire</t>
  </si>
  <si>
    <t>http://forschung-energiespeicher.info/projektschau/gesamtliste/projekt-einzelansicht/95/Wasserstoff_Herstellung_im_Megawatt_Massstab/</t>
  </si>
  <si>
    <t>https://www.enargus.de/pub/bscw.cgi/?op=enargus.eps2&amp;v=10&amp;id=2989658&amp;q=0325524</t>
  </si>
  <si>
    <t>http://www.reselyser.eu/index.html</t>
  </si>
  <si>
    <t>https://cordis.europa.eu/result/rcn/176817_en.html</t>
  </si>
  <si>
    <t>Wind-Hydrogen-Diesel Energy Project, Greg Jones, 2010</t>
  </si>
  <si>
    <t>https://www.theseus.fi/bitstream/handle/10024/150448/Fait_Catherine.pdf?sequence=1&amp;isAllowed=y</t>
  </si>
  <si>
    <t>https://www.ostfalia.de/export/sites/default/de/v/fakultaet/institute-labore/eos/eletrotechnik_regenerative_energietechnik/Flyer_E_Park.pdf</t>
  </si>
  <si>
    <t>http://www.kit.edu/kit/english/pi_2015_regional-generation-use-and-storage-of-power.php</t>
  </si>
  <si>
    <t>PEI Wind-Hydrogen Village Project</t>
  </si>
  <si>
    <t>http://www.powertogas.info/power-to-gas/pilotprojekte-im-ueberblick/exytron-demonstrationsanlage/</t>
  </si>
  <si>
    <t>http://www.powertogas.info/power-to-gas/pilotprojekte-im-ueberblick/extyron-zero-emission-wohnpark/</t>
  </si>
  <si>
    <t>Une vision devient réalité : Le premier quartier résidentiel ZÉRO ÉMISSION au monde</t>
  </si>
  <si>
    <t>Das Micro Smart Grid als Baustein einer zukunftsfähigen Energieversorgung</t>
  </si>
  <si>
    <t>Small Scale Renewable Energy Power System with Hydrogen Combustion</t>
  </si>
  <si>
    <t>http://www.dri.edu/editor/rec-projects/213-renewable-energy-hydrogen-based-system-for-off-grid-applications</t>
  </si>
  <si>
    <t>Energy management in a stand-alone power system for the production of electrical energy with long term hydrogen storage, D. Ipsakis, 2008</t>
  </si>
  <si>
    <t>http://hydrogenhouseproject.org/the-hydrogen-house.html</t>
  </si>
  <si>
    <t>https://www.brightgreenhydrogen.org.uk/hydrogen-office-project/</t>
  </si>
  <si>
    <t>The Hydrogen Office, Energy Park Fife</t>
  </si>
  <si>
    <t>Energy storage in salt domes</t>
  </si>
  <si>
    <t>https://www.lemoniteur.fr/article/batiment-tertiaire-un-siege-social-autonome-en-energie.509739</t>
  </si>
  <si>
    <t>https://www.energie-und-management.de/nachrichten/detail/gruener-wasserstoff-fuer-hanauer-industriepark-108526</t>
  </si>
  <si>
    <t>https://www.h2bz-hessen.de/elektrolyseur</t>
  </si>
  <si>
    <t>Clean Energy Storage : Power-to-Gas</t>
  </si>
  <si>
    <t>The Hydrogen Shift is Here</t>
  </si>
  <si>
    <t>http://www.agence-nationale-recherche.fr/Project-ANR-11-SEED-0005</t>
  </si>
  <si>
    <t>http://www.newenergy.is/en/projects/research_and_demonstration_projects/ectos/</t>
  </si>
  <si>
    <t>The Hydrogen Fuelling Station</t>
  </si>
  <si>
    <t>http://www.actaspa.com/hydrogen-generator-demonstrated-by-abengoa/</t>
  </si>
  <si>
    <t>http://www.actaspa.com/wp-content/uploads/2013/08/EL250-500-10001.pdf</t>
  </si>
  <si>
    <t>Aberdeen Hydrogen Bus Project</t>
  </si>
  <si>
    <t>http://hyer.eu/best-practices/hydrogen-bus-project/</t>
  </si>
  <si>
    <t>https://www.brightgreenhydrogen.org.uk/levenmouth-community-energy-project/</t>
  </si>
  <si>
    <t>Levenmouth Community Energy Project</t>
  </si>
  <si>
    <t>Levenmouth Community Energy Project, Project update</t>
  </si>
  <si>
    <t>http://www.synfuel.dk/about-the-project</t>
  </si>
  <si>
    <t>CO2 recycling by reaction with renewably-generated hydrogen, S. Kent Hoekman, 2010</t>
  </si>
  <si>
    <t>http://www.kit.edu/kit/english/pi_2014_16120.php</t>
  </si>
  <si>
    <t>http://www.hz-inova.com/cms/en/home?p=6276</t>
  </si>
  <si>
    <t>CO2 Conversion to Methane Project-Hitachi Zosen</t>
  </si>
  <si>
    <t>https://www.focus.de/wissen/technik/mobilitaet/antriebe/tid-23218/wunderkraftstoff-schadstofffrei-in-die-zukunft_aid_652598.html</t>
  </si>
  <si>
    <t>Electrolyzer Performance Analysis of an Integrated Hydrogen Power System for Greenhouse Heating.</t>
  </si>
  <si>
    <t>http://www.electropowersystems.com/portfolio-item/1mwh-with-h2-microgrid-in-the-atacama-desert-chile/</t>
  </si>
  <si>
    <t>http://hpem2gas.eu/download/project_flyer/UNIRESEARCH_HPEM2GAS_flyer_1718_web.pdf</t>
  </si>
  <si>
    <t>https://fuelcellsworks.com/news/prefecture-firms-tie-up-on-solar-derived-hydrogen</t>
  </si>
  <si>
    <t>http://www.prensa.naturgy.com/en/gas-natural-fenosa-launches-pilot-project-to-produce-renewable-gas-in-catalonia/</t>
  </si>
  <si>
    <t>http://programme.exordo.com/icren2018/delegates/presentation/38/</t>
  </si>
  <si>
    <t>https://www.balance-project.org/projects/</t>
  </si>
  <si>
    <t>https://www.powertoflex.eu/en/</t>
  </si>
  <si>
    <t>https://www.fch.europa.eu/project/hydrogen-res-pressurised-alkaline-electrolyser-high-efficiency-and-wide-operating-range</t>
  </si>
  <si>
    <t>RENOVAGAS Project: Power to Methane</t>
  </si>
  <si>
    <t>L’hydrogène, ACCÉLÉRATEUR DE LA TRANSITION ÉNERGÉTIQUE</t>
  </si>
  <si>
    <t>http://www.energy-oil-gas.com/2016/07/15/storag-etzel-gmbh/</t>
  </si>
  <si>
    <t>https://books.google.fr/books?id=O5-wDQAAQBAJ&amp;pg=PA192&amp;lpg=PA192&amp;dq=taleghan+hydrogen+project+start+date&amp;source=bl&amp;ots=EiQ2Luu9nS&amp;sig=g80ec_e5-B51sQal8qf0PhmzNS4&amp;hl=fr&amp;sa=X&amp;ved=2ahUKEwivwLrbg5LdAhWLxIUKHX_fAVYQ6AEwAnoECAgQAQ#v=onepage&amp;q=taleghan%20hydrogen%20project%20start%20date&amp;f=false</t>
  </si>
  <si>
    <t>https://www.umweltbundesamt.de/sites/default/files/medien/377/dokumente/19_session_i_5_becker.pdf</t>
  </si>
  <si>
    <t>BALANCE Deliverable D5.1</t>
  </si>
  <si>
    <t>wind2hydrogen- HycentA</t>
  </si>
  <si>
    <t>https://www.nrcan.gc.ca/energy/funding/current-funding-programs/eii/16662</t>
  </si>
  <si>
    <t>https://www.vtt.fi/sites/bioeconomyplus/en/contacts</t>
  </si>
  <si>
    <t>https://www.demo4grid.eu/project/</t>
  </si>
  <si>
    <t>DEMO4GRID presentation</t>
  </si>
  <si>
    <t xml:space="preserve">THE SELF-SUFFICIENT SOLAR HOUSE IN FREIBURG </t>
  </si>
  <si>
    <t>https://www.lngworldnews.com/gasunie-greenpeace-energy-choose-suderburg-as-windgas-location-germany/</t>
  </si>
  <si>
    <t>https://www.greenpeace-energy.de/presse/artikel/neuer-schwung-fuer-die-energiewende-windgas-made-in-suderburg.html</t>
  </si>
  <si>
    <t>http://www.abc.net.au/news/2017-08-08/trial-to-inject-hydrogen-into-gas-lines/8782956</t>
  </si>
  <si>
    <t>https://new4-0.erneuerbare-energien-hamburg.de/de/new-40-blog/details/wind-to-gas-energy-bau-der-power-to-heat-anlage-ist-gestartet.html</t>
  </si>
  <si>
    <t>https://reneweconomy.com.au/s-a-to-host-australias-first-green-hydrogen-power-plant-89447/</t>
  </si>
  <si>
    <t>https://www.gasunie.nl/nieuws/gasunie-en-engie-gaan-samenwerken-om-groene-waterstof-op-grote-sc</t>
  </si>
  <si>
    <t>https://www.tennet.eu/news/detail/gasunie-tennet-and-thyssengas-reveal-detailed-green-sector-coupling-plans-using-power-to-gas-tec/</t>
  </si>
  <si>
    <t>https://www.portofamsterdam.com/en/press-release/nouryon-tata-steel-and-port-amsterdam-partner-develop-largest-green-hydrogen-cluster</t>
  </si>
  <si>
    <t>https://www.thechemicalengineer.com/news/world-s-largest-dynamic-hydrogen-electrolysis-plant-inaugurated/</t>
  </si>
  <si>
    <t>https://www.hydrogenics.com/2018/07/16/north-americas-first-multi-megawatt-power-to-gas-facility-begins-operations/</t>
  </si>
  <si>
    <t>https://www.hydrogenics.com/2018/10/15/hydrogenics-to-supply-large-scale-pem-electrolyzer-for-hydrogen-fueling-station-in-europe/</t>
  </si>
  <si>
    <t>https://reneweconomy.com.au/neoen-plans-worlds-biggest-solar-wind-powered-hydrogen-hub-in-s-a-53674/</t>
  </si>
  <si>
    <t>http://www.itm-power.com/news-item/100mw-power-to-gas-p2g-energy-storage-feasibility-study</t>
  </si>
  <si>
    <t>https://www.energate-messenger.de/news/186936/reallabor-fuer-wasserstoff-grossprojekt</t>
  </si>
  <si>
    <t>https://www.sciencedirect.com/science/article/pii/S1464285919300239</t>
  </si>
  <si>
    <t>https://www.sciencedirect.com/science/article/pii/S1464285919300227</t>
  </si>
  <si>
    <t>https://www.sciencedirect.com/science/article/pii/S1464285918304681</t>
  </si>
  <si>
    <t>https://www.toshiba-energy.com/en/info/info2018_0809.htm</t>
  </si>
  <si>
    <t>https://h2energy.ch/en/nel-asa-awarded-purchase-order-for-a-2-mw-pem-electrolyzer-in-switzerland-and-enters-a-30-mw-framework-contract/</t>
  </si>
  <si>
    <t>https://www.sarawakenergy.com/media-info/media-releases/2018/sarawak-energy-pilots-hydrogen-production-plant-refuelling-station-for-transportation-sector</t>
  </si>
  <si>
    <t>https://industry.airliquide.ca/air-liquide-invests-worlds-largest-membrane-based-electrolyzer-develop-its-carbon-free-hydrogen</t>
  </si>
  <si>
    <t>https://hy-gro.net/en/duwaal</t>
  </si>
  <si>
    <t>http://www.framatome.com/EN/businessnews-1204/germany-solutions-for-energy-storage-and-hydrogen-fueling-stations.html</t>
  </si>
  <si>
    <t>https://www.poerner.at/en/media/pressemitteilung/news/e-crude-klimaneutraler-erdoelersatz-aus-co2-wasser-und-oekostrom/?tx_news_pi1%5Bcontroller%5D=News&amp;tx_news_pi1%5Baction%5D=detail&amp;cHash=685eb0b65e1ede82f72fca3fd907fe90</t>
  </si>
  <si>
    <t>https://www.engie.com/en/news/using-hydrogen-to-reach-self-sufficiency/</t>
  </si>
  <si>
    <t>https://www.sciencedirect.com/science/article/pii/0360319992901702</t>
  </si>
  <si>
    <t>https://www.business-standard.com/content/b2b-chemicals/air-products-opens-india-s-first-solar-powered-hydrogen-fuelling-station-115061501023_1.html</t>
  </si>
  <si>
    <t>https://www.eqmagpro.com/wp-content/uploads/2016/10/Annexure-IV-Report-on-Hydrogen-Production.pdf</t>
  </si>
  <si>
    <t>https://mnre.gov.in/sites/default/files/uploads/Shrinet-ERDA.pdf</t>
  </si>
  <si>
    <t>http://www.energy-observer.org/en/#bateau</t>
  </si>
  <si>
    <t>https://www.businesswire.com/news/home/20161220005202/en/Proton-OnSite-Awarded-13-Megawatt-Electrolyzers</t>
  </si>
  <si>
    <t>https://www.nrel.gov/docs/fy19osti/73025.pdf</t>
  </si>
  <si>
    <t>http://www.hydrogenics.com/2016/12/29/hydrogenics-chosen-for-fuel-cell-award-in-china/</t>
  </si>
  <si>
    <t>https://www.hamburg-news.hamburg/en/renewable-energy/hydrogen-becoming-technology-future/</t>
  </si>
  <si>
    <t>https://www.postauto.ch/en/news/five-years-hydrogen-powered-travel</t>
  </si>
  <si>
    <t>http://www.ihfca.org.cn/a1949.html</t>
  </si>
  <si>
    <t>https://www.ecbgroup.com.br/en/news/24/in-an-unprecedented-initiative-in-the-southern-hemisphere-ecb-group-and-the-government-of-paraguay-come-together-to-produce-advanced-biofuels</t>
  </si>
  <si>
    <t>https://www.gasworld.com/toyota-to-build-74m-hydrogen-hub/2016842.article</t>
  </si>
  <si>
    <t>https://www.sharecast.com/news/aim-bulletin/itm-power-sells-electrolyser-to-toyota-australia--3798013.html</t>
  </si>
  <si>
    <t>https://www.energymatters.com.au/renewable-news/hydrogen-from-solar-power/</t>
  </si>
  <si>
    <t>http://www.renewablessa.sa.gov.au/content/uploads/2019/01/hydrogen-rd-in-sa-report-nov2018.pdf</t>
  </si>
  <si>
    <t>https://www.hysyngas.de/#powertogas</t>
  </si>
  <si>
    <t>https://thewest.com.au/business/energy/yara-aims-to-move-wa-into-green-hydrogen-ng-b881106808z</t>
  </si>
  <si>
    <t>https://www.nouryon.com/news-and-events/news-overview/2019/bp-nouryon-and-port-of-rotterdam-partner-on-green-hydrogen-study/</t>
  </si>
  <si>
    <t>MWel</t>
  </si>
  <si>
    <t>PEM</t>
  </si>
  <si>
    <t>SOEC</t>
  </si>
  <si>
    <t>ALK</t>
  </si>
  <si>
    <t>https://www.deltalinqs.nl/h-vision-en</t>
  </si>
  <si>
    <t>https://www.northerngasnetworks.co.uk/event/h21-launches-national/</t>
  </si>
  <si>
    <t>http://www.teessidecollective.co.uk/wp-content/uploads/2015/06/Teesside-Collective-Executive-Summary.pdf</t>
  </si>
  <si>
    <t>https://www.google.com/url?sa=t&amp;rct=j&amp;q=&amp;esrc=s&amp;source=web&amp;cd=1&amp;cad=rja&amp;uact=8&amp;ved=2ahUKEwjE9qOVw_fhAhWD4YUKHXbAA1EQFjAAegQIAhAC&amp;url=https%3A%2F%2Fwww.uniper.energy%2Fnews%2Fdownload%2F702078%2F20190425-jointpressrelease-uniper-realworld-laboratory-lingen-en-980949.pdf&amp;usg=AOvVaw3QdBzSn7YcCG2garMnL725</t>
  </si>
  <si>
    <t>https://www.lakecharlesmethanol.com/</t>
  </si>
  <si>
    <t>Argentina</t>
  </si>
  <si>
    <t>Austria</t>
  </si>
  <si>
    <t>Australia</t>
  </si>
  <si>
    <t>Belgium</t>
  </si>
  <si>
    <t>Bolivia</t>
  </si>
  <si>
    <t>Canada</t>
  </si>
  <si>
    <t>Switzerland</t>
  </si>
  <si>
    <t>Chile</t>
  </si>
  <si>
    <t>China</t>
  </si>
  <si>
    <t>Germany</t>
  </si>
  <si>
    <t>Denmark</t>
  </si>
  <si>
    <t>Estonia</t>
  </si>
  <si>
    <t>Spain</t>
  </si>
  <si>
    <t>Finland</t>
  </si>
  <si>
    <t>France</t>
  </si>
  <si>
    <t>Greece</t>
  </si>
  <si>
    <t>India</t>
  </si>
  <si>
    <t>Iceland</t>
  </si>
  <si>
    <t>Italy</t>
  </si>
  <si>
    <t>Japan</t>
  </si>
  <si>
    <t>Lebanon</t>
  </si>
  <si>
    <t>Malaysia</t>
  </si>
  <si>
    <t>Norway</t>
  </si>
  <si>
    <t>Poland</t>
  </si>
  <si>
    <t>Portugal</t>
  </si>
  <si>
    <t>Paraguay</t>
  </si>
  <si>
    <t>Sweden</t>
  </si>
  <si>
    <t>Singapore</t>
  </si>
  <si>
    <t>Thailand</t>
  </si>
  <si>
    <t>Turkey</t>
  </si>
  <si>
    <t>https://skynrg.com/press-releases/klm-skynrg-and-shv-energy-announce-project-first-european-plant-for-sustainable-aviation-fuel/</t>
  </si>
  <si>
    <t>https://www.e-bridge.com/wp-content/uploads/2019/04/reNEWS_April-2019.pdf</t>
  </si>
  <si>
    <t>https://www.drax.com/press_release/energy-companies-announce-new-zero-carbon-uk-partnership-ccus-hydrogen-beccs-humber-equinor-national-grid/</t>
  </si>
  <si>
    <t>https://www.wvresc.com/</t>
  </si>
  <si>
    <t>https://www.toyota-tsusho.com/english/press/detail/170929_004155.html</t>
  </si>
  <si>
    <t>https://www.japanccs.com/en/</t>
  </si>
  <si>
    <t>https://www.toshiba.co.jp/about/press/2015_04/pr2001.htm</t>
  </si>
  <si>
    <t>https://www.toshiba.co.jp/about/press/2016_07/pr1401.htm</t>
  </si>
  <si>
    <t>https://www.toshiba.co.jp/about/press/2016_03/pr2403.htm</t>
  </si>
  <si>
    <t>https://www.equinor.com/en/news/evaluating-conversion-natural-gas-hydrogen.html</t>
  </si>
  <si>
    <t>https://www.open-grid-europe.com/cps/rde/oge-internet/hs.xsl/H2morrow-3571.htm</t>
  </si>
  <si>
    <t>https://www.norled.no/en/news/partners-receive-pilot-e-support-to-develop-liquid-hydrogen-supply-chain-for-maritime-applications-in-norway/</t>
  </si>
  <si>
    <t>https://news.rwe.com/en/rwe-and-innogy-investigate-production-of-green-hydrogen-in-the-netherlands/</t>
  </si>
  <si>
    <t>https://arena.gov.au/news/renewable-hydrogen-could-power-moranbah-ammonia-facility/</t>
  </si>
  <si>
    <t>https://bioenergyinternational.com/storage-logistics/everfuel-and-shell-enter-into-strategic-collaboration-on-a-large-scale-hydrogen-plant</t>
  </si>
  <si>
    <t>https://www.bloomberg.com/news/articles/2019-10-08/siemens-backs-mega-green-power-hydrogen-project-in-australia</t>
  </si>
  <si>
    <t>https://www.refiningandpetrochemicalsme.com/products-services/26715-air-liquide-signs-long-term-deal-to-provide-hydrogen-to-pilipinas-shells-tabangao-refinery</t>
  </si>
  <si>
    <t>http://www.carboncapturejournal.com/ViewNews.aspx?NewsID=4220</t>
  </si>
  <si>
    <t>https://hydeploy.co.uk/</t>
  </si>
  <si>
    <t>https://www.powerengineeringint.com/2020/01/28/hyport-ostend-green-hydrogen-to-advance-belgian-energy-transition/</t>
  </si>
  <si>
    <t>https://press.siemens.com/global/en/pressrelease/siemens-delivers-pem-electrolyzer-salzgitter-ag</t>
  </si>
  <si>
    <t>http://www.renewablessa.sa.gov.au/topic/hydrogen/hydrogen-projects</t>
  </si>
  <si>
    <t>http://www.renewablessa.sa.gov.au/topic/hydrogen/hydrogen-projects/hydrogen-park-south-australia</t>
  </si>
  <si>
    <t>https://hydrogenenergysupplychain.com/</t>
  </si>
  <si>
    <t>https://www.green-industrial-hydrogen.com/</t>
  </si>
  <si>
    <t>http://www.hybritdevelopment.com/articles/three-hybrit-pilot-projects</t>
  </si>
  <si>
    <t>https://hynet.co.uk/</t>
  </si>
  <si>
    <t>FRA</t>
  </si>
  <si>
    <t>NOR</t>
  </si>
  <si>
    <t>FIN</t>
  </si>
  <si>
    <t>CAN</t>
  </si>
  <si>
    <t>MYS</t>
  </si>
  <si>
    <t>AUS</t>
  </si>
  <si>
    <t>USA</t>
  </si>
  <si>
    <t>CHN</t>
  </si>
  <si>
    <t>JPN</t>
  </si>
  <si>
    <t>IND</t>
  </si>
  <si>
    <t>AUT</t>
  </si>
  <si>
    <t>ITA</t>
  </si>
  <si>
    <t>GBR</t>
  </si>
  <si>
    <t>ARE</t>
  </si>
  <si>
    <t>PHL</t>
  </si>
  <si>
    <t>DNK</t>
  </si>
  <si>
    <t>NLD</t>
  </si>
  <si>
    <t>PRY</t>
  </si>
  <si>
    <t>BEL</t>
  </si>
  <si>
    <t>NZL</t>
  </si>
  <si>
    <t>ISL</t>
  </si>
  <si>
    <t>COK</t>
  </si>
  <si>
    <t>BOL</t>
  </si>
  <si>
    <t>TUR</t>
  </si>
  <si>
    <t>GRC</t>
  </si>
  <si>
    <t>CHE</t>
  </si>
  <si>
    <t>EST</t>
  </si>
  <si>
    <t>LBN</t>
  </si>
  <si>
    <t>SGP</t>
  </si>
  <si>
    <t>SWE</t>
  </si>
  <si>
    <t>CHL</t>
  </si>
  <si>
    <t>POL</t>
  </si>
  <si>
    <t>THA</t>
  </si>
  <si>
    <t>ARG</t>
  </si>
  <si>
    <t>https://fuelcellsworks.com/news/hydrogen-pilot-project-h2morrow-to-support-deep-decarbonization-of-german-industry/</t>
  </si>
  <si>
    <t>https://www.h21.green/projects/h21-north-of-england/</t>
  </si>
  <si>
    <t>2019 Global Status of CCS report, https://www.globalccsinstitute.com/resources/global-status-report/</t>
  </si>
  <si>
    <t>http://h2vnormandy-concertation.net/comprendre-projet/</t>
  </si>
  <si>
    <t>http://h2v59-concertation.net/comprendre-projet/</t>
  </si>
  <si>
    <t>https://arena.gov.au/projects/atco-hydrogen-microgrid/</t>
  </si>
  <si>
    <t>https://www.atco.com/en-au/projects/clean-energy-innovation-hub.html</t>
  </si>
  <si>
    <t>https://jemena.com.au/about/innovation/power-to-gas-trial</t>
  </si>
  <si>
    <t>https://arena.gov.au/news/hydrogen-to-be-trialled-in-nsw-gas-networks/</t>
  </si>
  <si>
    <t>https://www.yara.com/news-and-media/news/archive/2019/yara-and-engie-to-test-green-hydrogen-technology-in-fertilizer-production/</t>
  </si>
  <si>
    <t>Innovation Insights Brief, 2019. New Hydrogen Economy - Hope or Hype? - World Energy Council</t>
  </si>
  <si>
    <t>https://www.agig.com.au/pioneering-sa-hydrogen-facility</t>
  </si>
  <si>
    <t>H2</t>
  </si>
  <si>
    <t>Unknown</t>
  </si>
  <si>
    <t>https://fuelcellsworks.com/news/arcadis-hoogeveen-and-livefree-realize-the-first-hydrogen-based-residential-area-in-the-netherlands/</t>
  </si>
  <si>
    <t>Product</t>
  </si>
  <si>
    <t>https://ramboll.com/media/rgr/carbon-capture-and-e-fuel-production-in-greenland</t>
  </si>
  <si>
    <t>https://www.hybridge.net/index-2.html</t>
  </si>
  <si>
    <t>https://refhyne.eu/about/</t>
  </si>
  <si>
    <t>Date online</t>
  </si>
  <si>
    <t>Decomission date</t>
  </si>
  <si>
    <t>https://oge.net/en/us/projects/westkueste-100</t>
  </si>
  <si>
    <t>https://www.get-h2.de/en/project-lingen/</t>
  </si>
  <si>
    <t>LOHC</t>
  </si>
  <si>
    <t>https://fuelcellsworks.com/news/1-28m-arena-backing-for-agn-to-establish-the-australian-hydrogen-centre/</t>
  </si>
  <si>
    <t>https://www.pv-magazine.com/2020/03/02/hydrogen-production-coupled-to-solar-and-storage-to-debut-in-spain/</t>
  </si>
  <si>
    <t>https://www.entsog.eu/power-green-hydrogen-mallorca</t>
  </si>
  <si>
    <t>https://energiepark-bad-lauchstaedt.de/#reallabor-zur-intelligenten-erzeugung-speicherung-transport-und-nutzung-von-gruenem-wasserstoff</t>
  </si>
  <si>
    <t>https://static1.squarespace.com/static/5d3f0387728026000121b2a2/t/5d9f24f459c7f056aca5a74f/1570710781671/4.A+Green+Spider+project.pdf</t>
  </si>
  <si>
    <t>https://investor.fce.com/press-releases/press-release-details/2020/Development-of-the-FuelCell-Energy-Project-at-Toyotas-Port-of-Long-Beach-Facility-to-Proceed---California-Public-Utilities-Commission-Reaffirms-that-the-Use-of-Directed-Biogas-under-the-Bioenergy-Market-Adjusting-Tariff-BioMAT-Program-is-Permissible/default.aspx</t>
  </si>
  <si>
    <t>https://crystalbrookenergypark.com.au/</t>
  </si>
  <si>
    <t>CH4</t>
  </si>
  <si>
    <t>https://thewest.com.au/business/energy/hazer-group-wants-to-make-clean-hydrogen-from-perth-sewerage-ng-b881217005z</t>
  </si>
  <si>
    <t>https://www.csiro.au/en/Do-business/Futures/Reports/Hydrogen-Roadmap</t>
  </si>
  <si>
    <t>https://www.greencarcongress.com/2020/03/20200308-fh2r.html</t>
  </si>
  <si>
    <t>https://www.sciencedirect.com/science/article/pii/S1464285918303328</t>
  </si>
  <si>
    <t>https://www.ammoniaenergy.org/articles/renewable-hydrogen-in-fukushima-and-a-bridge-to-the-future/</t>
  </si>
  <si>
    <t>https://nelhydrogen.com/press-release/nel-asa-awarded-multi-billion-nok-electrolyzer-and-fueling-station-contract-by-nikola/</t>
  </si>
  <si>
    <t>https://nelhydrogen.com/press-release/nel-asa-received-purchase-order-for-a-1-mw-containerized-pem-electrolyzer-in-the-us/</t>
  </si>
  <si>
    <t>https://nelhydrogen.com/press-release/nel-asa-receives-purchase-order-for-h2station-fueling-station-solution-for-taxis-in-copenhagen/</t>
  </si>
  <si>
    <t>https://nelhydrogen.com/press-release/press-release-everfuel-awarded-grant-for-the-establishment-of-a-large-scale-hydrogen-production-facility-in-denmark/</t>
  </si>
  <si>
    <t>https://www.sunfire.de/en/company/news/detail/first-commercial-plant-for-the-production-of-blue-crude-planned-in-norway</t>
  </si>
  <si>
    <t>https://methycentre.eu/</t>
  </si>
  <si>
    <t>https://www.supergen-bioenergy.net/wp-content/uploads/2019/06/Bioenergy-and-waste-gasification-report-2019.pdf</t>
  </si>
  <si>
    <t>https://www.certifhy.eu/project-description/pilot-projects.html</t>
  </si>
  <si>
    <t>https://fr.media.airliquide.com/actualites/premiere-mondiale-air-liquide-inaugure-cryocaptm-une-technologie-de-captage-de-co2-par-le-froid-aadd-1ba6d.html</t>
  </si>
  <si>
    <t>https://www.smart-energy.com/renewable-energy/engie-signs-cooperation-deal-to-participate-in-hygreen-provence-project-air-liquede/</t>
  </si>
  <si>
    <t>https://www.engie.com/business-case/engie-x-hygreen</t>
  </si>
  <si>
    <t>https://new.siemens.com/mea/en/company/stories/energy/a-trailblazer-of-green-hydrogen.html</t>
  </si>
  <si>
    <t>https://group.vattenfall.com/press-and-media/news--press-releases/pressreleases/2019/hybrit-sek-200-million-invested-in-pilot-plant-for-storage-of-fossil-free-hydrogen-in-lulea</t>
  </si>
  <si>
    <t>https://netl.doe.gov/sites/default/files/netl-file/1130-Wabash-CarbonSAFE-Christopher-Korose-Weds-1130am.pdf</t>
  </si>
  <si>
    <t>https://www.h2future-project.eu/</t>
  </si>
  <si>
    <t>https://www.ocap.nl/nl/</t>
  </si>
  <si>
    <t>https://www.ocap.nl/nl/images/OCAP_Factsheet_English_tcm978-561158.pdf</t>
  </si>
  <si>
    <t>http://documents.ieaghg.org/index.php/s/4hyafrmhu2bobOs/download</t>
  </si>
  <si>
    <t>https://www.hydrogen.energy.gov/pdfs/htac_dec18_05_brown.pdf</t>
  </si>
  <si>
    <t>https://actl.ca/</t>
  </si>
  <si>
    <t>https://nwrsturgeonrefinery.com/</t>
  </si>
  <si>
    <t>https://sequestration.mit.edu/tools/projects/quest.html</t>
  </si>
  <si>
    <t>https://www.energy.gov/sites/prod/files/2015/01/f19/EIS-0464-FEIS-Volume-1-2013.pdf</t>
  </si>
  <si>
    <t>https://www.moreland.vic.gov.au/about-us/projects/environmental-projects/renewable-hydrogen-waste-truck/</t>
  </si>
  <si>
    <t>https://www.nederlandwereldwijd.nl/binaries/nederlandwereldwijd/documenten/publicaties/2019/03/01/waterstof-in-china/Holland+Innovation+Network+in+China+-+Hydrogen+developments.+January+2019.pdf</t>
  </si>
  <si>
    <t>https://hy-gro.net/en/newsitem/stadsdistributie-op-waterstof-stap-dichterbij-door-bouw-tankstation-in-alkmaar</t>
  </si>
  <si>
    <t>https://hydrospider.ch/en/production_niedergoesgen/</t>
  </si>
  <si>
    <t>https://www.gp-joule.de/referenzen/efarm</t>
  </si>
  <si>
    <t>https://fuelcellsworks.com/news/first-hydrogen-bus-arrives-in-wuppertal-hydrogen-plant-completed-in-february-2020/</t>
  </si>
  <si>
    <t>https://www.sarawakenergy.com/media-info/media-releases/2019/sarawak-launches-south-east-asias-first-integrated-hydrogen-production-plant-and-refueling-station-unveils-hydrogen-buses</t>
  </si>
  <si>
    <t>https://arena.gov.au/news/hydrogen-gives-new-life-to-toyotas-altona-car-manufacturing-plant/</t>
  </si>
  <si>
    <t>Oman</t>
  </si>
  <si>
    <t>OMN</t>
  </si>
  <si>
    <t>https://www.deme-group.com/news/deme-and-partners-present-hyportrduqm-large-scale-green-hydrogen-project-oman-1</t>
  </si>
  <si>
    <t>http://chuneng.bjx.com.cn/news/20200310/1052255.shtml</t>
  </si>
  <si>
    <t>https://www.cenews.com.cn/company/201912/t20191227_923699.html</t>
  </si>
  <si>
    <t>https://global.toyota/en/detail/17737009/?_ga=2.49045219.475090875.1584111475-24855421.1580488882</t>
  </si>
  <si>
    <t>https://www.cpuc.ca.gov/uploadedFiles/CPUC_Website/Content/Utilities_and_Industries/Energy/Energy_Programs/Gas/Natural_Gas_Market/Nov13LADWP.pdf</t>
  </si>
  <si>
    <t>https://www.spglobal.com/platts/en/market-insights/latest-news/coal/031020-cea-led-consortium-launches-26-mw-rotterdam-green-h2-project</t>
  </si>
  <si>
    <t>https://energyobserver.sharepoint.com/sites/energy-observer/Dpartement%20communication/Forms/AllItems.aspx?id=%2Fsites%2Fenergy%2Dobserver%2FDpartement%20communication%2FCREATION%2FBILAN%20ENERGETIQUE%202018%2FElectrolyser%2Epdf&amp;parent=%2Fsites%2Fenergy%2Dobserver%2FDpartement%20communication%2FCREATION%2FBILAN%20ENERGETIQUE%202018&amp;p=true&amp;originalPath=aHR0cHM6Ly9lbmVyZ3lvYnNlcnZlci5zaGFyZXBvaW50LmNvbS86Yjovcy9lbmVyZ3ktb2JzZXJ2ZXIvRVFYSG9seWZaVGRGbWw3VVgzV0tfUG9CQk9XQ3AxYjlncDJ3aHhxdEZVdEpYZz9ydGltZT03QkpVR1lySjEwZw</t>
  </si>
  <si>
    <t>https://www.deme-group.com/news/hyportr-green-hydrogen-plant-ostend</t>
  </si>
  <si>
    <t>http://www.act-ccs.eu/elegancy</t>
  </si>
  <si>
    <t>http://www.haeolus.eu/?page_id=553</t>
  </si>
  <si>
    <t>https://www.jupiter1000.eu/english</t>
  </si>
  <si>
    <t>https://cordis.europa.eu/project/id/700092</t>
  </si>
  <si>
    <t>https://www.storeandgo.info/about-the-project/</t>
  </si>
  <si>
    <t>https://exytron.online/en/news/</t>
  </si>
  <si>
    <t>https://www.balance-project.org/projects</t>
  </si>
  <si>
    <t>https://www.australiangasnetworks.com.au/our-business/about-us/media-releases/gas-groups-hydrogen-push-moves-into-queensland</t>
  </si>
  <si>
    <t>https://new.siemens.com/au/en/company/press-centre/2019/murchison-renewable-hydrogen-project.html</t>
  </si>
  <si>
    <t>https://www.klimaatakkoord.nl/documenten/publicaties/2019/06/28/national-climate-agreement-the-netherlands</t>
  </si>
  <si>
    <t>https://www.gasunie.nl/en/news/europes-largest-green-hydrogen-project-starts-in-groningen</t>
  </si>
  <si>
    <t>https://www.next-kraftwerke.com/company/case-studies/electrolysis-hydrogen-with-excess-renewables</t>
  </si>
  <si>
    <t>https://www.energiepark-mainz.de/artikel-detailseite/article/langfristige-zukunft-fuer-den-energiepark-mainz/</t>
  </si>
  <si>
    <t>http://www.surfnturf.org.uk/page/hydrogen</t>
  </si>
  <si>
    <t>https://www.energate-messenger.de/news/200507/power-to-gas-micro-pyros-geht-in-die-insolvenz</t>
  </si>
  <si>
    <t>http://www.renewableenergyfocus.com/view/42805/rwe-starts-up-power-to-gas-plant-in-germany-featuring-itm-power-electrolyser/</t>
  </si>
  <si>
    <t>https://www.rh2-wka.de/chronik.html</t>
  </si>
  <si>
    <t>https://www.sciencedaily.com/releases/2015/01/150109045544.htm</t>
  </si>
  <si>
    <t>http://www.don-quichote.eu/</t>
  </si>
  <si>
    <t>http://h2b2.es/h2b2-has-finished-the-delivery-and-commissioning-of-an-electrolyser-system-to-vtt-technical-research-centre-of-finland-ltd/</t>
  </si>
  <si>
    <t>https://www.hytep.cz/projects/visegrad/images/news/hydrogen-mobility-in-visegrad-countries/H2nodes_Riga_transport_CZ_workshop_23_september_2019.pdf</t>
  </si>
  <si>
    <t>https://www.h2nodes.eu/</t>
  </si>
  <si>
    <t>https://www.engie.com/en/journalists/press-releases/largest-hydrogen-utility-fleet-alternative-multi-fuel-station</t>
  </si>
  <si>
    <t>http://www.afhypac.org/documents/divers/AFHYPAC_H2regions_2017-06-09_web.pdf</t>
  </si>
  <si>
    <t>https://p2gconference.com/news/north-america%E2%80%99s-first-power-to-gas-energy-storage-facility-using-hydrogen.html</t>
  </si>
  <si>
    <t>https://www.energystock.com/about-energystock/the-hydrogen-project-hystock</t>
  </si>
  <si>
    <t>https://www.proactiveinvestors.co.uk/companies/news/222913/itm-power-announces-opening-of-gasunies-hystock-green-hydrogen-plant-222913.html</t>
  </si>
  <si>
    <t>https://www.spglobal.com/platts/es/market-insights/latest-news/electric-power/012420-dutch-20-mw-green-hydrogen-electrolyzer-project-secures-eu-funding</t>
  </si>
  <si>
    <t>https://bioenergyinternational.com/storage-logistics/gasunie-invest-first-1-mw-power-gas-installation-netherlands</t>
  </si>
  <si>
    <t>https://www.underground-sun-storage.at/en.html</t>
  </si>
  <si>
    <t>https://mcphy.com/en/press-releases/power_plant_cooling_on_site_hydrogen_production/</t>
  </si>
  <si>
    <t>https://www.reflex-energy.eu/</t>
  </si>
  <si>
    <t>https://www.ademe.fr/sites/default/files/assets/documents/02_the_japanese_policy-t_nagai.pdf</t>
  </si>
  <si>
    <t>https://www.sciencedirect.com/science/article/pii/S1464285918300506</t>
  </si>
  <si>
    <t>https://www.hydrogenics.com/2017/04/21/hydrogenics-selected-as-technology-provider-for-sunline-transit-agency/</t>
  </si>
  <si>
    <t>https://www.hydrogenics.com/2016/11/01/hydrogenics-enters-into-strategic-collaboration-with-stratosfuel-for-2-5-mw-power-to-gas-project-in-california/</t>
  </si>
  <si>
    <t>https://etipwind.eu/wp-content/uploads/A2-Hydrogenics_v2.pdf</t>
  </si>
  <si>
    <t>http://www.mefco2.eu/mefco2.php</t>
  </si>
  <si>
    <t>https://public.tableau.com/views/HydrogenPowerProjects/Dashboard1?:embed=y&amp;:display_count=yes&amp;publish=yes&amp;:origin=viz_share_link&amp;:showVizHome=no</t>
  </si>
  <si>
    <t>https://energyandmines.com/2017/06/worlds-first-247-solar-hydrogen-lithium-energy-storage-microgrid-comes-online/</t>
  </si>
  <si>
    <t>https://mcphy.com/fr/realisations/fahyence/</t>
  </si>
  <si>
    <t>https://www.engie-cofely.fr/publications/hydrogene-renouvelable-cea-grenoble/</t>
  </si>
  <si>
    <t>https://www.co2value.eu/wp-content/uploads/2019/09/2.-CRI.pdf</t>
  </si>
  <si>
    <t>https://www.dena.de/fileadmin/dena/Dokumente/Veranstaltungen/PtG-Dialogforum_III/Praesentationen/6_Karl_Hauptmeier_sunfire_GmbH.pdf</t>
  </si>
  <si>
    <t>https://www.yara.com/news-and-media/news/archive/2019/yara-and-nel-carbon-free-hydrogen-for-fertilizer-production/</t>
  </si>
  <si>
    <t>https://static1.squarespace.com/static/5d3f0387728026000121b2a2/t/5e2061aff0b63e06cfe3bfa5/1579180467000/13_200115_GreenFlamingo_IPCEI+Workshop+15+Jan20+V7.1.pdf</t>
  </si>
  <si>
    <t>https://cordis.europa.eu/project/id/779430</t>
  </si>
  <si>
    <t>https://cordis.europa.eu/project/id/875123/pl</t>
  </si>
  <si>
    <t>https://www.hydrogen4climateaction.eu/programme</t>
  </si>
  <si>
    <t>https://newenergycoalition.org/en/gzi-next-plan-for-construction-of-hydrogen-plant-in-emmen-parties-sign-letter-of-intent/</t>
  </si>
  <si>
    <t>https://cordis.europa.eu/project/id/826089</t>
  </si>
  <si>
    <t>https://www.remote-euproject.eu/remote-project/</t>
  </si>
  <si>
    <t>https://www.umweltfoerderung.at/fileadmin/user_upload/pics/allgemein/News/Innovation_Fund_092019/7_Langhammer_D_OMV_UpHy.pdf</t>
  </si>
  <si>
    <t>https://www.solarserver.de/2020/02/05/industrielle-power-to-gas-anlage-in-der-schweiz/</t>
  </si>
  <si>
    <t>https://www.erneuerbareenergien.de/1-spatenstich-fuer-buergerwindpark-mit-speicherloesung</t>
  </si>
  <si>
    <t>https://www.h-tec.com/anwendungen/stromlueckenfueller/</t>
  </si>
  <si>
    <t>https://www.hydrogendays.cz/2016/admin/scripts/source/presentations/PL%2005_%20Denis%20Thomas_HDs2016.pdf</t>
  </si>
  <si>
    <t>https://www.portofantwerp.com/en/news/port-antwerp-brings-different-players-together-produce-sustainable-methanol</t>
  </si>
  <si>
    <t>https://hydrogeneurope.eu/sites/default/files/2019-09/2019Q3_HYDROGENICS_Renewable%20Hydrogen-compressed.pdf</t>
  </si>
  <si>
    <t>https://www.portofoostende.be/sites/default/files/PPT-Facts%26Myths-2019_09_17-02_Dennis-Thomas_Hydrogenics.pdf</t>
  </si>
  <si>
    <t>https://static1.squarespace.com/static/5d3f0387728026000121b2a2/t/5e2063e74301a9378dc8b111/1579181032322/06_200113_VNG_CoverAndSlides+VNG+Pitch+%28ID+7818800%29.pdf</t>
  </si>
  <si>
    <t>https://group.vattenfall.com/press-and-media/news--press-releases/pressreleases/2019/hybrit-orders-norwegain-electrolyzers-for-fossil-free-steel-production-in-lulea</t>
  </si>
  <si>
    <t>http://www.ptg-bw.de/</t>
  </si>
  <si>
    <t>http://www.ieabioenergy.com/wp-content/uploads/2017/10/4_Hybridwerk_Aarmatt_A.Lochbrunner.pdf</t>
  </si>
  <si>
    <t>http://h2est.ee/wp-content/uploads/2017/09/H2Nodes-NT-Bene-Raigo-Pert.pdf</t>
  </si>
  <si>
    <t>https://www.lemvigbiogas.com/MeGa-stoREfinalreport.pdf</t>
  </si>
  <si>
    <t>https://www.hzwei.info/blog/2019/04/15/energiewende-als-gemeinschaftsprojekt/</t>
  </si>
  <si>
    <t>https://cordis.europa.eu/project/id/875090/pl</t>
  </si>
  <si>
    <t>https://www.efzn.de/fileadmin/documents/Niedersaechsische_Energietage/Vortr%C3%A4ge/2019/NET2019_FF4_04_Veldkamp.pdf</t>
  </si>
  <si>
    <t>https://opwegmetwaterstof.nl/wp-content/uploads/2019/12/NEC_Hydrogen-Valley-Noord-Nederland.pdf</t>
  </si>
  <si>
    <t>https://stad.gent/sites/default/files/media/documents/20191106_PU_CCUhub_Rapport%20A4%20EN.pdf</t>
  </si>
  <si>
    <t>https://www.kopernikus-projekte.de/projekte/p2x</t>
  </si>
  <si>
    <t>https://www.sunfire.de/en/company/news/detail/sunfire-partners-with-total-on-highly-efficient-hydrogen-technology</t>
  </si>
  <si>
    <t>https://www.sunfire.de/en/company/news/detail/multiplhy-green-hydrogen-for-renewable-products-refinery-in-rotterdam</t>
  </si>
  <si>
    <t>https://www.sunfire.de/de/unternehmen/news/detail/naechste-generation-der-hochtemperatur-elektrolyse-gestartet</t>
  </si>
  <si>
    <t>https://meltwater.pressify.io/publication/5e79bf403083780004d7cb4c/5df7589de3f2f21000aa4852?&amp;sh=false</t>
  </si>
  <si>
    <t>https://www.liquidwind.se/</t>
  </si>
  <si>
    <t>https://www.fluxys.com/en/press-releases/fluxys-group/2020/200227_press_hyoffwind_installation</t>
  </si>
  <si>
    <t>ZAF</t>
  </si>
  <si>
    <t>https://nelhydrogen.com/press-release/press-release-nel-receives-purchase-order-for-a-3-5-mw-electrolyser-from-engie/</t>
  </si>
  <si>
    <t>www.westkueste100.de</t>
  </si>
  <si>
    <t>https://www.uniper.energy/storage/what-we-do/power-to-gas</t>
  </si>
  <si>
    <t>https://zenodo.org/record/3464775#.Xo96YMgzY2z</t>
  </si>
  <si>
    <t>https://mcphy.com/fr/communiques/hydrogene-industriel-projet-20-mw-aux-pays-bas/</t>
  </si>
  <si>
    <t>https://www.hydrogenics.com/2017/04/06/hydrogenics-awarded-funding-to-build-two-hydrogen-fueling-stations-for-the-greater-toronto-area-gta/</t>
  </si>
  <si>
    <t>https://engineered.thyssenkrupp.com/en/climateprotection-carbon2chem-when-emissions-become-valuable-substances/</t>
  </si>
  <si>
    <t>https://www.hydrogenics.com/2017/03/23/hydrogenics-awarded-contract-to-provide-electrolyzers-to-doosan-babcock-for-aberdeen-exhibition-conference-centre/</t>
  </si>
  <si>
    <t>http://www.h2susbuild.ntua.gr/Default.aspx</t>
  </si>
  <si>
    <t>https://www.sciencedirect.com/science/article/pii/S0360319908007027</t>
  </si>
  <si>
    <t>https://www.sciencedirect.com/science/article/pii/S0360319908015619#sec4</t>
  </si>
  <si>
    <t>https://www.dnvgl.com/oilgas/perspectives/heating-dutch-homes-with-hydrogen.html</t>
  </si>
  <si>
    <t>https://www.actaspa.com/projects/hydrogen-generator-demonstrated-by-abengoa/</t>
  </si>
  <si>
    <t>https://www.universita.corsica/en/research/myrte/</t>
  </si>
  <si>
    <t>https://polytech.univ-nantes.fr/une-ecole-sur-3-campus/actualites/le-demonstrateur-power-to-gas-entre-en-service-sur-le-site-de-la-chantrerie--2180311.kjsp</t>
  </si>
  <si>
    <t>https://ife.no/en/laboratory/n-fch-systems-laboratory/</t>
  </si>
  <si>
    <t>https://diamondlite.com/wp-content/uploads/2017/06/EFCF-2015_Paper_B1505_Hybrid-plant-Aarmatt-a-novel-concept-applying-PEM-electrolysis_Rindlisbacher_Marcel_01.pdf</t>
  </si>
  <si>
    <t>http://www.afhypac.org/documents/tout-savoir/Fiche%209.5%20-%20Power-to-gas%20-%20rev%20mars2017%20ThA.pdf</t>
  </si>
  <si>
    <t>https://slideplayer.com/slide/4218317/</t>
  </si>
  <si>
    <t>http://www.labtech-hydrogen.com/index.php?page=IHAVU</t>
  </si>
  <si>
    <t>BNEF - Hydrogen Economy Outlook</t>
  </si>
  <si>
    <t>http://www.teessidecollective.co.uk/project/what-we-do/</t>
  </si>
  <si>
    <t>https://pale-blu.com/acorn/</t>
  </si>
  <si>
    <t>https://nelhydrogen.com/press-release/nel-asa-awarded-contract-with-asko-for-hydrogen-production-and-fueling-solution-in-trondheim/</t>
  </si>
  <si>
    <t>https://www.navy.mil/submit/display.asp?story_id=92948</t>
  </si>
  <si>
    <t>https://news.bloombergenvironment.com/environment-and-energy/chinas-ningxia-plans-198-million-solar-hydrogen-project</t>
  </si>
  <si>
    <t>https://www.sciencedirect.com/science/article/pii/S1464285915301243</t>
  </si>
  <si>
    <t>https://windeurope.org/wp-content/uploads/files/misc/20190130-p2g-workshop/190129-4-Wind2hydrogen-OMV.pdf</t>
  </si>
  <si>
    <t>https://www.zerocarbonhumber.co.uk/wp-content/uploads/2019/11/HUMBER-DIGITAL-V4.6-reduced.pdf</t>
  </si>
  <si>
    <t>http://www.rtsafrica.co.za/Documents/NEL%20Hydrogen%20Brochure.pdf</t>
  </si>
  <si>
    <t>https://www.greencarcongress.com/2016/03/20160304-h2logic.html</t>
  </si>
  <si>
    <t>IRN</t>
  </si>
  <si>
    <t>Islamic Republic of Iran</t>
  </si>
  <si>
    <t>http://www.lifesciencesite.com/lsj/life0904/028_10515life0904_191_196.pdf</t>
  </si>
  <si>
    <t>https://www.worldenergy.org/assets/downloads/1Hydrogen-an-enabler-of-the-Grand-Transition_FEL_WEC_2018_Final.pdf</t>
  </si>
  <si>
    <t>http://www.amm-mcrc.org/Download/source/MCRCBrouchure.pdf</t>
  </si>
  <si>
    <t>https://www.arci.res.in/facilities-cfct#302</t>
  </si>
  <si>
    <t>https://www.hitachizosen.co.jp/english/news/2019/10/003405.html</t>
  </si>
  <si>
    <t>https://blog.topsoe.com/topsoe-to-build-demonstration-plant-to-produce-cost-competitive-co2-neutral-methanol-from-biogas-and-green-electricity</t>
  </si>
  <si>
    <t>https://futuregas.dk/wp-content/uploads/2018/06/FutureGas-WP1-Deliverable-1.1.1.-Technologies-and-status-of-methanation-of-biogas-2017_Final.pdf</t>
  </si>
  <si>
    <t>https://www.greencarcongress.com/2020/02/20200219-gigastack.html</t>
  </si>
  <si>
    <t>https://asianrehub.com/about/</t>
  </si>
  <si>
    <t>https://www.pv-magazine.com/2019/10/08/siemens-backs-5-gw-green-hydrogen-plan-for-australia/</t>
  </si>
  <si>
    <t>KOR</t>
  </si>
  <si>
    <t>https://www.rechargenews.com/transition/portugal-plans-5bn-green-hydrogen-plant-to-lead-covid-fightback-report/2-1-801284</t>
  </si>
  <si>
    <t>http://www.haeolus.eu/wp-content/uploads/2020/04/SINTEF-2020-00179.pdf</t>
  </si>
  <si>
    <t>https://ijglobal.com/articles/147180/western-australia-green-hydrogen-project-progressing</t>
  </si>
  <si>
    <t>https://www.pv-magazine.com/2020/04/30/chinese-coal-miner-starts-work-on-worlds-biggest-green-hydrogen-facility/</t>
  </si>
  <si>
    <t>https://allesoverwaterstof.nl/mega-waterstofproject-opgestart-in-nieuwegein/</t>
  </si>
  <si>
    <t>https://allesoverwaterstof.nl/film-nederlands-offshore-waterstofinstallatie-poshydon/</t>
  </si>
  <si>
    <t>https://www.ogauthority.co.uk/media/6220/ogauthoritysharepointcom-ssl-davwwwroot-sites-ecm-tbw3-documents-files-exchange-malcolm-workshop-slides-301019-neptune.pdf</t>
  </si>
  <si>
    <t>https://douglaspud.org/Pages/Bid-Document.aspx?biddocumentnumber=20-08-D</t>
  </si>
  <si>
    <t>Slidepack from TKI Nieuw Gas</t>
  </si>
  <si>
    <t>https://energiewerkplaatsbrabant.nl/nieuws+pnb/energiefestival+hoofdpagina/energiefestival+2019+-+presentaties/energiefestival+documenten+en+verslagen/handlerdownloadfiles.ashx?idnv=1492307</t>
  </si>
  <si>
    <t>https://www.h2-view.com/story/shell-wants-to-create-a-green-hydrogen-hub-in-the-port-of-rotterdam/</t>
  </si>
  <si>
    <t>https://www.chemengonline.com/new-power-to-methanol-project-announced-by-inovyn/?printmode=1</t>
  </si>
  <si>
    <t>https://hy-gro.net/en/newsitem/press-release-hydrogen-turbine-construction-starts?</t>
  </si>
  <si>
    <t>https://fuelcellsworks.com/news/poland-pgnig-launches-new-hydrogen-program/</t>
  </si>
  <si>
    <t>http://ely4off.eu/wp-content/uploads/2019/12/prd20191_ely4off.pdf</t>
  </si>
  <si>
    <t>http://www.seafuel.eu/es/inicio/</t>
  </si>
  <si>
    <t>https://www.ft.com/content/6d2c8d8a-a767-4e41-b0f9-3237dd711597?accessToken=zwAAAXJQhZAwkc9tLI2Kp2dOQdOw-TI33XEVlw.MEQCIFbbu4ednBgMr7ty8-leTb2ABXr6ZWZO8f7qIQdh2DBuAiArmcOs7I_iwQsuldRZyPtKHW3QuEPTIdd6OeJ-6prMfQ&amp;sharetype=gift?token=ceb073f4-fef6-4d9f-8f7c-555db5cefb96</t>
  </si>
  <si>
    <t>https://www.environmentalleader.com/2020/05/lancaster-renewable-hydrogen-project/</t>
  </si>
  <si>
    <t>https://www.h2-view.com/story/new-project-to-deploy-100-hydrogen-buses-in-australian-cities/</t>
  </si>
  <si>
    <t>https://www.greentechmedia.com/articles/read/orsted-to-power-decarbonization-hub-for-land-sea-and-air-transport?utm_medium=email&amp;utm_source=Daily&amp;utm_campaign=GTMDaily</t>
  </si>
  <si>
    <t>https://www.akersolutions.com/news/news-archive/2020/aker-solutions-starts-ccs-test-program-at-preem-refinery-in-sweden/</t>
  </si>
  <si>
    <t>https://www.prnewswire.co.uk/news-releases/launch-of-sweden-s-largest-carbon-capture-and-storage-plant-801623131.html</t>
  </si>
  <si>
    <t>https://fuelcellsworks.com/news/hyflexpower-the-worlds-first-integrated-power-to-x-to-power-hydrogen-gas-turbine-demonstrator/</t>
  </si>
  <si>
    <t>https://cordis.europa.eu/project/id/884229/es</t>
  </si>
  <si>
    <t>https://reneweconomy.com.au/massive-1000mw-baseload-wind-solar-and-hydrogen-plant-pitched-for-nsw-16049/</t>
  </si>
  <si>
    <t>https://www.bp.com/en/global/corporate/news-and-insights/press-releases/bp-australia-announces-feasibility-study-into-hydrogen-energy-production-facility.html</t>
  </si>
  <si>
    <t>https://www.norsk-e-fuel.com/en/</t>
  </si>
  <si>
    <t>http://www.renewableh2canada.ca/</t>
  </si>
  <si>
    <t>https://fuelcellsworks.com/news/canada-macquarie-capital-to-finance-new-200-plus-million-renewable-hydrogen-plant-in-chetwynd/</t>
  </si>
  <si>
    <t>https://fuelcellsworks.com/news/swedish-housing-powered-100-percent-by-sun-and-hydrogen/</t>
  </si>
  <si>
    <t>https://www.linkedin.com/pulse/swedish-public-housing-project-goes-off-grid-solar-h2-michael-jensen/</t>
  </si>
  <si>
    <t>https://www.thyssenkrupp.com/en/newsroom/press-releases/pressdetailpage/green-hydrogen-for-steel-production--rwe-and-thyssenkrupp-plan-partnership-82841</t>
  </si>
  <si>
    <t>https://www.statkraft.com/newsroom/news-and-stories/archive/2020/hydrogen-og-stal/</t>
  </si>
  <si>
    <t>Egypt</t>
  </si>
  <si>
    <t>Ukraine</t>
  </si>
  <si>
    <t>South Africa</t>
  </si>
  <si>
    <t>Algeria</t>
  </si>
  <si>
    <t>EGY</t>
  </si>
  <si>
    <t>RUS</t>
  </si>
  <si>
    <t>DZA</t>
  </si>
  <si>
    <t>UKR</t>
  </si>
  <si>
    <t>Myanmar</t>
  </si>
  <si>
    <t>Brazil</t>
  </si>
  <si>
    <t>MMR</t>
  </si>
  <si>
    <t>BRA</t>
  </si>
  <si>
    <t>Indonesia</t>
  </si>
  <si>
    <t>Uzbekistan</t>
  </si>
  <si>
    <t>Lithuania</t>
  </si>
  <si>
    <t>Bulgaria</t>
  </si>
  <si>
    <t>Saudi Arabia</t>
  </si>
  <si>
    <t>Belarus</t>
  </si>
  <si>
    <t>Iraq</t>
  </si>
  <si>
    <t>Viet Nam</t>
  </si>
  <si>
    <t>VNM</t>
  </si>
  <si>
    <t>IDN</t>
  </si>
  <si>
    <t>UZB</t>
  </si>
  <si>
    <t>LTU</t>
  </si>
  <si>
    <t>BGR</t>
  </si>
  <si>
    <t>SAU</t>
  </si>
  <si>
    <t>MEX</t>
  </si>
  <si>
    <t>IRQ</t>
  </si>
  <si>
    <t>Bosnia and Herzegovina</t>
  </si>
  <si>
    <t>BIH</t>
  </si>
  <si>
    <t>BLR</t>
  </si>
  <si>
    <t>MDA</t>
  </si>
  <si>
    <t>Romania</t>
  </si>
  <si>
    <t>ROU</t>
  </si>
  <si>
    <t>Libya</t>
  </si>
  <si>
    <t>LBY</t>
  </si>
  <si>
    <t>Pakistan</t>
  </si>
  <si>
    <t>Turkmenistan</t>
  </si>
  <si>
    <t>Nigeria</t>
  </si>
  <si>
    <t>Israel</t>
  </si>
  <si>
    <t>Colombia</t>
  </si>
  <si>
    <t>Uganda</t>
  </si>
  <si>
    <t>COL</t>
  </si>
  <si>
    <t>ISR</t>
  </si>
  <si>
    <t>PAK</t>
  </si>
  <si>
    <t>UGA</t>
  </si>
  <si>
    <t>NGA</t>
  </si>
  <si>
    <t>TKM</t>
  </si>
  <si>
    <t>AZE</t>
  </si>
  <si>
    <t>Azerbaijan</t>
  </si>
  <si>
    <t>Peru</t>
  </si>
  <si>
    <t>Sri Lanka</t>
  </si>
  <si>
    <t>Guatemala</t>
  </si>
  <si>
    <t>PER</t>
  </si>
  <si>
    <t>LKA</t>
  </si>
  <si>
    <t>Morocco</t>
  </si>
  <si>
    <t>MAR</t>
  </si>
  <si>
    <t>Qatar</t>
  </si>
  <si>
    <t>QAT</t>
  </si>
  <si>
    <t>GTM</t>
  </si>
  <si>
    <t>https://www.engie-solutions.com/fr/actualites/station-hyport-toulouse-blagnac</t>
  </si>
  <si>
    <t>https://www.hydrogenics.com/2019/04/09/hydrogenics-to-deliver-first-green-hydrogen-production-station-to-new-zealand/</t>
  </si>
  <si>
    <t>https://www.lavenir.net/cnt/dmf20200529_01478987/feu-vert-de-l-executif-regional-pour-une-station-d-hydrogene</t>
  </si>
  <si>
    <t>https://www.h2-view.com/story/repsol-unveils-green-hydrogen-project/</t>
  </si>
  <si>
    <t>https://www.caranddriver.com/es/coches/planeta-motor/a32864845/combustible-sintetico-repsol/</t>
  </si>
  <si>
    <t>https://expresso.pt/economia/2019-12-11-EDP-avanca-com-dois-projetos-inovadores-para-produzir-hidrogenio</t>
  </si>
  <si>
    <t>Portuguese Hydrogen Strategy</t>
  </si>
  <si>
    <t>Australia's National Hydrogen Strategy</t>
  </si>
  <si>
    <t>https://www.fluxys.com/en/news/fluxys-belgium/2020/200422_news_gas_for_climate_study</t>
  </si>
  <si>
    <t>https://www.engie.cl/enaex-engie-la-transicion-hacia-el-cero-carbono-en-la-mineria-chilena/</t>
  </si>
  <si>
    <t>https://fuelcellsworks.com/news/sun-metals-to-build-queensland-first-renewable-hydrogen-plant/</t>
  </si>
  <si>
    <t>https://www.h2-view.com/story/plans-unveiled-for-north-queenslands-first-renewable-hydrogen-facility/</t>
  </si>
  <si>
    <t>https://www.equinor.com/en/what-we-do/h2hsaltend.html</t>
  </si>
  <si>
    <t>https://www.equinor.com/content/dam/statoil/image/equinor-images/h2h-saltend/equinor-H2H-saltend-brochure-2020.pdf</t>
  </si>
  <si>
    <t>https://en.media.airliquide.com/news/air-liquide-will-build-the-first-high-pressure-hydrogen-refueling-station-for-long-haul-trucks-in-europe-803c-56033.html</t>
  </si>
  <si>
    <t>https://www.toshiba-energy.com/en/hydrogen/results/index.htm</t>
  </si>
  <si>
    <t>https://www.thechemicalengineer.com/news/two-new-large-scale-ccus-facilities-now-in-operation/</t>
  </si>
  <si>
    <t>http://www.ptg-bw.de/presse/aktuelles/detailansicht.html?tx_news_pi1%5Bnews%5D=58&amp;tx_news_pi1%5Bcontroller%5D=News&amp;tx_news_pi1%5Baction%5D=detail&amp;cHash=37b9fda8cd1d5bfae6899a13f7064801</t>
  </si>
  <si>
    <t>https://www.spglobal.com/platts/en/market-insights/latest-news/electric-power/062620-swiss-based-hydrospider-goes-operational-for-mobility-sector</t>
  </si>
  <si>
    <t>https://www.h2-view.com/story/itm-power-provides-trading-update/</t>
  </si>
  <si>
    <t>https://www.toshiba-energy.com/en/info/info2020_0610.htm</t>
  </si>
  <si>
    <t>https://www.toshiba-energy.com/en/info/info2020_0123.htm</t>
  </si>
  <si>
    <t>https://www.toshiba-energy.com/en/info/info2019_1226.htm</t>
  </si>
  <si>
    <t>https://www.toshiba.co.jp/about/press/2016_03/pr1402.htm</t>
  </si>
  <si>
    <t>https://www.toshiba.co.jp/about/press/2016_04/pr2101.htm</t>
  </si>
  <si>
    <t>https://www.toshiba.co.jp/about/press/2017_07/pr1301.htm</t>
  </si>
  <si>
    <t>https://www.toshiba-energy.com/en/info/info2019_0322.htm</t>
  </si>
  <si>
    <t>https://www.toshiba-energy.com/en/info/info2019_0614.htm</t>
  </si>
  <si>
    <t>https://www.toshiba-energy.com/en/info/info2019_1030.htm</t>
  </si>
  <si>
    <t>https://www.powermag.com/worlds-first-integrated-hydrogen-power-to-power-demonstration-launched/</t>
  </si>
  <si>
    <t>https://www.engie-solutions.com/fr/actualites/hydrogene-michelin-morbihan</t>
  </si>
  <si>
    <t>https://energies.airliquide.com/air-liquide-build-first-world-scale-liquid-hydrogen-production-plant-dedicated-supply-hydrogen</t>
  </si>
  <si>
    <t>https://www.heraldo.es/noticias/aragon/2020/07/05/tren-hidrogeno-plasencia-del-monte-planta-energias-renivables-1384258.html?utm_source=twitter.com&amp;utm_medium=socialshare&amp;utm_campaign=desktop</t>
  </si>
  <si>
    <t>https://www.airliquide.com/united-states-america/air-liquide-committed-producing-renewable-hydrogen-west-coast-mobility-market</t>
  </si>
  <si>
    <t>https://newsroom.neom.com/air-products-acwa-power-and-neom-sign-agreement-for-5-billion-production-facility-in-neom-powered-by-renewable-energy-for-production-and-export-of-green-hydrogen-to-global-markets-321553#</t>
  </si>
  <si>
    <t>https://www.electrive.com/2020/06/17/barcelona-releases-tender-for-8-hydrogen-buses/</t>
  </si>
  <si>
    <t>https://www.7sur7.be/ecologie/des-bus-du-tec-charleroi-vont-rouler-a-l-hydrogene~aacd0a8a/</t>
  </si>
  <si>
    <t>https://www.idag.dk/article/view/726710/fra_ptxide_til_virkelighed_danmarks_forste_emethanolanlaeg_producerer_flydende_el</t>
  </si>
  <si>
    <t>https://www.obayashi.co.jp/news/detail/news20200709_1.html</t>
  </si>
  <si>
    <t>CRI</t>
  </si>
  <si>
    <t>https://www.ft.com/content/19d3e1ff-748b-4e86-957a-8fe018f64b9b</t>
  </si>
  <si>
    <t>https://www.theguardian.com/environment/2020/jul/19/can-a-hydrogen-boom-fuel-a-green-recovery-for-britain</t>
  </si>
  <si>
    <t>https://fuelcellsworks.com/news/enagas-receives-eu-support-for-the-development-of-hydrogen-station-in-madrid/</t>
  </si>
  <si>
    <t>https://fuelcellsworks.com/news/mcphy-selected-to-equip-a-new-zero-carbon-hydrogen-station/</t>
  </si>
  <si>
    <t>https://www.h2-view.com/story/avias-first-hydrogen-station-opens-in-switzerland/</t>
  </si>
  <si>
    <t>https://renews.biz/61966/iberdrola-unveils-green-hydrogen-partnership/</t>
  </si>
  <si>
    <t>https://www.reuters.com/article/us-germany-hydrogen-heide/german-oil-refinery-to-build-30-mw-hydrogen-electrolysis-plant-idUSKBN24Z1FO</t>
  </si>
  <si>
    <t>https://www.rechargenews.com/transition/world-s-first-carbon-negative-hydrogen-project-gets-green-light/2-1-850916</t>
  </si>
  <si>
    <t>https://www.worldoil.com/news/2020/8/19/siemens-energy-launches-its-first-megawatt-green-hydrogen-production-project-in-china</t>
  </si>
  <si>
    <t>https://www.reuters.com/article/us-sweden-steel-hydrogen/swedens-hybrit-starts-operations-at-pilot-plant-for-fossil-free-steel-idUSKBN25R1PI</t>
  </si>
  <si>
    <t>https://cadenaser.com/ser/2020/09/02/ciencia/1599038500_420120.html</t>
  </si>
  <si>
    <t>https://www.reuters.com/article/germany-hydrogen-apex/germanys-apex-energy-launches-hydrogen-plant-near-rostock-idUSL8N2DP3WV</t>
  </si>
  <si>
    <t>https://www.eugcc-cleanergy.net/sites/default/files/3._session_1_damien_sage_engie.pdf</t>
  </si>
  <si>
    <t>Presentation Thyssen</t>
  </si>
  <si>
    <t>https://www.itm-power.com/news/first-project-to-deliver-a-10mw-electrolyser-to-glasgow-facility</t>
  </si>
  <si>
    <t>https://fuelcellsworks.com/news/siemens-to-build-large-co2-free-hydrogen-production-plant-in-southern-germany/</t>
  </si>
  <si>
    <t>https://greenhydrogen.dk/danish-minister-for-transport-officially-opens-ghs-hydrogen-refueling-station/</t>
  </si>
  <si>
    <t>https://www.greentechmedia.com/articles/read/shell-jv-wins-dutch-offshore-wind-tender-with-continuous-power-hybrid-project?utm_medium=email&amp;utm_source=Daily&amp;utm_campaign=GTMDaily</t>
  </si>
  <si>
    <t>https://www.topagrar.com/energie/news/neue-elektrolyse-eingeweiht-12107191.html</t>
  </si>
  <si>
    <t>https://www.green-industrial-hydrogen.com/project/news/sunfire-delivers-the-worlds-largest-high-temperatur-electrolyzer-to-salzgitter-flachstahl</t>
  </si>
  <si>
    <t>https://www.spglobal.com/platts/en/market-insights/latest-news/metals/061120-n-china-hydrogen-push-led-by-hydrogen-as-by-product-renewables</t>
  </si>
  <si>
    <t>https://sevilla.abc.es/economia/sevi-iberdrola-invertira-1000-millones-huelva-planta-hidrogeno-202009301424_noticia.html</t>
  </si>
  <si>
    <t>https://www.df.cl/noticias/empresas/energia/ame-y-enel-lanzan-proyecto-que-apostara-por-el-hidrogeno-verde-en-magallanes/2020-10-02/104647.html</t>
  </si>
  <si>
    <t>https://orsted.com/en/media/newsroom/news/2020/10/143404185982536</t>
  </si>
  <si>
    <t>https://www.alliander.com/nl/nieuws/deense-elektrolyser-maakt-waterstof-in-oosterwolde/</t>
  </si>
  <si>
    <t>https://www.h2-view.com/story/birmingham-orders-20-hydrogen-buses-to-kick-start-hydrogen-market/</t>
  </si>
  <si>
    <t>https://www.tyseleyenergy.co.uk/tyseley-refuelling-hub/</t>
  </si>
  <si>
    <t>https://www.miteco.gob.es/images/es/hojarutadelhidrogeno_tcm30-513830.pdf</t>
  </si>
  <si>
    <t>https://m.solarbe.com/21-0-330298-1.html?utm_campaign=China%20Clean%20Energy%20Syndicate%20&amp;utm_medium=email&amp;utm_source=Revue%20newsletter</t>
  </si>
  <si>
    <t>https://dieselprogress.com/cummins-to-supply-5-mw-hydrogen-electrolyzer-34112/</t>
  </si>
  <si>
    <t>https://www.h2-view.com/story/ghs-to-supply-electrolyser-to-p2x-project/</t>
  </si>
  <si>
    <t>http://www.kit.edu/kit/pi_2019_107_kohlendioxidneutrale-kraftstoffe-aus-luft-und-strom.php</t>
  </si>
  <si>
    <t>https://fuelcellsworks.com/news/wind-and-solar-energy-hydrogen-hydrohub-fenne-to-become-a-real-world-laboratory/</t>
  </si>
  <si>
    <t>https://fuelcellsworks.com/news/zsw-green-hydrogen-production-at-power-to-gas-plant-in-grenzach-wyhlen-working-reliably/</t>
  </si>
  <si>
    <t>https://localhy.de/#intro</t>
  </si>
  <si>
    <t>https://www.uni-weimar.de/en/civil-engineering/chairs/energy-systems/research/current-projects/localhy/</t>
  </si>
  <si>
    <t>https://www.foederal-erneuerbar.de/best-practice-detailseite/items/power-to-gas-anlage-speist-biomethan-ins-erdgasnetz</t>
  </si>
  <si>
    <t>https://www.methquest.de/ueber-methquest/methfuel/</t>
  </si>
  <si>
    <t>https://www.energias-renovables.com/eolica/como-producir-hidrogeno-con-energia-eolica-20200417</t>
  </si>
  <si>
    <t>End use</t>
  </si>
  <si>
    <t>MeOH</t>
  </si>
  <si>
    <t>Ammonia</t>
  </si>
  <si>
    <t>Status</t>
  </si>
  <si>
    <t>Model</t>
  </si>
  <si>
    <t>Supply</t>
  </si>
  <si>
    <t>Natural gas w/o CO2 capture</t>
  </si>
  <si>
    <t>Natural gas w/ CO2 capture</t>
  </si>
  <si>
    <t>Natural gas w/ CO2 capture for ammonia production</t>
  </si>
  <si>
    <t>Hard coal w/o CO2 capture</t>
  </si>
  <si>
    <t>Hard coal w/ CO2 capture</t>
  </si>
  <si>
    <t>Biomass w/o CO2 capture</t>
  </si>
  <si>
    <t>Biomass w/ CO2 capture</t>
  </si>
  <si>
    <t>Electricity</t>
  </si>
  <si>
    <t>Other</t>
  </si>
  <si>
    <t>FID</t>
  </si>
  <si>
    <t>Under construction</t>
  </si>
  <si>
    <t>Decommisioned</t>
  </si>
  <si>
    <t>Other/Unknown</t>
  </si>
  <si>
    <t>Technology types</t>
  </si>
  <si>
    <t>Other Electrolysis</t>
  </si>
  <si>
    <t>Coal w CCUS</t>
  </si>
  <si>
    <t>NG w CCUS</t>
  </si>
  <si>
    <t>Oil w CCUS</t>
  </si>
  <si>
    <t>Biomass</t>
  </si>
  <si>
    <t>Biomass w CCUS</t>
  </si>
  <si>
    <t>Grid/Dedicated</t>
  </si>
  <si>
    <t>Grid</t>
  </si>
  <si>
    <t>Synfuels</t>
  </si>
  <si>
    <t>Various</t>
  </si>
  <si>
    <t>Dedicated renewable</t>
  </si>
  <si>
    <t>Methanol</t>
  </si>
  <si>
    <t>kt H2/y</t>
  </si>
  <si>
    <t>Normalised capacity</t>
  </si>
  <si>
    <t>DATABASE</t>
  </si>
  <si>
    <t>Industry</t>
  </si>
  <si>
    <t>Supply regions</t>
  </si>
  <si>
    <t>CASP</t>
  </si>
  <si>
    <t>CSAA</t>
  </si>
  <si>
    <t>CSAB</t>
  </si>
  <si>
    <t>EUA</t>
  </si>
  <si>
    <t>EUB</t>
  </si>
  <si>
    <t>EUC</t>
  </si>
  <si>
    <t>MEA</t>
  </si>
  <si>
    <t>NAFR</t>
  </si>
  <si>
    <t>NDE</t>
  </si>
  <si>
    <t>NDN</t>
  </si>
  <si>
    <t>OAFR</t>
  </si>
  <si>
    <t>OASE</t>
  </si>
  <si>
    <t>ODA</t>
  </si>
  <si>
    <t>OEURA</t>
  </si>
  <si>
    <t>OEURB</t>
  </si>
  <si>
    <t>Supply applications</t>
  </si>
  <si>
    <t>Merchant</t>
  </si>
  <si>
    <t>Refining</t>
  </si>
  <si>
    <t>Supply technologies</t>
  </si>
  <si>
    <t>New/replace</t>
  </si>
  <si>
    <t>New capacity</t>
  </si>
  <si>
    <t>Replace existing</t>
  </si>
  <si>
    <t>MODELLING</t>
  </si>
  <si>
    <t>Industry regions</t>
  </si>
  <si>
    <t>AUNZ</t>
  </si>
  <si>
    <t>BRAZIL</t>
  </si>
  <si>
    <t>CHINA</t>
  </si>
  <si>
    <t>CSAMa</t>
  </si>
  <si>
    <t>CSAMb</t>
  </si>
  <si>
    <t>DEU</t>
  </si>
  <si>
    <t>EUc</t>
  </si>
  <si>
    <t>INDIA</t>
  </si>
  <si>
    <t>INDO</t>
  </si>
  <si>
    <t>ME</t>
  </si>
  <si>
    <t>OASEANe</t>
  </si>
  <si>
    <t>OASIA</t>
  </si>
  <si>
    <t>OOETE</t>
  </si>
  <si>
    <t>OTOECDEU</t>
  </si>
  <si>
    <t>SAFR</t>
  </si>
  <si>
    <t>US</t>
  </si>
  <si>
    <t>Industry applications</t>
  </si>
  <si>
    <t>DRI blending</t>
  </si>
  <si>
    <t>Electrolytic NH3</t>
  </si>
  <si>
    <t>Electrolytic MeOH</t>
  </si>
  <si>
    <t>CCUS (look CCUS database)</t>
  </si>
  <si>
    <t>Iron&amp;Steel</t>
  </si>
  <si>
    <t>Other Ind</t>
  </si>
  <si>
    <t>Mobility</t>
  </si>
  <si>
    <t>Power</t>
  </si>
  <si>
    <t>CHP</t>
  </si>
  <si>
    <t>Domestic heat</t>
  </si>
  <si>
    <t>CH4 mobility</t>
  </si>
  <si>
    <t>Type of electricity (for electrolysis projects)</t>
  </si>
  <si>
    <t>CH4 grid inj.</t>
  </si>
  <si>
    <t>nm³ H₂/h</t>
  </si>
  <si>
    <t>Refs</t>
  </si>
  <si>
    <t>IEA zero-carbon estimated normalized capacity
[nm³ H₂/hour]</t>
  </si>
  <si>
    <t>Feasibility study</t>
  </si>
  <si>
    <t>https://participa.pt/pt/consulta/en-h2-estrategia-nacional-para-o-hidrogenio</t>
  </si>
  <si>
    <t>https://www.pv-magazine.com/2020/07/30/portuguese-consortium-plans-1-gw-green-hydrogen-cluster/</t>
  </si>
  <si>
    <t>https://www.goeree-overflakkee.nl/duurzaam-go/waterstof_46733/item/h2go-programma_232204.html</t>
  </si>
  <si>
    <t>Operational</t>
  </si>
  <si>
    <t>Scenario</t>
  </si>
  <si>
    <t>STEPS</t>
  </si>
  <si>
    <t>SDS</t>
  </si>
  <si>
    <t>Grid inj.</t>
  </si>
  <si>
    <t>SynCH4</t>
  </si>
  <si>
    <t>CO2 origin</t>
  </si>
  <si>
    <t>Biogenic</t>
  </si>
  <si>
    <t>Fossil</t>
  </si>
  <si>
    <t>Mixed</t>
  </si>
  <si>
    <t>DAC</t>
  </si>
  <si>
    <t>Uruguay</t>
  </si>
  <si>
    <t>URY</t>
  </si>
  <si>
    <t>https://www.ancap.com.uy/innovaportal/file/8385/1/verne---presentacion-general-agosto-2020-web.pdf</t>
  </si>
  <si>
    <t>https://monolithmaterials.com/news/monolith-materials-carbon-free-ammonia-plant</t>
  </si>
  <si>
    <t>https://www.fch.europa.eu/press-releases/green-hysland-mallorca-first-green-hydrogen-project-mediterranean-country-due-get</t>
  </si>
  <si>
    <t>https://www.nrel.gov/aries/</t>
  </si>
  <si>
    <t>https://nelhydrogen.com/press-release/nel-asa-receives-purchase-order-for-a-1-25-mw-containerized-pem-electrolyser-from-nrel/</t>
  </si>
  <si>
    <t>None</t>
  </si>
  <si>
    <t>https://engie-eps.com/corporate/engie-eps-hydrogen-technology-proven-to-make-microgrids-100-green-once-again/</t>
  </si>
  <si>
    <t>XKX</t>
  </si>
  <si>
    <t>Slovenia</t>
  </si>
  <si>
    <t>SVN</t>
  </si>
  <si>
    <t>If dedicated renewables, type of renewable</t>
  </si>
  <si>
    <t>Type of renewable</t>
  </si>
  <si>
    <t>Solar PV</t>
  </si>
  <si>
    <t>Onshore wind</t>
  </si>
  <si>
    <t>Offshore wind</t>
  </si>
  <si>
    <t>Hydropower</t>
  </si>
  <si>
    <t>Others/Various</t>
  </si>
  <si>
    <t>Grid (excess renewable)</t>
  </si>
  <si>
    <t>NZ</t>
  </si>
  <si>
    <t>OE2</t>
  </si>
  <si>
    <t>OASEAN</t>
  </si>
  <si>
    <t>OEURb</t>
  </si>
  <si>
    <t>EU14</t>
  </si>
  <si>
    <t>Australia and NZ</t>
  </si>
  <si>
    <t>ATE</t>
  </si>
  <si>
    <t>Non-EU OE2</t>
  </si>
  <si>
    <t>Other Latin America</t>
  </si>
  <si>
    <t>EU Nordic</t>
  </si>
  <si>
    <t>EU 5</t>
  </si>
  <si>
    <t>UK</t>
  </si>
  <si>
    <t>Non-EU Nordic</t>
  </si>
  <si>
    <t>Korea</t>
  </si>
  <si>
    <t>Middle East</t>
  </si>
  <si>
    <t>Mexico</t>
  </si>
  <si>
    <t>ASEAN9</t>
  </si>
  <si>
    <t>North Africa</t>
  </si>
  <si>
    <t>Other Africa</t>
  </si>
  <si>
    <t>OETE</t>
  </si>
  <si>
    <t>EU20-EUG4</t>
  </si>
  <si>
    <t>Russia</t>
  </si>
  <si>
    <t>Buildings regions</t>
  </si>
  <si>
    <t>Transport regions</t>
  </si>
  <si>
    <t>https://www.h2-view.com/story/construction-begins-on-antwerps-first-hydrogen-station/</t>
  </si>
  <si>
    <t>Biofuels</t>
  </si>
  <si>
    <t>https://www.repsol.com/en/press-room/press-releases/2020/repsol-to-build-spains-first-advanced-biofuels-plant-in-cartagena.cshtml</t>
  </si>
  <si>
    <t>https://fuelcellsworks.com/news/australia-government-fast-tracking-worlds-largest-green-hydrogen-facility/?utm_source=FuelCellsWorks+Newsletter&amp;utm_campaign=4d9b91b692-NEWSLETTER_ISSUE_16&amp;utm_medium=email&amp;utm_term=0_b0517d6085-4d9b91b692-406702557&amp;mc_cid=4d9b91b692&amp;mc_eid=da4624d261</t>
  </si>
  <si>
    <t>Ref</t>
  </si>
  <si>
    <t>https://news.cision.com/nel-asa/r/nel-signs-loi-with-statkraft-for-a-green-hydrogen-project-with-up-to-50mw-of-electrolyser-capacity,c3228323</t>
  </si>
  <si>
    <t>https://www.iberdrola.com/press-room/news/detail/iberdrola-fertiberia-place-spain-forefront-green-hydrogen-europe-with-1-8-billion-investment-projected-2027</t>
  </si>
  <si>
    <t>Buildings uses</t>
  </si>
  <si>
    <t>Residential</t>
  </si>
  <si>
    <t>Non Res - Education</t>
  </si>
  <si>
    <t>Non Res - Health</t>
  </si>
  <si>
    <t>Non Res - Hospitality</t>
  </si>
  <si>
    <t>Non Res - Office</t>
  </si>
  <si>
    <t>Non Res - Trade</t>
  </si>
  <si>
    <t>Non Res - Commercial</t>
  </si>
  <si>
    <t>Non Res - Leisure/Other</t>
  </si>
  <si>
    <t>Residential and non-residential</t>
  </si>
  <si>
    <t>https://www.cfindustries.com/newsroom/2020/commitment-to-clean-energy-economy</t>
  </si>
  <si>
    <t>https://www.h2-view.com/story/cf-industries-to-construct-green-hydrogen-based-ammonia-facility-in-louisiana/</t>
  </si>
  <si>
    <t>https://www.linde.com/news-media/press-releases/2020/linde-to-produce-green-hydrogen-for-mobility-market-in-california</t>
  </si>
  <si>
    <t>Other/unknown</t>
  </si>
  <si>
    <t>https://www.irishtimes.com/business/ireland-s-first-green-hydrogen-project-to-come-on-stream-in-weeks-1.4399291</t>
  </si>
  <si>
    <t>https://www.h2-view.com/story/logan-energy-playing-a-major-role-in-northern-irelands-hydrogen-economy/</t>
  </si>
  <si>
    <t>https://www.naturgy.com/conocenos/innovacion_y_futuro/plan_de_innovacion_tecnologica/ris3cat_cosin_combustibles_sinteticos</t>
  </si>
  <si>
    <t>https://www.liquidwind.se/flagships</t>
  </si>
  <si>
    <t>DEMO</t>
  </si>
  <si>
    <t>https://nelhydrogen.com/wp-content/uploads/2019/10/nel-q3-2014-presentation.pdf</t>
  </si>
  <si>
    <t>https://www.h2-view.com/story/south-australia-backs-240m-green-hydrogen-project/</t>
  </si>
  <si>
    <t>Both</t>
  </si>
  <si>
    <t>https://www.topsectorenergie.nl/sites/default/files/uploads/TKI%20Gas/nieuws/Overview%20of%20Hydrogen%20project%20in%20the%20Netherlands.pdf</t>
  </si>
  <si>
    <t>t CO₂ captured/y</t>
  </si>
  <si>
    <t>NG pyrolysis</t>
  </si>
  <si>
    <t>Presentation of Iberdola in the Chilean Hydrogen Summit, 4 Nov 2020</t>
  </si>
  <si>
    <t>https://www.youtube.com/watch?v=m4FtRIrtK9g&amp;utm_source=FuelCellsWorks+Newsletter&amp;utm_campaign=bb4c942689-NEWSLETTER_ISSUE_18&amp;utm_medium=email&amp;utm_term=0_b0517d6085-bb4c942689-406702557&amp;mc_cid=bb4c942689&amp;mc_eid=da4624d261</t>
  </si>
  <si>
    <t>https://www.h2-mobile.fr/actus/bretagne-mobilite-hydrogene-vert-2023-saint-brieuc/</t>
  </si>
  <si>
    <t>https://www.hydrogen.energy.gov/pdfs/review20/ta030_hamdan_2020_p.pdf</t>
  </si>
  <si>
    <t>Nuclear</t>
  </si>
  <si>
    <t>https://www.energy.gov/sites/prod/files/2019/12/f69/fcto-fcs-h2-scale-2019-workshop-4-otgonbaatar_0.pdf</t>
  </si>
  <si>
    <t>https://electricenergyonline.com/article/energy/category/biofuel/83/854940/h2-scale-project-launched-in-texas.html</t>
  </si>
  <si>
    <t>https://www.energy.gov/sites/prod/files/2019/12/f69/fcto-fcs-h2-scale-2019-workshop-5-bouwkamp.pdf</t>
  </si>
  <si>
    <t>https://www.wsj.com/articles/bp-steps-up-green-drive-with-hydrogen-deal-11605009520#:~:text=Under%20the%20deal%20announced%20Tuesday,Lingen%20refinery%20in%20northwest%20Germany.&amp;text=Royal%20Dutch%20Shell%20PLC%20plans,refinery%20in%20Germany%20by%202030.</t>
  </si>
  <si>
    <t>https://www.nytimes.com/2020/11/11/business/hydrogen-fuel-california.html</t>
  </si>
  <si>
    <t>https://www.klimaatakkoord.nl/binaries/klimaatakkoord/documenten/publicaties/2020/10/22/koplopersprogramma-cluster-smart-delta/SDR-Regioplan+2030-2050.pdf</t>
  </si>
  <si>
    <t>https://fuelcellsworks.com/news/danish-company-greenlab-to-create-worlds-largest-scale-production-facility-for-green-hydrogen/</t>
  </si>
  <si>
    <t>https://www.greentechmedia.com/articles/read/china-can-help-supersize-global-hydrogen-economy-says-shell?utm_medium=email&amp;utm_source=Daily&amp;utm_campaign=GTMDaily</t>
  </si>
  <si>
    <t>https://www.agerpres.ro/english/2020/11/12/romgaz-petrom-set-to-produce-hydrogen-at-wind-farm-in-dobrogea--608063</t>
  </si>
  <si>
    <t>https://scottishconstructionnow.com/article/new-hub-to-lay-foundations-for-aberdeen-s-future-hydrogen-investment</t>
  </si>
  <si>
    <t>https://www.revistaei.cl/2020/11/20/proyecto-de-hidrogeno-verde-para-desarrollarse-en-punta-arenas-ingreso-a-tramitacion-ambiental/</t>
  </si>
  <si>
    <t>Technology Comments</t>
  </si>
  <si>
    <t>https://fuelcellsworks.com/news/fortescue-announces-development-study-into-green-ammonia-plant-in-tasmania-as-part-of-250mw-green-hydrogen-project/?utm_source=FuelCellsWorks+Newsletter&amp;utm_campaign=3a7ba6cc2e-NEWSLETTER_ISSUE_20&amp;utm_medium=email&amp;utm_term=0_b0517d6085-3a7ba6cc2e-406702557&amp;mc_cid=3a7ba6cc2e&amp;mc_eid=da4624d261</t>
  </si>
  <si>
    <t>https://assets.ey.com/content/dam/ey-sites/ey-com/it_it/news/2020/ey-summary-report-green-recovery-v2.pdf</t>
  </si>
  <si>
    <t>https://www.eleconomista.es/empresas-finanzas/noticias/10896511/11/20/Repsol-invertira-hasta-2900-millones-en-hidrogeno-en-cinco-anos-.html</t>
  </si>
  <si>
    <t>https://fuelcellsworks.com/news/a-world-first-project-will-combine-flow-battery-technology-with-tidal-power-to-produce-continuous-green-hydrogen/</t>
  </si>
  <si>
    <t>https://www.chemnews.com.cn/c/2020-11-18/667602.shtml?utm_campaign=China%20Clean%20Energy%20Syndicate%20&amp;utm_medium=email&amp;utm_source=Revue%20newsletter</t>
  </si>
  <si>
    <t>https://www.hispanidad.com/semana-empresarial/repsol-endesa-iberdrola-naturgy-enagas-apuestan-por-hidrogeno-verde-alternativa-avanzar-en-descarbonizacion_12022082_102.html</t>
  </si>
  <si>
    <t>https://www.afhypac.org/presse/hayrport-liege-airport-et-cmi-planchent-sur-une-solution-hydrogene-pour-une-mobilite-propre-1269/</t>
  </si>
  <si>
    <t>https://www.volth2.com/</t>
  </si>
  <si>
    <t>ISO-3 Code</t>
  </si>
  <si>
    <t>United States</t>
  </si>
  <si>
    <t>ASM</t>
  </si>
  <si>
    <t>American Samoa</t>
  </si>
  <si>
    <t>GUM</t>
  </si>
  <si>
    <t>Guam</t>
  </si>
  <si>
    <t>MNP</t>
  </si>
  <si>
    <t>Northern Mariana Islands</t>
  </si>
  <si>
    <t>PRI</t>
  </si>
  <si>
    <t>Puerto Rico</t>
  </si>
  <si>
    <t>VIR</t>
  </si>
  <si>
    <t>United States Virgin Islands</t>
  </si>
  <si>
    <t>New Zealand</t>
  </si>
  <si>
    <t>MCO</t>
  </si>
  <si>
    <t>Monaco</t>
  </si>
  <si>
    <t>VAT</t>
  </si>
  <si>
    <t>Holy See</t>
  </si>
  <si>
    <t>SMR</t>
  </si>
  <si>
    <t>San Marino</t>
  </si>
  <si>
    <t>United Kingdom</t>
  </si>
  <si>
    <t>CZE</t>
  </si>
  <si>
    <t>Czechia</t>
  </si>
  <si>
    <t>HUN</t>
  </si>
  <si>
    <t>Hungary</t>
  </si>
  <si>
    <t>IRL</t>
  </si>
  <si>
    <t>Ireland</t>
  </si>
  <si>
    <t>LUX</t>
  </si>
  <si>
    <t>Luxembourg</t>
  </si>
  <si>
    <t>Netherlands</t>
  </si>
  <si>
    <t>PRT</t>
  </si>
  <si>
    <t>SVK</t>
  </si>
  <si>
    <t>Slovak Republic</t>
  </si>
  <si>
    <t>ESP</t>
  </si>
  <si>
    <t>HRV</t>
  </si>
  <si>
    <t>Croatia</t>
  </si>
  <si>
    <t>CYP</t>
  </si>
  <si>
    <t>Cyprus</t>
  </si>
  <si>
    <t>LVA</t>
  </si>
  <si>
    <t>Latvia</t>
  </si>
  <si>
    <t>MLT</t>
  </si>
  <si>
    <t>Malta</t>
  </si>
  <si>
    <t>ALB</t>
  </si>
  <si>
    <t>Albania</t>
  </si>
  <si>
    <t>MKD</t>
  </si>
  <si>
    <t>North Macedonia</t>
  </si>
  <si>
    <t>GIB</t>
  </si>
  <si>
    <t>Gibraltar</t>
  </si>
  <si>
    <t>Kosovo</t>
  </si>
  <si>
    <t>Republic of Moldova</t>
  </si>
  <si>
    <t>MNE</t>
  </si>
  <si>
    <t>Montenegro</t>
  </si>
  <si>
    <t>SRB</t>
  </si>
  <si>
    <t>Serbia</t>
  </si>
  <si>
    <t>Russian Federation</t>
  </si>
  <si>
    <t>KAZ</t>
  </si>
  <si>
    <t>Kazakhstan</t>
  </si>
  <si>
    <t>ARM</t>
  </si>
  <si>
    <t>Armenia</t>
  </si>
  <si>
    <t>GEO</t>
  </si>
  <si>
    <t>Georgia</t>
  </si>
  <si>
    <t>KGZ</t>
  </si>
  <si>
    <t>Kyrgyz Republic</t>
  </si>
  <si>
    <t>TJK</t>
  </si>
  <si>
    <t>Tajikistan</t>
  </si>
  <si>
    <t>HKG</t>
  </si>
  <si>
    <t>Hong Kong, China</t>
  </si>
  <si>
    <t>People's Republic of China</t>
  </si>
  <si>
    <t>Philippines</t>
  </si>
  <si>
    <t>BRN</t>
  </si>
  <si>
    <t>Brunei Darussalam</t>
  </si>
  <si>
    <t>KHM</t>
  </si>
  <si>
    <t>Cambodia</t>
  </si>
  <si>
    <t>LAO</t>
  </si>
  <si>
    <t>Lao People's Democratic Republic</t>
  </si>
  <si>
    <t>BGD</t>
  </si>
  <si>
    <t>Bangladesh</t>
  </si>
  <si>
    <t>TWN</t>
  </si>
  <si>
    <t>Chinese Taipei</t>
  </si>
  <si>
    <t>PRK</t>
  </si>
  <si>
    <t>Dem. People's Rep. of Korea</t>
  </si>
  <si>
    <t>MNG</t>
  </si>
  <si>
    <t>Mongolia</t>
  </si>
  <si>
    <t>NPL</t>
  </si>
  <si>
    <t>Nepal</t>
  </si>
  <si>
    <t>AFG</t>
  </si>
  <si>
    <t>Afghanistan</t>
  </si>
  <si>
    <t>BTN</t>
  </si>
  <si>
    <t>Bhutan</t>
  </si>
  <si>
    <t>MAC</t>
  </si>
  <si>
    <t>China, Macao SAR</t>
  </si>
  <si>
    <t>Cook Islands</t>
  </si>
  <si>
    <t>TLS</t>
  </si>
  <si>
    <t>Timor-Leste</t>
  </si>
  <si>
    <t>FJI</t>
  </si>
  <si>
    <t>Fiji</t>
  </si>
  <si>
    <t>PYF</t>
  </si>
  <si>
    <t>French Polynesia</t>
  </si>
  <si>
    <t>KIR</t>
  </si>
  <si>
    <t>Kiribati</t>
  </si>
  <si>
    <t>MDV</t>
  </si>
  <si>
    <t>Maldives</t>
  </si>
  <si>
    <t>NCL</t>
  </si>
  <si>
    <t>New Caledonia</t>
  </si>
  <si>
    <t>PLW</t>
  </si>
  <si>
    <t>Palau</t>
  </si>
  <si>
    <t>PNG</t>
  </si>
  <si>
    <t>Papua New Guinea</t>
  </si>
  <si>
    <t>WSM</t>
  </si>
  <si>
    <t>Samoa</t>
  </si>
  <si>
    <t>SLB</t>
  </si>
  <si>
    <t>Solomon Islands</t>
  </si>
  <si>
    <t>TON</t>
  </si>
  <si>
    <t>Tonga</t>
  </si>
  <si>
    <t>VUT</t>
  </si>
  <si>
    <t>Vanuatu</t>
  </si>
  <si>
    <t>Costa Rica</t>
  </si>
  <si>
    <t>CUB</t>
  </si>
  <si>
    <t>Cuba</t>
  </si>
  <si>
    <t>DOM</t>
  </si>
  <si>
    <t>Dominican Republic</t>
  </si>
  <si>
    <t>ECU</t>
  </si>
  <si>
    <t>Ecuador</t>
  </si>
  <si>
    <t>SLV</t>
  </si>
  <si>
    <t>El Salvador</t>
  </si>
  <si>
    <t>HTI</t>
  </si>
  <si>
    <t>Haiti</t>
  </si>
  <si>
    <t>HND</t>
  </si>
  <si>
    <t>Honduras</t>
  </si>
  <si>
    <t>JAM</t>
  </si>
  <si>
    <t>Jamaica</t>
  </si>
  <si>
    <t>CUW</t>
  </si>
  <si>
    <t>Curaçao</t>
  </si>
  <si>
    <t>NIC</t>
  </si>
  <si>
    <t>Nicaragua</t>
  </si>
  <si>
    <t>PAN</t>
  </si>
  <si>
    <t>Panama</t>
  </si>
  <si>
    <t>SUR</t>
  </si>
  <si>
    <t>Suriname</t>
  </si>
  <si>
    <t>TTO</t>
  </si>
  <si>
    <t>Trinidad and Tobago</t>
  </si>
  <si>
    <t>VEN</t>
  </si>
  <si>
    <t>Venezuela</t>
  </si>
  <si>
    <t>ATG</t>
  </si>
  <si>
    <t>Antigua and Barbuda</t>
  </si>
  <si>
    <t>ABW</t>
  </si>
  <si>
    <t>Aruba</t>
  </si>
  <si>
    <t>BHS</t>
  </si>
  <si>
    <t>Bahamas</t>
  </si>
  <si>
    <t>BRB</t>
  </si>
  <si>
    <t>Barbados</t>
  </si>
  <si>
    <t>BLZ</t>
  </si>
  <si>
    <t>Belize</t>
  </si>
  <si>
    <t>BMU</t>
  </si>
  <si>
    <t>Bermuda</t>
  </si>
  <si>
    <t>VGB</t>
  </si>
  <si>
    <t>British Virgin Islands</t>
  </si>
  <si>
    <t>CYM</t>
  </si>
  <si>
    <t>Cayman Islands</t>
  </si>
  <si>
    <t>DMA</t>
  </si>
  <si>
    <t>Dominica</t>
  </si>
  <si>
    <t>FLK</t>
  </si>
  <si>
    <t>Falkland Islands (Malvinas)</t>
  </si>
  <si>
    <t>GUF</t>
  </si>
  <si>
    <t>French Guiana</t>
  </si>
  <si>
    <t>GRD</t>
  </si>
  <si>
    <t>Grenada</t>
  </si>
  <si>
    <t>GLP</t>
  </si>
  <si>
    <t>Guadeloupe</t>
  </si>
  <si>
    <t>GUY</t>
  </si>
  <si>
    <t>Guyana</t>
  </si>
  <si>
    <t>MTQ</t>
  </si>
  <si>
    <t>Martinique</t>
  </si>
  <si>
    <t>MSR</t>
  </si>
  <si>
    <t>Montserrat</t>
  </si>
  <si>
    <t>KNA</t>
  </si>
  <si>
    <t>Saint Kitts and Nevis</t>
  </si>
  <si>
    <t>LCA</t>
  </si>
  <si>
    <t>Saint Lucia</t>
  </si>
  <si>
    <t>SPM</t>
  </si>
  <si>
    <t>Saint Pierre and Miquelon</t>
  </si>
  <si>
    <t>VCT</t>
  </si>
  <si>
    <t>Saint Vincent and the Grenadines</t>
  </si>
  <si>
    <t>TCA</t>
  </si>
  <si>
    <t>Turks and Caicos Islands</t>
  </si>
  <si>
    <t>TUN</t>
  </si>
  <si>
    <t>Tunisia</t>
  </si>
  <si>
    <t>AGO</t>
  </si>
  <si>
    <t>Angola</t>
  </si>
  <si>
    <t>BEN</t>
  </si>
  <si>
    <t>Benin</t>
  </si>
  <si>
    <t>BWA</t>
  </si>
  <si>
    <t>Botswana</t>
  </si>
  <si>
    <t>CMR</t>
  </si>
  <si>
    <t>Cameroon</t>
  </si>
  <si>
    <t>COG</t>
  </si>
  <si>
    <t>Congo</t>
  </si>
  <si>
    <t>CIV</t>
  </si>
  <si>
    <t>Côte d'Ivoire</t>
  </si>
  <si>
    <t>COD</t>
  </si>
  <si>
    <t>Democratic Republic of the Congo</t>
  </si>
  <si>
    <t>ERI</t>
  </si>
  <si>
    <t>Eritrea</t>
  </si>
  <si>
    <t>ETH</t>
  </si>
  <si>
    <t>Ethiopia</t>
  </si>
  <si>
    <t>GAB</t>
  </si>
  <si>
    <t>Gabon</t>
  </si>
  <si>
    <t>GHA</t>
  </si>
  <si>
    <t>Ghana</t>
  </si>
  <si>
    <t>KEN</t>
  </si>
  <si>
    <t>Kenya</t>
  </si>
  <si>
    <t>MUS</t>
  </si>
  <si>
    <t>Mauritius</t>
  </si>
  <si>
    <t>MOZ</t>
  </si>
  <si>
    <t>Mozambique</t>
  </si>
  <si>
    <t>NAM</t>
  </si>
  <si>
    <t>Namibia</t>
  </si>
  <si>
    <t>NER</t>
  </si>
  <si>
    <t>Niger</t>
  </si>
  <si>
    <t>SEN</t>
  </si>
  <si>
    <t>Senegal</t>
  </si>
  <si>
    <t>SDN</t>
  </si>
  <si>
    <t>Sudan</t>
  </si>
  <si>
    <t>SSD</t>
  </si>
  <si>
    <t>South Sudan</t>
  </si>
  <si>
    <t>TGO</t>
  </si>
  <si>
    <t>Togo</t>
  </si>
  <si>
    <t>TZA</t>
  </si>
  <si>
    <t>United Republic of Tanzania</t>
  </si>
  <si>
    <t>ZMB</t>
  </si>
  <si>
    <t>Zambia</t>
  </si>
  <si>
    <t>ZWE</t>
  </si>
  <si>
    <t>Zimbabwe</t>
  </si>
  <si>
    <t>BFA</t>
  </si>
  <si>
    <t>Burkina Faso</t>
  </si>
  <si>
    <t>BDI</t>
  </si>
  <si>
    <t>Burundi</t>
  </si>
  <si>
    <t>CPV</t>
  </si>
  <si>
    <t>Cabo Verde</t>
  </si>
  <si>
    <t>CAF</t>
  </si>
  <si>
    <t>Central African Republic</t>
  </si>
  <si>
    <t>TCD</t>
  </si>
  <si>
    <t>Chad</t>
  </si>
  <si>
    <t>COM</t>
  </si>
  <si>
    <t>Comoros</t>
  </si>
  <si>
    <t>DJI</t>
  </si>
  <si>
    <t>Djibouti</t>
  </si>
  <si>
    <t>GNQ</t>
  </si>
  <si>
    <t>Equatorial Guinea</t>
  </si>
  <si>
    <t>GMB</t>
  </si>
  <si>
    <t>Gambia</t>
  </si>
  <si>
    <t>GIN</t>
  </si>
  <si>
    <t>Guinea</t>
  </si>
  <si>
    <t>GNB</t>
  </si>
  <si>
    <t>Guinea-Bissau</t>
  </si>
  <si>
    <t>LSO</t>
  </si>
  <si>
    <t>Lesotho</t>
  </si>
  <si>
    <t>LBR</t>
  </si>
  <si>
    <t>Liberia</t>
  </si>
  <si>
    <t>MDG</t>
  </si>
  <si>
    <t>Madagascar</t>
  </si>
  <si>
    <t>MWI</t>
  </si>
  <si>
    <t>Malawi</t>
  </si>
  <si>
    <t>MLI</t>
  </si>
  <si>
    <t>Mali</t>
  </si>
  <si>
    <t>MRT</t>
  </si>
  <si>
    <t>Mauritania</t>
  </si>
  <si>
    <t>REU</t>
  </si>
  <si>
    <t>Réunion</t>
  </si>
  <si>
    <t>RWA</t>
  </si>
  <si>
    <t>Rwanda</t>
  </si>
  <si>
    <t>STP</t>
  </si>
  <si>
    <t>Sao Tome and Principe</t>
  </si>
  <si>
    <t>SYC</t>
  </si>
  <si>
    <t>Seychelles</t>
  </si>
  <si>
    <t>SLE</t>
  </si>
  <si>
    <t>Sierra Leone</t>
  </si>
  <si>
    <t>SOM</t>
  </si>
  <si>
    <t>Somalia</t>
  </si>
  <si>
    <t>SWZ</t>
  </si>
  <si>
    <t>Swaziland</t>
  </si>
  <si>
    <t>BHR</t>
  </si>
  <si>
    <t>Bahrain</t>
  </si>
  <si>
    <t>JOR</t>
  </si>
  <si>
    <t>Jordan</t>
  </si>
  <si>
    <t>KWT</t>
  </si>
  <si>
    <t>Kuwait</t>
  </si>
  <si>
    <t>SYR</t>
  </si>
  <si>
    <t>Syrian Arab Republic</t>
  </si>
  <si>
    <t>United Arab Emirates</t>
  </si>
  <si>
    <t>YEM</t>
  </si>
  <si>
    <t>Yemen</t>
  </si>
  <si>
    <t>N/A</t>
  </si>
  <si>
    <t>Load Factors</t>
  </si>
  <si>
    <t>https://northccuhub.eu/about-us/#Mission_%E2%80%93_Vision_%E2%80%93_Roadmap</t>
  </si>
  <si>
    <t>https://www.waterstofnet.eu/_asset/_public/Waterstofregio20/5-Presentatie-Colruyt-Group.pdf</t>
  </si>
  <si>
    <t>https://fuelcellsworks.com/news/belgium-green-light-for-a-hydrogen-production-and-distribution-station-in-charleroi/</t>
  </si>
  <si>
    <t>https://www.originenergy.com.au/about/investors-media/media-centre/origin_to_investigate_export_scale_green_hydrogen_project_in_tasmania.html</t>
  </si>
  <si>
    <t>https://fuelcellsworks.com/news/mhi-to-invest-in-green-hydrogen-green-ammonia-in-south-australia/?utm_source=FuelCellsWorks+Newsletter&amp;utm_campaign=eda0f36ba5-NEWSLETTER_ISSUE_21&amp;utm_medium=email&amp;utm_term=0_b0517d6085-eda0f36ba5-406702557&amp;mc_cid=eda0f36ba5&amp;mc_eid=da4624d261</t>
  </si>
  <si>
    <t>https://www.toshiba-energy.com/en/info/info2020_1105.htm</t>
  </si>
  <si>
    <t>https://www.pv-magazine.com/2020/11/17/danish-investment-fund-backs-5-gw-australian-renewable-hydrogen-project/</t>
  </si>
  <si>
    <t>https://www.steag.com/en/press-release/03-12-2020-green-hydrogen-for-green-steel-made-in-duisburg</t>
  </si>
  <si>
    <t>https://www.eni.com/en-IT/media/press-release/2020/12/enel-and-eni-jointly-develop-hydrogen-projects.html</t>
  </si>
  <si>
    <t>https://renewablesnow.com/news/plug-power-to-produce-green-hydrogen-with-power-from-brookfield-renewable-715248/</t>
  </si>
  <si>
    <t>https://www.deraktionaer.de/artikel/mobilitaet-oel-energie/nel-partner-yara-will-mit-wasserstoff-hoch-hinaus-20221908.html</t>
  </si>
  <si>
    <t>https://thecanadian.news/2020/12/08/air-liquide-has-started-industrial-production-of-green-hydrogen-in-becancour/</t>
  </si>
  <si>
    <t>https://elperiodicodelaenergia.com/amorebieta-el-primer-ciclo-combinado-que-producira-energia-a-partir-de-hidrogeno-verde-en-espana/?__cf_chl_captcha_tk__=8039d19212f3462381df127b8a9cc3e053c1550f-1607517109-0-AYCZX-eMzYJn6vnXMGB6-bFp7IDv48P0KN3HQjXP0uU5GOfHNHtl8qXtYfHetBgLaNp3tph6XikqOD5cmxoR-Rr0Pf8bIi6RJYBrccUvdEfwvCE1ykpfBxOjGo59vI-N521zFmTL6W51lo6RUqxFb9WiGNaFyGKXhdmE7m8JZkF6dCvoAxv1SKFgMJ-OzOFKQAzma8ellPKOQMLRiCJzTLpTnunCROhEdkyP9NKjj1lkhz1bjN0CLfFFVexDkumAkbzgCbDNYJMB4HweyY2gkxdsdOW1ipXhrrF2jHWhV3fQxOBTOysX5x6fwutoo1NWrcP2dq932bNhp4K7jqUJ78p4rT2gE9hf0qxnNmG3w6pLmrhBtQECDtQXdD_3wKUR8rmyzWF8LlMCqBoFl2jFDdxCFbcaLxpYJSYMk_Ta6fyHtDjEPeKXrXPtVF1opwJlX_jH36-deMi0RePUJjQvk6Z_AseQHCYrHcME5ppXdi7b_SGEwMwMJULYy3AbWnxXgK7eQHiHuivYKmTaXJHQErOdpEpjscZJFmWWoGEDjBb4W0DLpnfxlC1ozJb-UZ65v9LgDeQIXGNkLWAmLubINgT5fudTjQzGpAqsr9tRscq9-KKf6Q1k33NE99mG4lI5RhX1tt8yY-2s52ym-UCQS9U</t>
  </si>
  <si>
    <t>http://www.automotores-rev.com/estrategias-de-cummins-para-producir-hidrogeno-y-celdas-de-combustible/</t>
  </si>
  <si>
    <t>http://news.hydroquebec.com/en/news/229/developing-green-hydrogen-in-quebec-an-important-step-toward-a-carbon-free-economy/</t>
  </si>
  <si>
    <t>https://globalnews.ca/news/7508377/biofuel-plant-varennes-quebec/</t>
  </si>
  <si>
    <t>https://www.reuters.com/article/idUSL4N2IO1KX</t>
  </si>
  <si>
    <t>https://blog.topsoe.com/danish-partnership-sets-out-to-build-worlds-first-commercial-scale-green-ammonia-plant?utm_medium=email&amp;_hsmi=102353050&amp;_hsenc=p2ANqtz-8nRYYTKzEq3lRGKAsHTYG2RVNcEVT6qSj7jvef_4f15aTB252c35aNOmdoIeLONeMp3wnF9GZBRkeCw40IK7Yccjah4g&amp;utm_content=102353050&amp;utm_source=hs_email</t>
  </si>
  <si>
    <t>https://www.salzgitter-ag.com/en/newsroom/press-releases/details/-14588.html</t>
  </si>
  <si>
    <t>https://johncockerill.com/app/uploads/2020/12/201210-Joint-Development-Agreement-Carmeuse-ENGIE-and-John-Cockerill-ENG.pdf</t>
  </si>
  <si>
    <t>https://www.get-h2.de/en/get-h2-nukleus/</t>
  </si>
  <si>
    <t>https://www.get-h2.de/wp-content/uploads/geth2-nukleus_praesentation_en_201127.pdf</t>
  </si>
  <si>
    <t>https://www.rechargenews.com/transition/gigawatt-scale-the-worlds-13-largest-green-hydrogen-projects/2-1-933755?s=03</t>
  </si>
  <si>
    <t>https://www.aquaventus.org/#section-2</t>
  </si>
  <si>
    <t>https://ah2.com.au/</t>
  </si>
  <si>
    <t>https://www.ammoniaenergy.org/articles/h2u-moves-forward-with-3-gw-green-ammonia-export-plant/</t>
  </si>
  <si>
    <t>https://renewablesnow.com/news/queensland-gears-to-become-domestic-green-hydrogen-hub-688909/</t>
  </si>
  <si>
    <t>https://www.windtech-international.com/projects-and-contracts/siemens-gamesa-develops-hydrogen-pilot-project-in-brande-denmark</t>
  </si>
  <si>
    <t>https://www.h2-view.com/story/power-to-green-hydrogen-mallorca-project-progresses/</t>
  </si>
  <si>
    <t>https://www.snam.it/en/Media/Press-releases/2021/Tenaris_Edison_Snam_trial_steelmaking_green_hydrogen_Dalmine_Italy.html</t>
  </si>
  <si>
    <t>https://www.greentechmedia.com/articles/read/engie-and-neoen-to-build-1gw-solar-battery-and-hydrogen-project?utm_medium=email&amp;utm_source=Daily&amp;utm_campaign=GTMDaily</t>
  </si>
  <si>
    <t>https://www.technipfmc.com/en/what-we-do/subsea/energy-transition-deep-purple/</t>
  </si>
  <si>
    <t>https://www.rechargenews.com/wind/deep-purple-seabed-hydrogen-storage-for-offshore-wind-plan/2-1-617947</t>
  </si>
  <si>
    <t>https://www.expansion.com/empresas/energia/2021/01/10/5ffada9f468aebdd0a8b4611.html</t>
  </si>
  <si>
    <t>https://www.lavanguardia.com/vida/20201210/6109974/comunidad-madrid-construira-planta-hidrogeno-verde.html</t>
  </si>
  <si>
    <t>https://www.siemensgamesa.com/es-es/-/media/siemensgamesa/downloads/es/newsroom/2020/12/siemens-gamesa-press-release-hydrogen-pilot-project-es.pdf</t>
  </si>
  <si>
    <t>https://www.eleconomista.es/pais_vasco/noticias/10923476/12/20/La-primera-planta-de-hidrogeno-verde-estara-operativa-en-Amorebieta-en-2022.html</t>
  </si>
  <si>
    <t>https://elperiodicodelaenergia.com/enagas-y-acciona-lanzan-su-planta-de-hidrogeno-verde-de-mallorca/?__cf_chl_captcha_tk__=9a2f97659e1b03545142ab0966c4b28b2b4372ca-1610529524-0-AT_X3LCaGQO3NNk8ZEU76soJKnR9nGRYEKBWZ5khIOVsXGd684mX5qEXg_uvW9wM9b6WOM4Wky2v9jcCoKshgvjYdjlaqwAvWSIef5mST8JJ2i-FSBVZo3tyHPNTDygWVHvOCbvQyvou8onePa0PyEaecxEwn0sCVFOLaJrO6Scp21P12WEas-7zLIHT0ECFttxRakTTXgqpoY_uT-9GpDpRTTLgwdKEa5Hk5I1NEvC-dvxFTns0lGovodf-tuMD6NNgSgf8oks2p0ULlbfgD0w1FOjhMBZGd8uteJ62FTbO4rzkusFI5m1lvcu3lwf9sivZdVKGX4VSRbtxccQKcil7bqKJbK3_K9D4vBv_dSkgf7TTuiEy9bmr5OzB6eF4pRKq68BE-uaF1L8mLz2AJ-I2MoYFTCafPYD9F8R8NrpLnIj-q2GMopoFaPpMRqNLvlj07rjjG-3B1aefVgXPUoxbPczCRd5mv0JCrGNna92jz3ZIvWzYHREfAflDrhhle4Yss3klHp1m5SsheFfMjsinoJJMhommIeD3P0qxLgWiSZUovqmcd67zoU3cjTHcs3GyDaBmnIAzhfXoTpYEsmQW1Q7j4NprkjaDczJ_GfMQ</t>
  </si>
  <si>
    <t>https://www.enagas.es/stfls/ENAGAS/Notas%20de%20prensa/20201229%20Proyecto%20hidr%C3%B3geno%20verde.pdf</t>
  </si>
  <si>
    <t>https://www.rechargenews.com/transition/linde-to-build-world-s-largest-electrolyser-to-produce-green-hydrogen/2-1-944080?utm_source=emailsharing</t>
  </si>
  <si>
    <t>IJGlobal - Strike Energy launches A$2bn urea
project</t>
  </si>
  <si>
    <t>https://www.thyssenkrupp.com/en/newsroom/press-releases/pressdetailpage/first-green-hydrogen-project-becomes-reality--thyssenkrupp-to-install-88-megawatt-water-electrolysis-plant-for-hydro-quebec-in-canada-93778</t>
  </si>
  <si>
    <t xml:space="preserve">https://www.energyvoice.com/renewables-energy-transition/hydrogen/europe-hydrogen/292648/orsted-fid-green-hydrogen/#:~:text=Sign%20Up-,%C3%98rsted%20has%20taken%20a%20final%20investment%20decision%20(FID)%20on%20its,energy%20to%20produce%20green%20hydrogen. </t>
  </si>
  <si>
    <t>https://www.naturgy.com/enagas_y_naturgy_impulsan_en_leon_la_mayor_planta_de__hidrogeno_verde_de_espana</t>
  </si>
  <si>
    <t>https://www.spglobal.com/marketintelligence/en/news-insights/latest-news-headlines/poland-s-hydrogen-strategy-aims-for-2-gw-of-electrolysis-by-2030-61971797</t>
  </si>
  <si>
    <t>https://fuelcellsworks.com/news/mitsubishi-heavy-industries-shell-vattenfall-and-warme-hamburg-sign-letter-of-intent-for-100-mw-hydrogen-project-at-moorburg-in-hamburg/?mc_cid=fa471ff86a&amp;mc_eid=da4624d261</t>
  </si>
  <si>
    <t>https://fuelcellsworks.com/news/woodside-signs-hydrogen-mou-with-tasmanian-government-on-renewable-hydrogen-production-facility/</t>
  </si>
  <si>
    <t>https://www.pv-magazine.com/2021/01/26/sumitomo-reveals-hydrogen-plans-in-australia-oman/</t>
  </si>
  <si>
    <t>https://www.spglobal.com/platts/en/market-insights/latest-news/electric-power/012221-japans-sumitomo-eyes-green-hydrogen-output-in-australias-gladstone-in-2023</t>
  </si>
  <si>
    <t xml:space="preserve">https://open.alberta.ca/dataset/f74375f3-3c73-4b9c-af2b-ef44e59b7890/resource/ff260985-e616-4d2e-92e0-9b91f5590136/download/energy-quest-annual-summary-alberta-department-of-energy-2019.pdf </t>
  </si>
  <si>
    <t>https://www.repsol.com/en/press-room/press-releases/2021/repsol-joins-international-consortium-to-develop-cutting-edge-renewable-hydrogen-technology.cshtml</t>
  </si>
  <si>
    <t>https://www.eu-japan.eu/sites/default/files/publications/docs/hydrogen_and_fuel_cells_in_japan.pdf</t>
  </si>
  <si>
    <t>https://www.lavozdegalicia.es/noticia/ferrol/as-pontes-de-garcia-rodriguez/2021/01/28/endesa-invertira-cien-millones-planta-hidrogeno-as-pontes/00031611865046071316641.htm</t>
  </si>
  <si>
    <t xml:space="preserve">https://www.siew.gov.sg/docs/default-source/default-document-library/siew-energy-insights/the-reids-spore-platform-by-loic-villocel-and-dr-peng-xiaoyang.pdf?sfvrsn=2 </t>
  </si>
  <si>
    <t>https://www.hydrogenfuelnews.com/fuel-cell-forklifts-powered-in-japan-with-solar-hydrogen-energy/8537581/</t>
  </si>
  <si>
    <t>https://hynet.co.uk/app/uploads/2020/10/HyNet_NW-Vision-Document-2020_FINAL.pdf</t>
  </si>
  <si>
    <t>https://projektinfos.energiewendebauen.de/en/research-in-dialogue/news-from-research/detail/esslingen-district-setting-up-its-own-hydrogen-production/</t>
  </si>
  <si>
    <t>https://www.linkedin.com/feed/update/urn:li:activity:6760234702914772992/</t>
  </si>
  <si>
    <t>https://cincodias.elpais.com/cincodias/2021/01/29/companias/1611950644_648508.html?id_externo_rsoc=TW_CC</t>
  </si>
  <si>
    <t>https://www.endesa.com/es/prensa/sala-de-prensa/noticias/transicion-energetica/endesa-contempla-desarrollo-23-proyectos-hidrogeno-verde-espana</t>
  </si>
  <si>
    <t>https://fuelcellsworks.com/news/green-hydrogen-air-liquide-electrolysis-with-h2v/?mc_cid=97c6cd5d96&amp;mc_eid=da4624d261</t>
  </si>
  <si>
    <t>Announced Size</t>
  </si>
  <si>
    <t>https://mcphy.com/fr/communiques/zero-emission-valley-2/?cn-reloaded=1</t>
  </si>
  <si>
    <t>https://www.energias-renovables.com/hidrogeno/bahia-h2-el-proyecto-con-el-que-20210112/</t>
  </si>
  <si>
    <t>https://ijglobal.com/articles/153070/jv-inks-terms-on-oz-hydrogen</t>
  </si>
  <si>
    <t>https://www.csenergy.com.au/news/queensland-collaborates-with-japan-on-green-hydrogen-plant</t>
  </si>
  <si>
    <t>https://www.pv-magazine.com/2021/01/29/solar-powered-hydrogen-for-masdar-city/</t>
  </si>
  <si>
    <t>https://www.energyvoice.com/renewables-energy-transition/ccs/uk-ccs/294427/storegga-geotechnologies-acorn-project-fid/</t>
  </si>
  <si>
    <t>https://group.vattenfall.com/press-and-media/pressreleases/2021/vattenfall-and-preem-look-into-large-scale-production-of-fossil-free-hydrogen-in-lysekil</t>
  </si>
  <si>
    <t>https://www.uniper.energy/news/uniper-and-port-of-rotterdam-authority-start-feasibility-study-for-green-hydrogen-plant-at-maasvlakte</t>
  </si>
  <si>
    <t>https://fuelcellsworks.com/news/australian-gas-infrastructure-group-agig-partners-on-two-renewable-hydrogen-project/</t>
  </si>
  <si>
    <t>https://www.upstreamonline.com/energy-transition/px-group-confident-in-bid-to-kick-start-humber-blue-hydrogen-scheme/2-1-958419</t>
  </si>
  <si>
    <t>https://www.smartenergy.net/100mw-green-hydrogen-project-to-decarbonize-the-full-value-chain-of-one-of-the-major-european-ceramic-clusters/</t>
  </si>
  <si>
    <t>https://ijglobal.com/articles/153317/enel-and-saras-to-develop-hydrogen-project-in-italy</t>
  </si>
  <si>
    <t>https://www.h2-view.com/story/plans-unveiled-for-green-hydrogen-site-at-french-energy-from-waste-unit/</t>
  </si>
  <si>
    <t>https://renewablesnow.com/news/naturgy-enagas-to-go-for-h2-from-350-mw-of-onshore-floating-wind-in-spain-729879/</t>
  </si>
  <si>
    <t>https://fuelcellsworks.com/news/green-energy-for-isolated-areas-with-hydrogen-technology/</t>
  </si>
  <si>
    <t>https://www.nellionaire.com/sunline/</t>
  </si>
  <si>
    <t>https://www.cewep.eu/wuppteral-hydrogen-buses/</t>
  </si>
  <si>
    <t>https://nelhydrogen.com/wp-content/uploads/2021/02/Nel_2020_Q4_Presentation.pdf</t>
  </si>
  <si>
    <t>BF blending</t>
  </si>
  <si>
    <t>Other iron and steel</t>
  </si>
  <si>
    <t>Other chemicals</t>
  </si>
  <si>
    <t>Non-specified other industry</t>
  </si>
  <si>
    <t>https://renews.biz/66655/cip-unveils-plans-for-esbjerg-green-ammonia-plant/</t>
  </si>
  <si>
    <t>https://www.rechargenews.com/markets/worlds-largest-green-steel-from-hydrogen-plan-backed-by-spotify-billionaire-ek/2-1-968432</t>
  </si>
  <si>
    <t>https://www.barrons.com/news/investment-firm-pans-hydrogen-powered-steel-plant-in-sweden-01614087012?tesla=y#:~:text=Long%20Read-,Investment%20Firm%20Plans%20Hydrogen%20Powered%20Steel%20Plant%20In%20Sweden,a%20pioneer%20in%20the%20field.</t>
  </si>
  <si>
    <t>Non-metallic minerals</t>
  </si>
  <si>
    <t>Imported Hydrogen from supply</t>
  </si>
  <si>
    <t>Chemicals</t>
  </si>
  <si>
    <t xml:space="preserve">Various </t>
  </si>
  <si>
    <t>H2 DRI</t>
  </si>
  <si>
    <t>https://www.th-energy.net/english/platform-hydrogen-applications/flagship-projects-generation-electrolyzers/</t>
  </si>
  <si>
    <t>https://www.ir.plugpower.com/Press-Releases/Press-Release-Details/2021/Plug-Power-to-Build-North-Americas-Largest-Green-Hydrogen-Production-Facility-in-Western-New-York/default.aspx</t>
  </si>
  <si>
    <t>https://fuelcellsworks.com/news/basque-hydrogen-corridor-unveiled-a-e1-3billion-hydrogen-project/</t>
  </si>
  <si>
    <t>Concept</t>
  </si>
  <si>
    <t>https://mcphy.com/en/news/hydeal-ambition/</t>
  </si>
  <si>
    <t>https://asia.nikkei.com/Business/Companies/South-Korea-s-SK-bets-16bn-on-hydrogen-Five-things-to-know</t>
  </si>
  <si>
    <t>https://www.donga.com/en/article/all/20201202/2258721/1/SK-Holdings-announces-plans-to-enter-hydrogen-industry</t>
  </si>
  <si>
    <t>https://www.greentechmedia.com/articles/read/nextera-energy-to-build-its-first-green-hydrogen-plant-in-florida</t>
  </si>
  <si>
    <t>https://www.h2-view.com/story/siemens-energy-and-intermountain-power-agency-join-forces-on-utility-scale-hydrogen-pilot-project/</t>
  </si>
  <si>
    <t>https://www.h2-view.com/story/shell-to-upgrade-existing-hydrogen-facility-to-develop-sustainable-aviation-fuels/</t>
  </si>
  <si>
    <t>https://www.globalbankingandfinance.com/shell-in-germany-seeks-to-speed-up-drive-to-go-green/</t>
  </si>
  <si>
    <t>https://noticiaslogisticaytransporte.com/nuevas-tendencias/01/03/2021/fm-logistic-y-h2b2-podran-en-marcha-una-estacion-de-servicio-de-hidrogeno/163313.html</t>
  </si>
  <si>
    <t>https://www.ayto-pinto.es/actualidad/-/publicador/noticias-la-primera-planta-de-hidrogeno-verde-con-agua-regenerada-de-espana-se-construira-en-pinto/iF3JwwrCWEmd?p_p_auth=xm9zsaFN</t>
  </si>
  <si>
    <t>https://www.bloomenergy.com/newsroom/press-releases/bloom-energy-and-sk-ec-win-competitive-bid#:~:text=Bloom%20Energy%20will%20supply%201.8,from%20late%202021%20into%202022.&amp;text=In%20addition%2C%20Bloom%20Energy%20intends,to%20the%20site%20in%202022.</t>
  </si>
  <si>
    <t>http://www.finanztreff.de/news/uniper-plant-anlandeterminal-fuer-gruenes-ammoniak-in-wilhemshaven/23760196</t>
  </si>
  <si>
    <t>https://co2re.co/FacilityData</t>
  </si>
  <si>
    <t>https://realiseccus.eu/news/blog-chinese-case-study-set-deliver-co2-capture-insights</t>
  </si>
  <si>
    <t>https://www.cslforum.org/cslf/sites/default/files/documents/AbuDhabi2017/AbuDhabi17-TW-Sakaria-Session2.pdf</t>
  </si>
  <si>
    <t>https://www.h2-mobile.fr/actus/hydrogene-hyport-choisit-mcphy-transdev-future-station-h2-toulouse/</t>
  </si>
  <si>
    <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t>
  </si>
  <si>
    <t>https://www.energy.sener/es/notas-prensa/petronor-y-sener-formalizan-el-acuerdo-para-la-puesta-en-marcha-de-la-primera-planta-de-electrolizadores</t>
  </si>
  <si>
    <t>https://www.pv-magazine.com/2021/02/12/new-european-project-to-drive-95-gw-of-solar-and-67-gw-of-hydrogen/</t>
  </si>
  <si>
    <t>https://www.spglobal.com/marketintelligence/en/news-insights/latest-news-headlines/northwest-natural-aims-to-develop-large-scale-ore-green-hydrogen-project-60697835</t>
  </si>
  <si>
    <t>https://environmental-initiative.org/news/centerpoint-energy-pursuing-a-clean-energy-future/</t>
  </si>
  <si>
    <t>https://www.spglobal.com/marketintelligence/en/news-insights/latest-news-headlines/new-jersey-resources-plots-new-strategy-focused-on-renewable-energy-61510875</t>
  </si>
  <si>
    <t>https://www.wartsila.com/media/news/18-05-2020-wartsila-and-vantaa-energy-ltd-to-cooperate-on-a-carbon-neutral-synthetic-biogas-production-project-in-finland-2709538</t>
  </si>
  <si>
    <t>https://www.df.cl/noticias/empresas/energia/aes-gener-da-primer-paso-en-chile-para-desarrollar-proyecto-en-base-a/2021-03-03/200353.html</t>
  </si>
  <si>
    <t>https://www.saudigulfprojects.com/2021/02/omans-pdo-awards-green-hydrogen-study-projects/</t>
  </si>
  <si>
    <t>https://cache.webcasts.com/content/read001/1434093/content/991885ffeedbb065f596f2a0ac6f40ac078995f3/pdf/Wartsila_Slide_Deck_3.9.21.pdf</t>
  </si>
  <si>
    <t>https://www.rechargenews.com/transition/siemens-energy-and-spic-in-green-hydrogen-deal-for-major-sports-event-in-china/2-1-860294</t>
  </si>
  <si>
    <t>https://www.tuvsud.cn/zh-cn/press-and-media/2020/september/completed-wind-power-dynamic-electrolysis-hydrogen-production-system-operation-test?utm_campaign=China%20Clean%20Energy%20Syndicate%20&amp;utm_medium=email&amp;utm_source=Revue%20newsletter</t>
  </si>
  <si>
    <t>http://chuneng.bjx.com.cn/news/20201015/1109864.shtml?utm_campaign=China%20Clean%20Energy%20Syndicate%20&amp;utm_medium=email&amp;utm_source=Revue%20newsletter</t>
  </si>
  <si>
    <t>https://energyiceberg.com/ten-chinese-green-hydrogen-companies/</t>
  </si>
  <si>
    <t>https://energyiceberg.com/china-renewable-green-hydrogen/</t>
  </si>
  <si>
    <t>https://mcphy.com/en/press-releases/power_to_gas_mcphy_hebei_delivery/?cn-reloaded=1</t>
  </si>
  <si>
    <t>https://energyiceberg.com/the-final-sprints-to-subsidy-china-clean-energy-syndicate/</t>
  </si>
  <si>
    <t>https://www.evwind.es/2019/07/20/goldwind-joins-20gw-hydrogen-plan-in-china/68122</t>
  </si>
  <si>
    <t>https://www.salzgitter-ag.com/de/newsroom/pressemeldungen/details/windwasserstoff-salzgitter-windh2-ein-wichtiger-schritt-auf-dem-weg-zur-dekarbonisierung-der-stahlindustrie-14823.html</t>
  </si>
  <si>
    <t>https://ijglobal.com/articles/153820/eew-to-build-green-hydrogen-plant-progressing-with-ipo</t>
  </si>
  <si>
    <t>https://www.power-eng.com/gas/national-grid-in-jv-to-build-new-york-green-hydrogen-storage-delivery-project/</t>
  </si>
  <si>
    <t>https://fuelcellsworks.com/news/the-port-of-malaga-is-committed-to-green-hydrogen-with-the-digital-h2-green-project/</t>
  </si>
  <si>
    <t>https://www.h2-view.com/story/five-hydrogen-plants-planned-for-italy-and-the-mediterranean-basis/</t>
  </si>
  <si>
    <t>https://ijglobal.com/articles/153847/thyssenkrupp-and-steag-to-build-500mw-green-hydrogen-plant</t>
  </si>
  <si>
    <t>https://ir.q4europe.com/Tools/newsArticleHTML.aspx?solutionID=3512&amp;customerKey=itmpower&amp;storyID=14931292&amp;language=en</t>
  </si>
  <si>
    <t>https://ir.q4europe.com/Tools/newsArticleHTML.aspx?solutionID=3512&amp;customerKey=itmpower&amp;storyID=14682293&amp;language=en</t>
  </si>
  <si>
    <t>https://ir.q4europe.com/Tools/newsArticleHTML.aspx?solutionID=3512&amp;customerKey=itmpower&amp;storyID=14667777&amp;language=en</t>
  </si>
  <si>
    <t>https://ir.q4europe.com/Tools/newsArticleHTML.aspx?solutionID=3512&amp;customerKey=itmpower&amp;storyID=14489824&amp;language=en</t>
  </si>
  <si>
    <t>https://ir.q4europe.com/Tools/newsArticleHTML.aspx?solutionID=3512&amp;customerKey=itmpower&amp;storyID=14360203&amp;language=en</t>
  </si>
  <si>
    <t>https://ir.q4europe.com/Tools/newsArticleHTML.aspx?solutionID=3512&amp;customerKey=itmpower&amp;storyID=14184657&amp;language=en</t>
  </si>
  <si>
    <t>https://ir.q4europe.com/Tools/newsArticleHTML.aspx?solutionID=3512&amp;customerKey=itmpower&amp;storyID=14252224&amp;language=en</t>
  </si>
  <si>
    <t>https://ir.q4europe.com/Tools/newsArticleHTML.aspx?solutionID=3512&amp;customerKey=itmpower&amp;storyID=14068801&amp;language=en</t>
  </si>
  <si>
    <t>https://ir.q4europe.com/Tools/newsArticleHTML.aspx?solutionID=3512&amp;customerKey=itmpower&amp;storyID=13861111&amp;language=en</t>
  </si>
  <si>
    <t>https://www.h2-view.com/story/qem-looks-to-produce-green-hydrogen-at-julia-creek/</t>
  </si>
  <si>
    <t>https://chemengonline.com/inovyn-plans-20-mw-green-hydrogen-project-in-norway/</t>
  </si>
  <si>
    <t>https://news.klm.com/world-first-in-the-netherlands-by-klm-shell-and-dutch-ministry-for-infrastructure-and-water-management-first-passenger-flight-performed-with-sustainable-synthetic-kerosene/</t>
  </si>
  <si>
    <t>https://www.h2-view.com/story/itm-power-makes-first-sale-in-japan-sells-1-4mw-electrolyser-to-sumitomo-corp/</t>
  </si>
  <si>
    <t>https://www.bp.com/en/global/corporate/news-and-insights/press-releases/bp-plans-uks-largest-hydrogen-project.html</t>
  </si>
  <si>
    <t>https://www.mitsubishicorp.com/jp/en/pr/archive/2021/html/0000046720.html</t>
  </si>
  <si>
    <t>https://www.spglobal.com/platts/en/market-insights/latest-news/oil/110420-analysis-refinery-closures-in-southeast-asia-oceania-to-open-new-outlets-for-gasoline-exporters</t>
  </si>
  <si>
    <t>https://www.omv.com/en/news/210215-omv-and-kommunalkredit-invest-in-green-hydrogen-production</t>
  </si>
  <si>
    <t>https://www.h2-view.com/story/norwegian-barents-blue-project-to-be-considered-for-ipcei/</t>
  </si>
  <si>
    <t>https://www.offshore-energy.biz/saga-pure-takes-stake-in-blue-ammonia-company/</t>
  </si>
  <si>
    <t>https://www.horisontenergi.no/haldor-topsoe-selected-as-technology-licensor-for-the-barents-blue-ammonia-plant/</t>
  </si>
  <si>
    <t>Presentation from World Hydrogen Iberia 2021</t>
  </si>
  <si>
    <t>https://www.prnewswire.com/news-releases/nauticol-energy-and-enhance-energy-partner-to-capture-up-to-one-million-tonnes-of-co2-annually-from-blue-methanol-production-and-distribution-business-301253245.html</t>
  </si>
  <si>
    <t>https://globalnews.ca/news/7714950/proposed-alberta-methanol-project-carbon-capture/</t>
  </si>
  <si>
    <t>https://evolugen.com/news-releases/</t>
  </si>
  <si>
    <t>https://www.pv-magazine.com/2021/01/22/bangladesh-joins-hydrogen-energy-race/</t>
  </si>
  <si>
    <t>https://fuelcellsworks.com/news/enegix-energy-partners-with-black-veatch-on-green-hydrogen-plant-in-ceara-brazil/?mc_cid=fbb2a1bb9c&amp;mc_eid=da4624d261</t>
  </si>
  <si>
    <t>https://energynow.tt/blog/newgen-hydrogen-project-update</t>
  </si>
  <si>
    <t>20MW</t>
  </si>
  <si>
    <t>4MW</t>
  </si>
  <si>
    <t>Solar PV Plant port of Sines - phase I</t>
  </si>
  <si>
    <t>Unknown PtX</t>
  </si>
  <si>
    <t>10MW</t>
  </si>
  <si>
    <t>[495][607][608]</t>
  </si>
  <si>
    <t>Solar PV Plant port of Sines - phase II</t>
  </si>
  <si>
    <t>1GW</t>
  </si>
  <si>
    <t>H2GO - 1st phase</t>
  </si>
  <si>
    <t>2.5MW</t>
  </si>
  <si>
    <t>[503][630][609]</t>
  </si>
  <si>
    <t>H2GO - 2nd phase</t>
  </si>
  <si>
    <t>26MW</t>
  </si>
  <si>
    <t>NortH2, phase 1</t>
  </si>
  <si>
    <t>[379]</t>
  </si>
  <si>
    <t>Norsk e-Fuel Phase 1</t>
  </si>
  <si>
    <t>[414] [521]</t>
  </si>
  <si>
    <t>Norsk e-Fuel Phase 2</t>
  </si>
  <si>
    <t>100 million litres of synthetic kerosene per year</t>
  </si>
  <si>
    <t>HYBRIT pilot</t>
  </si>
  <si>
    <t>4.5MW</t>
  </si>
  <si>
    <t>[299] [340] [434] [576]</t>
  </si>
  <si>
    <t>HYBRIT demo</t>
  </si>
  <si>
    <t>[299] [340]</t>
  </si>
  <si>
    <t>Fertiberia/Iberdrola - Puertollano I</t>
  </si>
  <si>
    <t>20 MW</t>
  </si>
  <si>
    <t>[567] [572][620][631]</t>
  </si>
  <si>
    <t>Power to Green H2 Mallorca - Phase 1</t>
  </si>
  <si>
    <t>0.33kt H2/y</t>
  </si>
  <si>
    <t>[317] [319] [594] [682] [691] [692]</t>
  </si>
  <si>
    <t>Power to Green H2 Mallorca (GREEN HYSLAND) - Phase 2</t>
  </si>
  <si>
    <t>7.5 MW</t>
  </si>
  <si>
    <t>[317] [319] [612] [682] [691]</t>
  </si>
  <si>
    <t>Drax Humber cluster completion</t>
  </si>
  <si>
    <t>ATR+CCS</t>
  </si>
  <si>
    <t>[276] [482]</t>
  </si>
  <si>
    <t>CRI project in Norway</t>
  </si>
  <si>
    <t>100000 t MeOH/y</t>
  </si>
  <si>
    <t>[413]</t>
  </si>
  <si>
    <t>ARIES project</t>
  </si>
  <si>
    <t>1.25 MW</t>
  </si>
  <si>
    <t>[613] [614]</t>
  </si>
  <si>
    <t>Fukushima Hydrogen Energy Research Field</t>
  </si>
  <si>
    <t>10 MW</t>
  </si>
  <si>
    <t>[58] [135] [326] [327] [328]</t>
  </si>
  <si>
    <t>2 MW</t>
  </si>
  <si>
    <t>[239] [354] [546]</t>
  </si>
  <si>
    <t>Apex Energy, Rostock-Laage</t>
  </si>
  <si>
    <t>[577][578]</t>
  </si>
  <si>
    <t>Leuchtturmprojekt Power-to-Gas Baden-Württemberg</t>
  </si>
  <si>
    <t>1.3 MW</t>
  </si>
  <si>
    <t>[435] [545]</t>
  </si>
  <si>
    <t>eFarm (5 production sites in North Frisia)</t>
  </si>
  <si>
    <t>1.125 MW</t>
  </si>
  <si>
    <t>[236] [355][585]</t>
  </si>
  <si>
    <t>Hydrogen plant - Orkney Islands - BIG HIT 2n phase</t>
  </si>
  <si>
    <t>1 MW</t>
  </si>
  <si>
    <t>[383] [547]</t>
  </si>
  <si>
    <t>Wyhlen hydroelectric power plant</t>
  </si>
  <si>
    <t>[239] [354] [546] [737]</t>
  </si>
  <si>
    <t>GrInHy2.0</t>
  </si>
  <si>
    <r>
      <t>0.72 MW - 200 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</si>
  <si>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[298] [333] [586] [672]</t>
  </si>
  <si>
    <t>Power2Met</t>
  </si>
  <si>
    <r>
      <t>0.25 MW - 50 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</si>
  <si>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[565]</t>
  </si>
  <si>
    <t>REMOTE - Norway</t>
  </si>
  <si>
    <t>50 kW</t>
  </si>
  <si>
    <t>[423]</t>
  </si>
  <si>
    <t>H2One - Toranomon Hills Business Tower</t>
  </si>
  <si>
    <r>
      <t>1 m</t>
    </r>
    <r>
      <rPr>
        <vertAlign val="superscript"/>
        <sz val="7"/>
        <color theme="1"/>
        <rFont val="Corbel"/>
        <family val="2"/>
      </rPr>
      <t>3</t>
    </r>
    <r>
      <rPr>
        <sz val="10"/>
        <color theme="1"/>
        <rFont val="Corbel"/>
        <family val="2"/>
      </rPr>
      <t>/h</t>
    </r>
  </si>
  <si>
    <t>[548]</t>
  </si>
  <si>
    <t xml:space="preserve">H2One - Toyama City Environment Center </t>
  </si>
  <si>
    <t>[549]</t>
  </si>
  <si>
    <t>H2One - Tsuruga City</t>
  </si>
  <si>
    <t>[550]</t>
  </si>
  <si>
    <t>H2FUTURE</t>
  </si>
  <si>
    <t>6 MW</t>
  </si>
  <si>
    <t>[342]</t>
  </si>
  <si>
    <t>Guangdong Synergy Hydrogen Power Technology Co. 1st phase</t>
  </si>
  <si>
    <t>4 MW</t>
  </si>
  <si>
    <t>[352]</t>
  </si>
  <si>
    <t>Markham Energy Storage, Ontario</t>
  </si>
  <si>
    <t>2.5 MW</t>
  </si>
  <si>
    <t>[394]</t>
  </si>
  <si>
    <t>PFI - Pirmasens-Winzeln</t>
  </si>
  <si>
    <t>[604]</t>
  </si>
  <si>
    <t>HRS CMB</t>
  </si>
  <si>
    <t>[432]</t>
  </si>
  <si>
    <t>MEFCO2</t>
  </si>
  <si>
    <r>
      <t>1 MW - 200m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 - 1t MeOH/d</t>
    </r>
  </si>
  <si>
    <t>[2], [4], [8], [50], [51] [408]</t>
  </si>
  <si>
    <t>Windgas Haurup, 2nd phase</t>
  </si>
  <si>
    <t>[440] [737]</t>
  </si>
  <si>
    <t>Parnu refuelling station</t>
  </si>
  <si>
    <r>
      <t>1 MW - 200m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</si>
  <si>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H2Nodes, Parnu</t>
  </si>
  <si>
    <r>
      <t>185 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</si>
  <si>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[390] [391] [437]</t>
  </si>
  <si>
    <r>
      <t>140 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</si>
  <si>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SMT-AG Artois-Gohelle</t>
  </si>
  <si>
    <t>0.5 MW</t>
  </si>
  <si>
    <t>HyDeploy</t>
  </si>
  <si>
    <t>[269] [302] [436]</t>
  </si>
  <si>
    <t>Quebec Great Toronto Area East</t>
  </si>
  <si>
    <r>
      <t>0.5 MW - 100m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</si>
  <si>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[458]</t>
  </si>
  <si>
    <t>Pau bus station HRS</t>
  </si>
  <si>
    <t>[547]</t>
  </si>
  <si>
    <t>Solothurn, STORE&amp;GO</t>
  </si>
  <si>
    <t>0.35 MW</t>
  </si>
  <si>
    <t>[372]</t>
  </si>
  <si>
    <t>Sarawak Energy</t>
  </si>
  <si>
    <t>60 m3/h</t>
  </si>
  <si>
    <t>[240] [357]</t>
  </si>
  <si>
    <t>Vårgårda Bostäder housing complex</t>
  </si>
  <si>
    <t>SoCalGas-NREL</t>
  </si>
  <si>
    <t>0.25 MW</t>
  </si>
  <si>
    <t>[3] [109]</t>
  </si>
  <si>
    <t>Stromlückenfüller 2nd phase</t>
  </si>
  <si>
    <t>0.2 MW</t>
  </si>
  <si>
    <t>[427]</t>
  </si>
  <si>
    <t>ATCO clean energy innovation hub</t>
  </si>
  <si>
    <t>0.15MW</t>
  </si>
  <si>
    <t>[306] [307]</t>
  </si>
  <si>
    <t>Tauron CO2-SNG</t>
  </si>
  <si>
    <t>18 m3/h</t>
  </si>
  <si>
    <t>[3], [92], [93]</t>
  </si>
  <si>
    <t>Methane Synthesis test facility in Koshijihara Plant of INPEX’s - Nagaoa</t>
  </si>
  <si>
    <t>VTT Bio economy+</t>
  </si>
  <si>
    <t>0.025MW</t>
  </si>
  <si>
    <t>[234] [389]</t>
  </si>
  <si>
    <t>Kopernikus</t>
  </si>
  <si>
    <t>0.01 MW - 10m3 H2/h</t>
  </si>
  <si>
    <t>[445]</t>
  </si>
  <si>
    <t>Rozenburg Power2Gas Phase 2</t>
  </si>
  <si>
    <t>0.007 MW</t>
  </si>
  <si>
    <t>[7], [9], [148] [464]</t>
  </si>
  <si>
    <t>Balance project</t>
  </si>
  <si>
    <t>0.006MW</t>
  </si>
  <si>
    <t>[215]</t>
  </si>
  <si>
    <t>H2One - SP Group</t>
  </si>
  <si>
    <t>1 m3 H2/h</t>
  </si>
  <si>
    <t>[556]</t>
  </si>
  <si>
    <t>Falkenhagen STORE&amp;GO</t>
  </si>
  <si>
    <r>
      <t>1 MW - 180 m</t>
    </r>
    <r>
      <rPr>
        <vertAlign val="superscript"/>
        <sz val="5.5"/>
        <color theme="1"/>
        <rFont val="Corbel"/>
        <family val="2"/>
      </rPr>
      <t>3</t>
    </r>
    <r>
      <rPr>
        <sz val="10"/>
        <color theme="1"/>
        <rFont val="Corbel"/>
        <family val="2"/>
      </rPr>
      <t xml:space="preserve"> H</t>
    </r>
    <r>
      <rPr>
        <vertAlign val="subscript"/>
        <sz val="10"/>
        <color theme="1"/>
        <rFont val="Corbel"/>
        <family val="2"/>
      </rPr>
      <t>2</t>
    </r>
    <r>
      <rPr>
        <sz val="10"/>
        <color theme="1"/>
        <rFont val="Corbel"/>
        <family val="2"/>
      </rPr>
      <t>/h</t>
    </r>
  </si>
  <si>
    <t>[372] [737]</t>
  </si>
  <si>
    <t>NEDO kofu city, Yamanashi Prefecture</t>
  </si>
  <si>
    <t>1.5 MW</t>
  </si>
  <si>
    <t>[109], [201], [705]</t>
  </si>
  <si>
    <t>Semakau island microgrid Engie (SPORE)</t>
  </si>
  <si>
    <t>[244], [707]</t>
  </si>
  <si>
    <t>H2PLAZA - Toyota Industries Corporation’s Takahama</t>
  </si>
  <si>
    <t>10 nm³ H₂/h</t>
  </si>
  <si>
    <t>[554], [708]</t>
  </si>
  <si>
    <t>Localhy</t>
  </si>
  <si>
    <t>[601][602]</t>
  </si>
  <si>
    <t>Wind to gas Brunsbüttel</t>
  </si>
  <si>
    <t>2.4 MW - 450m3 H2/h</t>
  </si>
  <si>
    <t>[222] [431] [737]</t>
  </si>
  <si>
    <t>Carbon2Chem</t>
  </si>
  <si>
    <t>[459]</t>
  </si>
  <si>
    <t>SunLine Transit Agency</t>
  </si>
  <si>
    <t>1.5MW</t>
  </si>
  <si>
    <t>[405]</t>
  </si>
  <si>
    <t>HyBALANCE</t>
  </si>
  <si>
    <t>1.2 MW</t>
  </si>
  <si>
    <t>[2], [4], [8], [48], [49]</t>
  </si>
  <si>
    <t>Aberdeen Conference Center</t>
  </si>
  <si>
    <t>1MW - 200m3 H2/h</t>
  </si>
  <si>
    <t>[460]</t>
  </si>
  <si>
    <t>Lam Takhong Wind Hydrogen Hybrid Project- EGAT</t>
  </si>
  <si>
    <t>[407]</t>
  </si>
  <si>
    <t>H2ORIZON</t>
  </si>
  <si>
    <t>[31], [137], [138] [409]</t>
  </si>
  <si>
    <t>ASKO Midt-Norge</t>
  </si>
  <si>
    <t>150m3 H2/h</t>
  </si>
  <si>
    <t>[476]</t>
  </si>
  <si>
    <t>Underground Sun Storage</t>
  </si>
  <si>
    <t>0.6MW</t>
  </si>
  <si>
    <t>[399]</t>
  </si>
  <si>
    <t>Hydrogen plant - Orkney Islands - BIG HIT 1st phase</t>
  </si>
  <si>
    <t>[371] [383]</t>
  </si>
  <si>
    <t>Windgas Haurup, 1st phase</t>
  </si>
  <si>
    <t>0.225 MW</t>
  </si>
  <si>
    <t>[440]</t>
  </si>
  <si>
    <t>1 m3/h</t>
  </si>
  <si>
    <t>Troia,  STORE&amp;GO</t>
  </si>
  <si>
    <t>0.2MW</t>
  </si>
  <si>
    <t xml:space="preserve">GNVert H2 </t>
  </si>
  <si>
    <t>37 m3 H2/h</t>
  </si>
  <si>
    <t>[392]</t>
  </si>
  <si>
    <t>Tongji solar hybrid hydrogen refueling station</t>
  </si>
  <si>
    <t>25 m3 H2/h</t>
  </si>
  <si>
    <t>Methanation at Eichhof</t>
  </si>
  <si>
    <t>0.05 MW</t>
  </si>
  <si>
    <t>CoSin: Synthetic Natural Gas from Sewage, Barcelona</t>
  </si>
  <si>
    <t>20m3 CH4/h</t>
  </si>
  <si>
    <t>[120], [202], [203] [402]</t>
  </si>
  <si>
    <t>REFLEX</t>
  </si>
  <si>
    <t>10m3 H2/h</t>
  </si>
  <si>
    <t>[401]</t>
  </si>
  <si>
    <t>Sendai City</t>
  </si>
  <si>
    <t>[403]</t>
  </si>
  <si>
    <t>30 m3/h</t>
  </si>
  <si>
    <t>Rostock, Exytron Demonstrationsanlage</t>
  </si>
  <si>
    <t>4m3 H2/h</t>
  </si>
  <si>
    <t>[2], [165] [373]</t>
  </si>
  <si>
    <t>Tokyu Construction Institute of Technology</t>
  </si>
  <si>
    <t>1m3 H2/h</t>
  </si>
  <si>
    <t>[543]</t>
  </si>
  <si>
    <t>Rakuten Seimei Park Miyagi</t>
  </si>
  <si>
    <t>MicroPyros, Altenstant</t>
  </si>
  <si>
    <t>0.25 m3 H2/h</t>
  </si>
  <si>
    <t>[384]</t>
  </si>
  <si>
    <t>Oxelösund Forklifts</t>
  </si>
  <si>
    <t>[404]</t>
  </si>
  <si>
    <t>H21 North of England</t>
  </si>
  <si>
    <t>[269] [302]</t>
  </si>
  <si>
    <t>Drax Humber cluster demonstrators</t>
  </si>
  <si>
    <t>10 m3/h</t>
  </si>
  <si>
    <t>3 TWh H2/y</t>
  </si>
  <si>
    <t>[300], [709]</t>
  </si>
  <si>
    <t>Baicheng, Jilin wind-solar project</t>
  </si>
  <si>
    <t>[773]</t>
  </si>
  <si>
    <t>Alzey, Exytron Null-E</t>
  </si>
  <si>
    <t>0.0625MW</t>
  </si>
  <si>
    <t>[2], [166], [167] [409]</t>
  </si>
  <si>
    <t>Energy observer</t>
  </si>
  <si>
    <t>9 m3/h</t>
  </si>
  <si>
    <t>[250] [365]</t>
  </si>
  <si>
    <t>Haldor Topsoe - El-Opgraderet Biogas II</t>
  </si>
  <si>
    <t>[126]</t>
  </si>
  <si>
    <t>Musashi-Mizonokuchi Station</t>
  </si>
  <si>
    <t>[282]</t>
  </si>
  <si>
    <t>H2One - Hydrogen Application Center, Fuchu Complex</t>
  </si>
  <si>
    <t>[553]</t>
  </si>
  <si>
    <t>H2One - Asahi Breweries in Ibaraki</t>
  </si>
  <si>
    <t>[555]</t>
  </si>
  <si>
    <t>Costa Rica Transportation Ecosystem Project</t>
  </si>
  <si>
    <t>Cerro Pabellón Microgrid 450 kWh Hydrogen ESS</t>
  </si>
  <si>
    <t>[108], [199] [410]</t>
  </si>
  <si>
    <t>Energy in the Container, Fraunhofer IISB, Erlangen, Leistungszentren Elektroniksysteme (LZE)</t>
  </si>
  <si>
    <t>Hassfurt</t>
  </si>
  <si>
    <t>1.25MW</t>
  </si>
  <si>
    <t>[2] [7] [380] [737]</t>
  </si>
  <si>
    <t>GreenHydroChem Central German Chemical Triangle</t>
  </si>
  <si>
    <t>120MW</t>
  </si>
  <si>
    <t>[473]</t>
  </si>
  <si>
    <t>HPEM2GAS (R&amp;D)</t>
  </si>
  <si>
    <t>[119][200]</t>
  </si>
  <si>
    <t>Hamburg - Schnackenburgallee</t>
  </si>
  <si>
    <t>0.185 MW</t>
  </si>
  <si>
    <t>[2][7][45]</t>
  </si>
  <si>
    <t>smart grid solar - arzberg</t>
  </si>
  <si>
    <t>0.075MW</t>
  </si>
  <si>
    <t>[242]</t>
  </si>
  <si>
    <t>Naval Facilities Engineering Command, Engineering and Expeditionary Warfare Center</t>
  </si>
  <si>
    <t>0.05MW</t>
  </si>
  <si>
    <t>[477]</t>
  </si>
  <si>
    <t>Laboratory System at IFE Kjeller Pahse 2</t>
  </si>
  <si>
    <t>2m3 H2/h</t>
  </si>
  <si>
    <t>[1], [5] [468]</t>
  </si>
  <si>
    <t>H2One - Kyushu Resort Hotel,  Huis Ten Bosch</t>
  </si>
  <si>
    <t>[551]</t>
  </si>
  <si>
    <t>H2One - Yokohama Cargo Center</t>
  </si>
  <si>
    <t>[552]</t>
  </si>
  <si>
    <t>WindGas Hamburg-Reitbrook</t>
  </si>
  <si>
    <t>Ref [1], [2], [4], [7], [8], [9], [34]</t>
  </si>
  <si>
    <t>RH2 Grapzow, Mecklenburg Vorpommern</t>
  </si>
  <si>
    <t>[386] [737]</t>
  </si>
  <si>
    <t>P2G-Biocat - Continued (Ref 508)</t>
  </si>
  <si>
    <t>0.5 MW - 100 m3H2/h</t>
  </si>
  <si>
    <t>Ref [3], [4], [7]</t>
  </si>
  <si>
    <t>Raglan Nickel mine</t>
  </si>
  <si>
    <t>[4], [109], [214]</t>
  </si>
  <si>
    <t>Don Quichote</t>
  </si>
  <si>
    <t>0.3 MW - 60 m3 H2/h</t>
  </si>
  <si>
    <t>[4] [388]</t>
  </si>
  <si>
    <t>Regio Energie Solothurn/Aarmat hybrid plant</t>
  </si>
  <si>
    <t>0.7MW - 60m3 H2/h</t>
  </si>
  <si>
    <t>[2], [109], [110] [469]</t>
  </si>
  <si>
    <t>RWE PtG plant Ibbenbüren</t>
  </si>
  <si>
    <t>[1], [2], [7], [9], [82] [385]</t>
  </si>
  <si>
    <t>20 m3/h</t>
  </si>
  <si>
    <t>DemoSNG</t>
  </si>
  <si>
    <t>28 m3/h</t>
  </si>
  <si>
    <t>[387]</t>
  </si>
  <si>
    <t>Stromlückenfüller 1st phase</t>
  </si>
  <si>
    <t>0.02MW</t>
  </si>
  <si>
    <t>Higashi-Ogishima-Naga-Park</t>
  </si>
  <si>
    <t>[280]</t>
  </si>
  <si>
    <t>Emden II Upscaling</t>
  </si>
  <si>
    <t>Ref [2], [3], [121]</t>
  </si>
  <si>
    <t>SYNFUEL</t>
  </si>
  <si>
    <t>Ref [3], [192]</t>
  </si>
  <si>
    <t>1MW - 180m3 H2/h</t>
  </si>
  <si>
    <t>H2BER (Berlin airport)</t>
  </si>
  <si>
    <t>[2], [7], [97] [409]</t>
  </si>
  <si>
    <t>30MW</t>
  </si>
  <si>
    <t>[453] [454] [573] [580]</t>
  </si>
  <si>
    <t>Hanau, Wolfgang Industrial Park</t>
  </si>
  <si>
    <t>[2], [177], [178]</t>
  </si>
  <si>
    <t>MicroPyros, Staubing</t>
  </si>
  <si>
    <t>[7] [143] [144]</t>
  </si>
  <si>
    <t>ETOGAS, Solar Fuel Beta-plant AUDI, Werlte (Audi e-gas)</t>
  </si>
  <si>
    <t>Ref [1], [3], [5], [7], [9] [737]</t>
  </si>
  <si>
    <t>H2 Logic HRS with onsite electrolysis Aalborg</t>
  </si>
  <si>
    <t>200 kg H2/d</t>
  </si>
  <si>
    <t>[484]</t>
  </si>
  <si>
    <t>Uniper/E-ON WindGas Falkenhagen Hydrogen Pilot Project</t>
  </si>
  <si>
    <t>P2G plant Erdgas Schwaben</t>
  </si>
  <si>
    <t>1 MW - 180 m3 H2/h</t>
  </si>
  <si>
    <t>[1]</t>
  </si>
  <si>
    <t>Oslo, CHIC</t>
  </si>
  <si>
    <t>0.6MW - 120 m3 H2/h</t>
  </si>
  <si>
    <t>HySynergy, phase 1</t>
  </si>
  <si>
    <t>[288] [331]</t>
  </si>
  <si>
    <t>CO2RRECT-Niederaussem</t>
  </si>
  <si>
    <t>50 m3 H2/h</t>
  </si>
  <si>
    <t>[1], [2], [7], [12], [18], [122], [123]</t>
  </si>
  <si>
    <t>Sir Samuel building Griffith Center, Brisbane, Australia</t>
  </si>
  <si>
    <t>0.2MW - 30 m3 H2/h</t>
  </si>
  <si>
    <t>Ref [5], [179], [180]</t>
  </si>
  <si>
    <t>MicrobEnergy GmbH, Schwandorf</t>
  </si>
  <si>
    <t>0.18 MW</t>
  </si>
  <si>
    <t>Ref [2], [3], [7], [94]</t>
  </si>
  <si>
    <t>H2Move, Fraunhofer ISE</t>
  </si>
  <si>
    <t>0.04MW</t>
  </si>
  <si>
    <t>[1], [2], [7], [59]</t>
  </si>
  <si>
    <t>Hazira, Reliance, back-up hydrogen supply</t>
  </si>
  <si>
    <t>[248] [485] [710]</t>
  </si>
  <si>
    <t>El Tubo - ACTA EL500</t>
  </si>
  <si>
    <t>0.6m3 H2/h</t>
  </si>
  <si>
    <t>[7], [185], [186] [465]</t>
  </si>
  <si>
    <t>Refhyne</t>
  </si>
  <si>
    <t>[76] [104] [129]</t>
  </si>
  <si>
    <t>H&amp;R Ölwerke Hamburg-Neuhof</t>
  </si>
  <si>
    <t>5 MW</t>
  </si>
  <si>
    <t>[229] [737]</t>
  </si>
  <si>
    <t>H2Herten</t>
  </si>
  <si>
    <t>0.165MW</t>
  </si>
  <si>
    <t>Ref [1], [2], [5], [7], [41]</t>
  </si>
  <si>
    <t>H2 research center BTU Cottbus</t>
  </si>
  <si>
    <t>0.14MW</t>
  </si>
  <si>
    <t>[1], [2], [5], [7], [46]</t>
  </si>
  <si>
    <t>Cotbus</t>
  </si>
  <si>
    <t>0.12 MW - 30 m3 H2/h</t>
  </si>
  <si>
    <t>Eucolino Schwandorf</t>
  </si>
  <si>
    <t>24 m3 H2/h</t>
  </si>
  <si>
    <t>[1], [2], [3], [9], [36]</t>
  </si>
  <si>
    <t>Agios Efstratios</t>
  </si>
  <si>
    <t>0.1MW</t>
  </si>
  <si>
    <t>[409]</t>
  </si>
  <si>
    <t>Hydrogen mini grid system Yorkshire (Rotherham)</t>
  </si>
  <si>
    <t>0.03MW</t>
  </si>
  <si>
    <t>[1], [2], [5], [7]</t>
  </si>
  <si>
    <t>2 m3/h</t>
  </si>
  <si>
    <t>Fronius Energy Cell, self-sufficient house</t>
  </si>
  <si>
    <t>1.7m3 H2/h</t>
  </si>
  <si>
    <t>[1], [5], [39]</t>
  </si>
  <si>
    <t>Hitachi Zosen - PTTEP CO2 Conversion to Methane Project R&amp;D)</t>
  </si>
  <si>
    <t>[3], [196]</t>
  </si>
  <si>
    <t>Commercial Plant Svartsengi/George Olah plant</t>
  </si>
  <si>
    <t>6MW - 1200m3 H2/h</t>
  </si>
  <si>
    <t>[1] [5] [7] [11] [19] [20]</t>
  </si>
  <si>
    <t>Hamburg Hafen City, CEP</t>
  </si>
  <si>
    <t>[1], [7], [65], [66]</t>
  </si>
  <si>
    <t>Hybrid Power Plant Enertrag, Prenzlau</t>
  </si>
  <si>
    <t>0.5MW - 120 m3 H2/h</t>
  </si>
  <si>
    <t>[1], [2], [5], [7], [9], [71] [526]</t>
  </si>
  <si>
    <t>EnBW H2 station, Stuttgart</t>
  </si>
  <si>
    <t>0.3MW - 60 m3 H2/h</t>
  </si>
  <si>
    <t>[1], [2]</t>
  </si>
  <si>
    <t>Ramea Wind-Hydrogen-Diesel Project</t>
  </si>
  <si>
    <t>27m3 H2/h</t>
  </si>
  <si>
    <t>[1], [5], [160]</t>
  </si>
  <si>
    <t>Hydrogen Island Bozcaada</t>
  </si>
  <si>
    <t>11m3 H2/h</t>
  </si>
  <si>
    <t>DNV Kema/DNV GL</t>
  </si>
  <si>
    <t>0.01MW</t>
  </si>
  <si>
    <t>[1], [3],[22]</t>
  </si>
  <si>
    <t>HARP System, Bella Coola</t>
  </si>
  <si>
    <t>[1], [5], [69]</t>
  </si>
  <si>
    <t>H2KT - Hydrogen Energy Storage in Nuuk</t>
  </si>
  <si>
    <t>19m3 H2/h</t>
  </si>
  <si>
    <t>[1], [5] [409]</t>
  </si>
  <si>
    <t>ITHER</t>
  </si>
  <si>
    <t>0.065MW</t>
  </si>
  <si>
    <t>[1] [2] [7] [64]</t>
  </si>
  <si>
    <t>H2SusBuild</t>
  </si>
  <si>
    <t>0.022MW</t>
  </si>
  <si>
    <t>[461]</t>
  </si>
  <si>
    <t>Hybrid energy storage system NFCRC, California</t>
  </si>
  <si>
    <t>0.007MW</t>
  </si>
  <si>
    <t>[1], [5], [70]</t>
  </si>
  <si>
    <t>Nukissiorfiit Nuuk Hydrogen Plant</t>
  </si>
  <si>
    <t>Centre of Fuel Cell Technology, Chennai</t>
  </si>
  <si>
    <t>[247][488]</t>
  </si>
  <si>
    <t>Hychico, Comodoro Rivadavia</t>
  </si>
  <si>
    <t>120+60m3 H2/h</t>
  </si>
  <si>
    <t>[1] [5] [7] [9] [47]</t>
  </si>
  <si>
    <t>Taleghan solar hydrogen energy system</t>
  </si>
  <si>
    <t>[485] [486]</t>
  </si>
  <si>
    <t>Istanbul</t>
  </si>
  <si>
    <t>0.16MW - 30m3 H2/h</t>
  </si>
  <si>
    <t>AltHytude</t>
  </si>
  <si>
    <t>0.08MW</t>
  </si>
  <si>
    <t>Regenerativer Energipark Ostfalia/hybrid renewable energy park (HREP)</t>
  </si>
  <si>
    <t>[1], [161], [162]</t>
  </si>
  <si>
    <t>DRI CO2 recycling</t>
  </si>
  <si>
    <t>0.005MW</t>
  </si>
  <si>
    <t>[3], [193]</t>
  </si>
  <si>
    <t>Neo Olvio of Xanthi</t>
  </si>
  <si>
    <t>0.004MW</t>
  </si>
  <si>
    <t>[462]</t>
  </si>
  <si>
    <t>HYLINK Totara</t>
  </si>
  <si>
    <t>0.0025MW</t>
  </si>
  <si>
    <t>[471]</t>
  </si>
  <si>
    <t>Baglan Energy Park Wales</t>
  </si>
  <si>
    <t>[1], [5], [17]</t>
  </si>
  <si>
    <t>Synthetic Energy, Idaho</t>
  </si>
  <si>
    <t>7m3 H2/h</t>
  </si>
  <si>
    <t>Hydepark</t>
  </si>
  <si>
    <t>[1], [5], [54]</t>
  </si>
  <si>
    <t>Stand-alone power system, Neo Olvio of Xanthi</t>
  </si>
  <si>
    <t>0.7m3 H2/h</t>
  </si>
  <si>
    <t>[1], [5], [171]</t>
  </si>
  <si>
    <t>HYLINK, Totara Valley</t>
  </si>
  <si>
    <t>0.09m3 H2/h</t>
  </si>
  <si>
    <t>[1], [5], [7], [55], [63]</t>
  </si>
  <si>
    <t>RES2H2 Gran Canaria</t>
  </si>
  <si>
    <t>0.055MW</t>
  </si>
  <si>
    <t>[1], [5], [55], [62]</t>
  </si>
  <si>
    <t>H2 from the sun, Brunate</t>
  </si>
  <si>
    <t>[1], [5], [55], [56]</t>
  </si>
  <si>
    <t>CEC Denizli Turkey</t>
  </si>
  <si>
    <t>[87] [409]</t>
  </si>
  <si>
    <t>CUTE and HyFLEET:CUTE, Barcelona</t>
  </si>
  <si>
    <t>[7], [133]</t>
  </si>
  <si>
    <t>Savli wind-hydrogen demo project</t>
  </si>
  <si>
    <t>Dahej, Reliance, back-up hydrogen supply</t>
  </si>
  <si>
    <t>444m3 H2/h</t>
  </si>
  <si>
    <t>[483]</t>
  </si>
  <si>
    <t>HARI project, West Beacon Farm</t>
  </si>
  <si>
    <t>0.034MW</t>
  </si>
  <si>
    <t>[1], [2], [5], [7], [67], [68]</t>
  </si>
  <si>
    <t>Porto, CUTE</t>
  </si>
  <si>
    <t>Energiepark Mainz</t>
  </si>
  <si>
    <t>[2] [7] [11] [42] [381] [737]</t>
  </si>
  <si>
    <t>INGRID</t>
  </si>
  <si>
    <t>1.15 MW</t>
  </si>
  <si>
    <t>[509]</t>
  </si>
  <si>
    <t>Tohoku pilot plant in 2003</t>
  </si>
  <si>
    <t>[3] [7]</t>
  </si>
  <si>
    <t>Gwalpahari Solar-Hydrogen demonstration</t>
  </si>
  <si>
    <t>0.12MW</t>
  </si>
  <si>
    <t>[249] [409]</t>
  </si>
  <si>
    <t xml:space="preserve">Solar Energy Centre SmartFuel hydrogen station </t>
  </si>
  <si>
    <t>3 m3/h</t>
  </si>
  <si>
    <t>FaHyence</t>
  </si>
  <si>
    <t>[411]</t>
  </si>
  <si>
    <t>CPI Zaoquan thermal power plant in China's Ningxia region</t>
  </si>
  <si>
    <t>Laboratory Plant HRI Quebec</t>
  </si>
  <si>
    <t>0.005MW - 1 m3 H2/h</t>
  </si>
  <si>
    <t xml:space="preserve"> [1], [5], [87], [89], [90]</t>
  </si>
  <si>
    <t>Power plant in Lebanon for a Power Plant Cooling application</t>
  </si>
  <si>
    <t>0.114MW</t>
  </si>
  <si>
    <t>Minatec's semiconductor labs in Grenoble</t>
  </si>
  <si>
    <t>12 m3 H2/h</t>
  </si>
  <si>
    <t>Grimstad Renewable Energy Park</t>
  </si>
  <si>
    <t xml:space="preserve"> [1], [5], [53]</t>
  </si>
  <si>
    <t>Hypos - Sunfire</t>
  </si>
  <si>
    <t>0.18MW - 50 m3 H2/h</t>
  </si>
  <si>
    <t>[448]</t>
  </si>
  <si>
    <t>Electrochaea: Biological methanation in Avedøre</t>
  </si>
  <si>
    <t>1.2MW - 2000 m3 H2/h</t>
  </si>
  <si>
    <t>[491]</t>
  </si>
  <si>
    <t>REMOTE - Agkistro (Greece</t>
  </si>
  <si>
    <t>[615] [730]</t>
  </si>
  <si>
    <t>HRS CMB Port of Antwerp</t>
  </si>
  <si>
    <t>Haldor Topsoe - El-Opgraderet Biogas I</t>
  </si>
  <si>
    <t>[2], [3], [9], [125]</t>
  </si>
  <si>
    <t>P2G-Biocat - Decommisioned</t>
  </si>
  <si>
    <t>[3], [4], [7]</t>
  </si>
  <si>
    <t>H2 Logic HRS with onsite electrolysis in Vejle</t>
  </si>
  <si>
    <t>H2 Logic HRS with onsite electrolysis Holstebro</t>
  </si>
  <si>
    <t>H2 Logic 3 HRS with onsite electrolysis in Copenhagen</t>
  </si>
  <si>
    <t>3x200 kg H2/d</t>
  </si>
  <si>
    <t>Fertiberia/Iberdrola - Puertollano II (extension from Ref10)</t>
  </si>
  <si>
    <t>210MW (in addition to the 20MW included in Ref 10)</t>
  </si>
  <si>
    <t>[620][631]</t>
  </si>
  <si>
    <t>Hyoffwind Zeebrugge, 1st phase</t>
  </si>
  <si>
    <t>1MW</t>
  </si>
  <si>
    <t>Hyoffwind Zeebrugge, 2nd phase</t>
  </si>
  <si>
    <t>25MW</t>
  </si>
  <si>
    <t>Hyoffwind Zeebrugge, 3rd phase</t>
  </si>
  <si>
    <t>1000MW</t>
  </si>
  <si>
    <t>Hyport</t>
  </si>
  <si>
    <t>50MW</t>
  </si>
  <si>
    <t>[293] [367]</t>
  </si>
  <si>
    <t>"Waste-to-wheels" Charleroi</t>
  </si>
  <si>
    <t>[530][656]</t>
  </si>
  <si>
    <t>Power-to-Methanol, Antwerp, phase 1</t>
  </si>
  <si>
    <t>10MW - 8kt MeO/y</t>
  </si>
  <si>
    <t>[430] [507]</t>
  </si>
  <si>
    <t>[512] [515]</t>
  </si>
  <si>
    <t>Hystock (EnergyStock)</t>
  </si>
  <si>
    <r>
      <t>1 MW - 220m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</si>
  <si>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[2], [7], [103], [127] [395] [396] [547] [784]</t>
  </si>
  <si>
    <t>HAEOLUS</t>
  </si>
  <si>
    <t>2.5MW - 500m3 H2/h</t>
  </si>
  <si>
    <t>[369]</t>
  </si>
  <si>
    <t>FUTURECEM</t>
  </si>
  <si>
    <t>100 MW</t>
  </si>
  <si>
    <t>Primolyzer (R&amp;D)</t>
  </si>
  <si>
    <t>[1], [155]</t>
  </si>
  <si>
    <t>PROCON (R&amp;D)</t>
  </si>
  <si>
    <t>[1], [2], [3], [7], [9], [38]</t>
  </si>
  <si>
    <t>Foulum Demonstration plant</t>
  </si>
  <si>
    <t>[438]</t>
  </si>
  <si>
    <t>Green Natural Gas</t>
  </si>
  <si>
    <t>[3], [9]</t>
  </si>
  <si>
    <t>“Towards the Methane Society”</t>
  </si>
  <si>
    <t>MEDLYS, Medium temperature water electrolysis (R&amp;D)</t>
  </si>
  <si>
    <t>MeGa-stoRE</t>
  </si>
  <si>
    <t>1.4 m3 H2/h</t>
  </si>
  <si>
    <t>[3], [7], [9], [98] [478]</t>
  </si>
  <si>
    <t>MeGa-stoRE Optimising and Upscaling</t>
  </si>
  <si>
    <t>0.25MW</t>
  </si>
  <si>
    <t>[3], [7], [9], [98]</t>
  </si>
  <si>
    <t>Vestenskov/ Nakskov Industrial and Environmental Park, Lolland</t>
  </si>
  <si>
    <t>16 m3 H2/h</t>
  </si>
  <si>
    <t>[1], [2], [5], [7], [9], [55], [57] [409[</t>
  </si>
  <si>
    <t>H2RES - Orsted offshore wind</t>
  </si>
  <si>
    <t>2MW</t>
  </si>
  <si>
    <t>Samsø</t>
  </si>
  <si>
    <t>Ref [2]</t>
  </si>
  <si>
    <t>Esbjerg green ammonia plant</t>
  </si>
  <si>
    <t>[734]</t>
  </si>
  <si>
    <t>HRS Aalborg</t>
  </si>
  <si>
    <t>0.25MW - 60m3 H2/h</t>
  </si>
  <si>
    <t>[583]</t>
  </si>
  <si>
    <t>eSMR Methanol demo plant in Aarhus University</t>
  </si>
  <si>
    <t>10kg MeOH/h</t>
  </si>
  <si>
    <t>[490]</t>
  </si>
  <si>
    <t>HyCycle - Center for renewable H2 (R&amp;D)</t>
  </si>
  <si>
    <t>NEXPEL (R&amp;D)</t>
  </si>
  <si>
    <t>[1], [152], [153]</t>
  </si>
  <si>
    <t>Glomfjord Hydrogen AS</t>
  </si>
  <si>
    <t>[496]</t>
  </si>
  <si>
    <t>HyNor Lillestrøm, Akershus Energy Park</t>
  </si>
  <si>
    <t>Biogas reforming</t>
  </si>
  <si>
    <t>Statkraft-CELSA-Mo green H2 for steel production</t>
  </si>
  <si>
    <t>40-50MW</t>
  </si>
  <si>
    <t>[527][619]</t>
  </si>
  <si>
    <t>Utsira Island</t>
  </si>
  <si>
    <t>0.048MW - 10m3 H2/h</t>
  </si>
  <si>
    <t>[1], [2], [5], [7], [87], [88]</t>
  </si>
  <si>
    <t>Nordic Blue Crude</t>
  </si>
  <si>
    <t>[244] [332]</t>
  </si>
  <si>
    <t>Acorn Aberdeenshire</t>
  </si>
  <si>
    <t>[475] [721]</t>
  </si>
  <si>
    <t>Laboratory System at IFE Kjeller Phase 1</t>
  </si>
  <si>
    <t>0.7 m3 H2/h</t>
  </si>
  <si>
    <t>[1], [5]</t>
  </si>
  <si>
    <t>Teesside collective</t>
  </si>
  <si>
    <t>SMR+CCS</t>
  </si>
  <si>
    <t>0.68Mt CO2/y</t>
  </si>
  <si>
    <t>[474]</t>
  </si>
  <si>
    <t>HyDEMO</t>
  </si>
  <si>
    <t>280000 m3/h</t>
  </si>
  <si>
    <t>[285]</t>
  </si>
  <si>
    <t>Green fertilizer project Porsgrunn, phase 1</t>
  </si>
  <si>
    <t>5MW</t>
  </si>
  <si>
    <t>[415][664]</t>
  </si>
  <si>
    <t>4Kvinnherad Power-to-Gas</t>
  </si>
  <si>
    <t>30-60MW - 10-20t H2/d</t>
  </si>
  <si>
    <t>Tjeldbergodden Hydrogen</t>
  </si>
  <si>
    <t>Membrane separation from purge gas with CCS</t>
  </si>
  <si>
    <t>15t/y</t>
  </si>
  <si>
    <t>[232] [473]</t>
  </si>
  <si>
    <t>Gigastack-Hornsea 2</t>
  </si>
  <si>
    <t>[492]</t>
  </si>
  <si>
    <t>The Hydrogen office</t>
  </si>
  <si>
    <t>5.3 m3 H2/h</t>
  </si>
  <si>
    <t>[1], [5], [173], [174]</t>
  </si>
  <si>
    <t>RABH2</t>
  </si>
  <si>
    <t>[1], [5], [136]</t>
  </si>
  <si>
    <t>Air Fuel Synthesis pilot plant</t>
  </si>
  <si>
    <t>[1], [5], [15]</t>
  </si>
  <si>
    <t>Aberdeen, Hydrogen bus project</t>
  </si>
  <si>
    <t>[2], [4], [187], [188]</t>
  </si>
  <si>
    <t>Fife, Levenmouth Community Energy Project</t>
  </si>
  <si>
    <t>0.37MW</t>
  </si>
  <si>
    <t>[2], [4], [189], [190], [191] [409]</t>
  </si>
  <si>
    <t>PURE Project, Unst</t>
  </si>
  <si>
    <t>0.015MW</t>
  </si>
  <si>
    <t>[1], [5], [86], [87]</t>
  </si>
  <si>
    <t>Tyseley Energy Park refuelling hub</t>
  </si>
  <si>
    <t>3MW</t>
  </si>
  <si>
    <t>[592] [593]</t>
  </si>
  <si>
    <t>H2H Saltend (Related to Humber Cluster demos)</t>
  </si>
  <si>
    <t>1.4Mt CO2/y - 600 MW H2</t>
  </si>
  <si>
    <t>[540] [541]</t>
  </si>
  <si>
    <t>250MW</t>
  </si>
  <si>
    <t>[512] [515] [725]</t>
  </si>
  <si>
    <t>1300MW</t>
  </si>
  <si>
    <t>Green Hydrogen for Scotland</t>
  </si>
  <si>
    <t>H2morrow</t>
  </si>
  <si>
    <t>328000 m3 H2/h - 1.9Mt CO2 captured</t>
  </si>
  <si>
    <t>CF Industries - Donaldsonville Nitrogen Complex</t>
  </si>
  <si>
    <t>Linde - Ontario (California)</t>
  </si>
  <si>
    <t>[623]</t>
  </si>
  <si>
    <t>Westkuste 100 (Phase 2)</t>
  </si>
  <si>
    <t>700MW</t>
  </si>
  <si>
    <t>[580]</t>
  </si>
  <si>
    <t>Get H2 Lingen</t>
  </si>
  <si>
    <t>100MW</t>
  </si>
  <si>
    <t>HySynGas</t>
  </si>
  <si>
    <t>[264] [473]</t>
  </si>
  <si>
    <t>Northern Irish hydrogen project</t>
  </si>
  <si>
    <t>[624][625]</t>
  </si>
  <si>
    <t>140 t MeOH/d</t>
  </si>
  <si>
    <t>[449] [450] [626]</t>
  </si>
  <si>
    <t>H2U - Eyre Peninsula Gateway Hydrogen Project at Port Bonython.</t>
  </si>
  <si>
    <t>75MW - 40kt NH3/y</t>
  </si>
  <si>
    <t>[628][658]</t>
  </si>
  <si>
    <t>North CCU HUB, phase 1. North-C -Methanol Demo plant</t>
  </si>
  <si>
    <t>63MW-45kt MeOH</t>
  </si>
  <si>
    <t>[444] [654]</t>
  </si>
  <si>
    <t>Centurion</t>
  </si>
  <si>
    <t>Asian Renewable Energy Hub</t>
  </si>
  <si>
    <t>IPCEI SilverFrog</t>
  </si>
  <si>
    <t>[419]</t>
  </si>
  <si>
    <t>IPCEI New Green Flamingo</t>
  </si>
  <si>
    <t>POR
ESP</t>
  </si>
  <si>
    <t>5000MW</t>
  </si>
  <si>
    <t>[416]</t>
  </si>
  <si>
    <t>Murchison</t>
  </si>
  <si>
    <t>650t H2/d - 1.2Mt NH3/y</t>
  </si>
  <si>
    <t>IPCEI Blue Danube</t>
  </si>
  <si>
    <t>ROM
DEU
AUT</t>
  </si>
  <si>
    <t>1500-2115MW</t>
  </si>
  <si>
    <t>1500MW</t>
  </si>
  <si>
    <t>IPCEI Black Horse (40 electrolysis production sites)</t>
  </si>
  <si>
    <t>POL
CZE
SVK
HUN</t>
  </si>
  <si>
    <t>320 t H2/d</t>
  </si>
  <si>
    <t>Project NEO</t>
  </si>
  <si>
    <t>[520]</t>
  </si>
  <si>
    <t>NEL - Nikola Agreement H2 refuelling stations in USA (from 2020)</t>
  </si>
  <si>
    <t>[270]</t>
  </si>
  <si>
    <t>Hydrogen Delta - Zeeland</t>
  </si>
  <si>
    <t>[503][630]</t>
  </si>
  <si>
    <t>HyNetherlands, 1st phase</t>
  </si>
  <si>
    <t>[275] [630]</t>
  </si>
  <si>
    <t>HyNetherlands 2nd phase</t>
  </si>
  <si>
    <t>Hygreen Provence 1st phase</t>
  </si>
  <si>
    <t>17MW</t>
  </si>
  <si>
    <t>[337] [338]</t>
  </si>
  <si>
    <t>Hygreen Provence 2nd phase</t>
  </si>
  <si>
    <t>130MW</t>
  </si>
  <si>
    <t>Hygreen Provence 3rd phase</t>
  </si>
  <si>
    <t>435MW</t>
  </si>
  <si>
    <t>Sundance Hydrogen</t>
  </si>
  <si>
    <t>60t H2/d</t>
  </si>
  <si>
    <t>[522] [523]</t>
  </si>
  <si>
    <t>Port of Rotterdam BP refinery - H2.50</t>
  </si>
  <si>
    <t>[266][630]</t>
  </si>
  <si>
    <t>Hysencia, Phase I</t>
  </si>
  <si>
    <t>40MW</t>
  </si>
  <si>
    <t>[560] [800]</t>
  </si>
  <si>
    <t>200MW</t>
  </si>
  <si>
    <t>160MW</t>
  </si>
  <si>
    <t>[287]</t>
  </si>
  <si>
    <t>Green Crane Pais Vasco Hub</t>
  </si>
  <si>
    <t>150MW</t>
  </si>
  <si>
    <t>[319]</t>
  </si>
  <si>
    <t>[319] [715]</t>
  </si>
  <si>
    <t>Green Crane, Castilla y Leon Hub</t>
  </si>
  <si>
    <t>Green Crane, Aragon Hub</t>
  </si>
  <si>
    <t>Hydrogen Plant for Westereems Wind Farm (RWE Eemshaven)</t>
  </si>
  <si>
    <t>[376]</t>
  </si>
  <si>
    <t>Hemweg
hub Amsterdam</t>
  </si>
  <si>
    <t>100MW - 75000t NH3/y</t>
  </si>
  <si>
    <t>Weifang Binhai Photovoltaic 100MW Hydrogen Generation Project</t>
  </si>
  <si>
    <t>[595] [769]</t>
  </si>
  <si>
    <t>GreenH2UB (10 hubs of 3-10MW, the first one Ref786)</t>
  </si>
  <si>
    <t>60MW</t>
  </si>
  <si>
    <t>H2SusBuild / RES-H2</t>
  </si>
  <si>
    <t xml:space="preserve"> [1], [60], [61]</t>
  </si>
  <si>
    <t>[598]</t>
  </si>
  <si>
    <t>ELYGRID (R&amp;D)</t>
  </si>
  <si>
    <t>2.6MW</t>
  </si>
  <si>
    <t>[1], [29] [409]</t>
  </si>
  <si>
    <t>Aviation synfuels</t>
  </si>
  <si>
    <t>10000t synthetic kerosene/y</t>
  </si>
  <si>
    <t>[534]</t>
  </si>
  <si>
    <t xml:space="preserve">Tapada do Outeiro natural gas power plant </t>
  </si>
  <si>
    <t>15MW</t>
  </si>
  <si>
    <t>[272][638]</t>
  </si>
  <si>
    <t>Wunsiedel Energy Park (Phase 1)</t>
  </si>
  <si>
    <t>6MW</t>
  </si>
  <si>
    <t>[582]</t>
  </si>
  <si>
    <t>Wunsiedel Energy Park (Phase 2)</t>
  </si>
  <si>
    <t>2kt H2/t</t>
  </si>
  <si>
    <t>Repsol Bilbao port synfuels project</t>
  </si>
  <si>
    <t>[531] [532] [739] [757]</t>
  </si>
  <si>
    <t>16m3 H2/h</t>
  </si>
  <si>
    <t>[489]</t>
  </si>
  <si>
    <t>Hydrogen Island Aitutaki</t>
  </si>
  <si>
    <t>[1], [5], [72], [73] [409]</t>
  </si>
  <si>
    <t>[1], [5], [72], [73]</t>
  </si>
  <si>
    <t>E-Thor</t>
  </si>
  <si>
    <t>[503][630] [630]</t>
  </si>
  <si>
    <t>H₂ Air Base Leeuwarden</t>
  </si>
  <si>
    <t>SEE / Storage of electric energy</t>
  </si>
  <si>
    <t>[1] [3]</t>
  </si>
  <si>
    <t>New zealand Matiu/Somes Island</t>
  </si>
  <si>
    <t>0.0012MW</t>
  </si>
  <si>
    <t>[63]</t>
  </si>
  <si>
    <t>Vendée hydrogène</t>
  </si>
  <si>
    <t>3.4MW</t>
  </si>
  <si>
    <t>RESelyser (R&amp;D)</t>
  </si>
  <si>
    <t>EU</t>
  </si>
  <si>
    <t>0.001MW</t>
  </si>
  <si>
    <t>[1], [158], [159], [206]</t>
  </si>
  <si>
    <t>DVGW-EBI KIT - Demo-SNG</t>
  </si>
  <si>
    <t>[3], [194]</t>
  </si>
  <si>
    <t>Multiphly</t>
  </si>
  <si>
    <t>[244]</t>
  </si>
  <si>
    <t>PostBus Hydrogen bus, Brugg, aargau CHIC</t>
  </si>
  <si>
    <t>60m3 H2/h</t>
  </si>
  <si>
    <t>[2], [149], [150]</t>
  </si>
  <si>
    <t>Emden I Biogas upgrading</t>
  </si>
  <si>
    <t>0.312MW</t>
  </si>
  <si>
    <t>[2], [3] [409]</t>
  </si>
  <si>
    <t>PtG Switzerland</t>
  </si>
  <si>
    <t>[425]</t>
  </si>
  <si>
    <t>MYRTE</t>
  </si>
  <si>
    <t>0.11MW</t>
  </si>
  <si>
    <t>[1], [2], [5], [7], [9], [83] [466]</t>
  </si>
  <si>
    <t>H2OzBus Project</t>
  </si>
  <si>
    <t>[514]</t>
  </si>
  <si>
    <t>Sunfire PtL demo "Fuel1"</t>
  </si>
  <si>
    <t>[7], [211]</t>
  </si>
  <si>
    <t>Hyport - Toulouse-Blagnac Airport</t>
  </si>
  <si>
    <t>400kg H2/d</t>
  </si>
  <si>
    <t>[528] [754]</t>
  </si>
  <si>
    <t>DEMETER</t>
  </si>
  <si>
    <t xml:space="preserve"> [7], [181]</t>
  </si>
  <si>
    <t>Ekolyser (R&amp;D)</t>
  </si>
  <si>
    <t xml:space="preserve"> [1], [27], [28]</t>
  </si>
  <si>
    <t>LastEISys (R&amp;D)</t>
  </si>
  <si>
    <t xml:space="preserve"> [1], [116]</t>
  </si>
  <si>
    <t>PtG-Elektrolyse im MW-Maßstab (R&amp;D)</t>
  </si>
  <si>
    <t>0.3MW</t>
  </si>
  <si>
    <t xml:space="preserve"> [1], [156], [157</t>
  </si>
  <si>
    <t>BioPower2Gas, Allendorf, Eder</t>
  </si>
  <si>
    <t xml:space="preserve"> [2], [3], [7]</t>
  </si>
  <si>
    <t>Rozenburg Power2Gas Phase 1</t>
  </si>
  <si>
    <t>Greenhouse heating, solar-H2</t>
  </si>
  <si>
    <t xml:space="preserve"> [100], [198]</t>
  </si>
  <si>
    <t>EE-Methan aus CO2 (R&amp;D)</t>
  </si>
  <si>
    <t xml:space="preserve"> [1], [3]</t>
  </si>
  <si>
    <t>OptFuel (R&amp;D)</t>
  </si>
  <si>
    <t xml:space="preserve"> [1], [3], [117]</t>
  </si>
  <si>
    <t>Thüga PtG plant Frankfurt/Main</t>
  </si>
  <si>
    <t>[1], [2], [7], [9], [81]  [470]</t>
  </si>
  <si>
    <t>RENOVAGAS</t>
  </si>
  <si>
    <t>[207] [323]</t>
  </si>
  <si>
    <t>HyFLEET:CUTE, Hamburg</t>
  </si>
  <si>
    <t xml:space="preserve"> [7], [133]</t>
  </si>
  <si>
    <t>Reduction and Reuse of CO2: Renewable Fuels for Electricity Production- ZHAW</t>
  </si>
  <si>
    <t>0.3m3 H2/h</t>
  </si>
  <si>
    <t>CHOCHCO</t>
  </si>
  <si>
    <t xml:space="preserve"> [141], [142]</t>
  </si>
  <si>
    <t>Hydrogen Wind Farm Sotavento</t>
  </si>
  <si>
    <t>0.3MW - 60m3 H2/h</t>
  </si>
  <si>
    <t xml:space="preserve"> [1], [2], [5], [7], [9], [52]</t>
  </si>
  <si>
    <t>CUTE, Stockholm</t>
  </si>
  <si>
    <t>HyFLEET:CUTE, Amesterdam</t>
  </si>
  <si>
    <t>Wind2Hydrogen, HyCentA</t>
  </si>
  <si>
    <t>[113], [114], [213] [456] [481]</t>
  </si>
  <si>
    <t>BOEING (rSOC Demonstrator)</t>
  </si>
  <si>
    <t>Pilot &amp; Demo PtM HSR</t>
  </si>
  <si>
    <t xml:space="preserve"> [3]</t>
  </si>
  <si>
    <t>Dresden</t>
  </si>
  <si>
    <t>Rapperswil</t>
  </si>
  <si>
    <t xml:space="preserve"> [7], [151]</t>
  </si>
  <si>
    <t>RegEnKibo, Kirchheimbolanden (R&amp;D)</t>
  </si>
  <si>
    <t xml:space="preserve"> [2], [163]</t>
  </si>
  <si>
    <t>[7] [182] [183] [184]</t>
  </si>
  <si>
    <t>ETOGAS, Solar Fuel Alpha-plant 250 kW, ZSW</t>
  </si>
  <si>
    <t xml:space="preserve"> [1], [2], [3], [5], [7], [9]</t>
  </si>
  <si>
    <t>Shoro Dam in Shiranuka-cho, Shiranuka-gun, Hokkaido</t>
  </si>
  <si>
    <t>35m3 H2/h</t>
  </si>
  <si>
    <t>[281]</t>
  </si>
  <si>
    <t>SoCalGas and University of California Irvine 1</t>
  </si>
  <si>
    <t>13m3 H2/h</t>
  </si>
  <si>
    <t>[480]</t>
  </si>
  <si>
    <t>HELMETH (R&amp;D)</t>
  </si>
  <si>
    <t xml:space="preserve"> [3], [124]</t>
  </si>
  <si>
    <t>SoCalGas and University of California Irvine 2</t>
  </si>
  <si>
    <t>Tomakomai</t>
  </si>
  <si>
    <t>100kt CO2/y</t>
  </si>
  <si>
    <t>[279]</t>
  </si>
  <si>
    <t>GrInHy</t>
  </si>
  <si>
    <t>0.15MW - 37.5m3 H2/h</t>
  </si>
  <si>
    <t>[298]</t>
  </si>
  <si>
    <t>Tomamae Town, Hokkaido</t>
  </si>
  <si>
    <t>0.135MW</t>
  </si>
  <si>
    <t>[278]</t>
  </si>
  <si>
    <t>Yokohama City Wind Power Plant (Hama Wing)</t>
  </si>
  <si>
    <t>[362]</t>
  </si>
  <si>
    <t>GRHYD</t>
  </si>
  <si>
    <t>[1] [7] [9] [99]</t>
  </si>
  <si>
    <t>ELY4OFF</t>
  </si>
  <si>
    <t>[510}</t>
  </si>
  <si>
    <t>Hidrolica, Tahivilla</t>
  </si>
  <si>
    <t>0.041MW</t>
  </si>
  <si>
    <t xml:space="preserve"> [1], [2], [5], [7], [64]</t>
  </si>
  <si>
    <t>GenHyPEM (R&amp;D)</t>
  </si>
  <si>
    <t>6.3 m3 H2/h</t>
  </si>
  <si>
    <t>[1] [5] [463]</t>
  </si>
  <si>
    <t>Jupiter 1000</t>
  </si>
  <si>
    <t>PEM+ALK</t>
  </si>
  <si>
    <t>[370]</t>
  </si>
  <si>
    <t>Hawaii Hydrogen Power Park (phase 2)</t>
  </si>
  <si>
    <t xml:space="preserve"> [1], [5], [87], [111], [112]</t>
  </si>
  <si>
    <t>PVFCSYS Sophia Antipolis</t>
  </si>
  <si>
    <t>0.0036MW</t>
  </si>
  <si>
    <t xml:space="preserve"> [1], [5], [85], [86], [87]</t>
  </si>
  <si>
    <t>PVFCSYS Agrate</t>
  </si>
  <si>
    <t>0.0034MW</t>
  </si>
  <si>
    <t xml:space="preserve"> [1], [5], [86], [87]</t>
  </si>
  <si>
    <t>THEUS H2 Energy Storage, Takasago (R&amp;D)</t>
  </si>
  <si>
    <t xml:space="preserve"> [1], [5], [106]</t>
  </si>
  <si>
    <t>Aeropila</t>
  </si>
  <si>
    <t>0.5 m3 H2/h</t>
  </si>
  <si>
    <t xml:space="preserve"> [1], [14]</t>
  </si>
  <si>
    <t>PosHYdon</t>
  </si>
  <si>
    <t>[500] [501]</t>
  </si>
  <si>
    <t>FIRST - Showcase II</t>
  </si>
  <si>
    <t xml:space="preserve"> [1], [5], [37], [106]</t>
  </si>
  <si>
    <t>IHAVU</t>
  </si>
  <si>
    <t>0.05m3 H2/h</t>
  </si>
  <si>
    <t>[472]</t>
  </si>
  <si>
    <t>WELTEMP, Water electrolysis at elevated temperature</t>
  </si>
  <si>
    <t>[1], [102]</t>
  </si>
  <si>
    <t>Ameland</t>
  </si>
  <si>
    <t xml:space="preserve"> [7], [9], [147]</t>
  </si>
  <si>
    <t>Wind-H2 Village Prince Edward Island</t>
  </si>
  <si>
    <t xml:space="preserve"> [1], [5], [164]</t>
  </si>
  <si>
    <t>DTE Energy Hydrogen Technoly Park, Southfield Michigan</t>
  </si>
  <si>
    <t>0.099MW</t>
  </si>
  <si>
    <t xml:space="preserve"> [1], [5], [25], [26]</t>
  </si>
  <si>
    <t>Wind2H2 Project NREL</t>
  </si>
  <si>
    <t xml:space="preserve"> [1], [5], [7], [87]</t>
  </si>
  <si>
    <t>Small Scale Renewable Power System DRI (Desert Research Institute)</t>
  </si>
  <si>
    <t>0.0065MW</t>
  </si>
  <si>
    <t xml:space="preserve"> [1], [5], [169], [170]</t>
  </si>
  <si>
    <t>IRENE System</t>
  </si>
  <si>
    <t xml:space="preserve"> [1], [5], [79]</t>
  </si>
  <si>
    <t>Bio SNG Güssing</t>
  </si>
  <si>
    <t xml:space="preserve"> [1], [9], [23], [24]</t>
  </si>
  <si>
    <t>Fine Chemical Industry Park of Lanzhou</t>
  </si>
  <si>
    <t>1000m3 H2/h - 1440t MeOH</t>
  </si>
  <si>
    <t>[361] [768]</t>
  </si>
  <si>
    <t>GldH2</t>
  </si>
  <si>
    <t>P2P IPKW</t>
  </si>
  <si>
    <t>1-10MW</t>
  </si>
  <si>
    <t>McPhy HRS</t>
  </si>
  <si>
    <t>[570]</t>
  </si>
  <si>
    <t>MethFuel</t>
  </si>
  <si>
    <t>[605]</t>
  </si>
  <si>
    <t>Coffeyville fertilizer plant</t>
  </si>
  <si>
    <t>1000000 t CO2/y</t>
  </si>
  <si>
    <t>PCS Nitrogen</t>
  </si>
  <si>
    <t>700000t CO2/y</t>
  </si>
  <si>
    <t>Port Arthur</t>
  </si>
  <si>
    <t>1000000t CO2/y - 151000m3 H2/h</t>
  </si>
  <si>
    <t>[345]</t>
  </si>
  <si>
    <t>MCRC bio-hydrogen facility Chennai</t>
  </si>
  <si>
    <t>Microbial fermentation</t>
  </si>
  <si>
    <t>12m3 H2/h</t>
  </si>
  <si>
    <t>[487]</t>
  </si>
  <si>
    <t>Port Jerome</t>
  </si>
  <si>
    <t>100000t CO2/y - 4500kg H2/h</t>
  </si>
  <si>
    <t>[335] [336]</t>
  </si>
  <si>
    <t>Quest</t>
  </si>
  <si>
    <t>[349] [703]</t>
  </si>
  <si>
    <t>ElectroHgena</t>
  </si>
  <si>
    <t>[9], Cap. network</t>
  </si>
  <si>
    <t>Power to flex (several pilot projects)</t>
  </si>
  <si>
    <t>[118], [205]</t>
  </si>
  <si>
    <t>Minerve, Nantes</t>
  </si>
  <si>
    <t>0.12MW - 10m3 H2/h</t>
  </si>
  <si>
    <t>[7], [9], [139] [467]</t>
  </si>
  <si>
    <t>HYPOS (several projects)</t>
  </si>
  <si>
    <t>PEM+ALK+SOEC</t>
  </si>
  <si>
    <t>[2], [7], [95], [96]</t>
  </si>
  <si>
    <t>680m3 H2/h</t>
  </si>
  <si>
    <t>Air Liquide Becancour</t>
  </si>
  <si>
    <t>20MW - 8t H2/d</t>
  </si>
  <si>
    <t>[241][665]</t>
  </si>
  <si>
    <t>Hebei Jiantou Guyuan wind project - 2nd phase</t>
  </si>
  <si>
    <t>[360][587] [771]</t>
  </si>
  <si>
    <t>Haiperer Wind Power Hebei - first phase</t>
  </si>
  <si>
    <t>4.3 t H2/d</t>
  </si>
  <si>
    <t>[360] [771]</t>
  </si>
  <si>
    <t>Guangdong Synergy Hydrogen Power Technology Co. 2n phase</t>
  </si>
  <si>
    <t>9MW</t>
  </si>
  <si>
    <t>Foshan hydrogen city, Phase 1</t>
  </si>
  <si>
    <t>Ref 251</t>
  </si>
  <si>
    <t>Foshan hydrogen city, Phase 2</t>
  </si>
  <si>
    <t>[252]</t>
  </si>
  <si>
    <t>DEMO4GRID</t>
  </si>
  <si>
    <t>[216]</t>
  </si>
  <si>
    <t>Anglo-American Mining Truck</t>
  </si>
  <si>
    <t>3.5MW</t>
  </si>
  <si>
    <t>[452]</t>
  </si>
  <si>
    <t>Wuppertal refuelling station</t>
  </si>
  <si>
    <t>[231] [356] [732]</t>
  </si>
  <si>
    <t>SALCOS - WindH2</t>
  </si>
  <si>
    <t>2 x 1.25MW - 450m3 H2/h</t>
  </si>
  <si>
    <t>[294][672] [774]</t>
  </si>
  <si>
    <t xml:space="preserve">PtG-Fehndorf	</t>
  </si>
  <si>
    <t>Hebei Jiantou Guyuan wind project - 1st phase</t>
  </si>
  <si>
    <t>Green hydrogen Project, Mohammad Bin Rashid Solar Park</t>
  </si>
  <si>
    <t>[296] [311]</t>
  </si>
  <si>
    <t>NEL-Champaign-Urbana Mass Transit District</t>
  </si>
  <si>
    <t>Cyrus Smith</t>
  </si>
  <si>
    <t>Jemena Western Sydney - H2GO project</t>
  </si>
  <si>
    <t>0.5MW</t>
  </si>
  <si>
    <t xml:space="preserve"> [224] [308]</t>
  </si>
  <si>
    <t>Queensland Government HRS</t>
  </si>
  <si>
    <t>0.22MW</t>
  </si>
  <si>
    <t>[535]</t>
  </si>
  <si>
    <t>GRASSHOPPER</t>
  </si>
  <si>
    <t>0.1&lt;W</t>
  </si>
  <si>
    <t>[417]</t>
  </si>
  <si>
    <t>Seafuel project</t>
  </si>
  <si>
    <t>25kg H2/d</t>
  </si>
  <si>
    <t>[511]</t>
  </si>
  <si>
    <t>Obayashi geothermal hydrogen</t>
  </si>
  <si>
    <t>[566]</t>
  </si>
  <si>
    <t>Hydrogen village Burgenland</t>
  </si>
  <si>
    <t>[1], [115] [456]</t>
  </si>
  <si>
    <t>Unisa, Mawson Lakes campus</t>
  </si>
  <si>
    <t>[323]</t>
  </si>
  <si>
    <t>North West Sturgeon refinery</t>
  </si>
  <si>
    <t>Bitumen gasification+CCS</t>
  </si>
  <si>
    <t>1200000t CO2/y</t>
  </si>
  <si>
    <t>[348] [544]</t>
  </si>
  <si>
    <t>Nutrien (former Agrium) fertilizer</t>
  </si>
  <si>
    <t>300000t CO2/y</t>
  </si>
  <si>
    <t>[346] [347] [544]</t>
  </si>
  <si>
    <t>Kidman Park in Adelaide depot</t>
  </si>
  <si>
    <t>[221]</t>
  </si>
  <si>
    <t>SPHYNX, R&amp;D</t>
  </si>
  <si>
    <t>[140], [208] [393]</t>
  </si>
  <si>
    <t>Ref [1], [5], [87], [89], [90]</t>
  </si>
  <si>
    <t>Fronius HyLOG-Fleet (Hydrogen powered Logistic System)</t>
  </si>
  <si>
    <t>HyWindBalance, Oldenburg</t>
  </si>
  <si>
    <t>Hyport@Duqm</t>
  </si>
  <si>
    <t>250-500MW</t>
  </si>
  <si>
    <t>Engie - Yara Pilbara test</t>
  </si>
  <si>
    <t>Haiperer Wind Power Hebei - second phase</t>
  </si>
  <si>
    <t>27.8t H2/d</t>
  </si>
  <si>
    <t>Crystal Brook Energy Park, South Australia</t>
  </si>
  <si>
    <t>[587]</t>
  </si>
  <si>
    <t>Demonstration plant Kuala Terengganu, Malaysia</t>
  </si>
  <si>
    <t>[5], [105]</t>
  </si>
  <si>
    <t>Demo Plant Agricultural University Athens</t>
  </si>
  <si>
    <t>[1], [5], [21]</t>
  </si>
  <si>
    <t>The Hydrogen house</t>
  </si>
  <si>
    <t>[1], [5], [172]</t>
  </si>
  <si>
    <t>Fenosa Canberra hydrogen demo project</t>
  </si>
  <si>
    <t>Alliander Oosterwolde - solar park of GroenLeven</t>
  </si>
  <si>
    <t>1.4MW</t>
  </si>
  <si>
    <t>[591][597]</t>
  </si>
  <si>
    <t>Siemens Energy and Beijing Green Hydrogen Technology Development HRS</t>
  </si>
  <si>
    <t>[575]</t>
  </si>
  <si>
    <t>RWE-Thyssenkrupp Duisburg steel plant  (HydrOxy Hub Walsum)</t>
  </si>
  <si>
    <t>[526]</t>
  </si>
  <si>
    <t>HyAMMED HD trucksrefuelling station</t>
  </si>
  <si>
    <t>1000kg H2/d</t>
  </si>
  <si>
    <t>[542] [568]</t>
  </si>
  <si>
    <t xml:space="preserve">Ribatejo natural gas power plant </t>
  </si>
  <si>
    <t>[533]</t>
  </si>
  <si>
    <t>Air Liquide liquid hydrogen production plant</t>
  </si>
  <si>
    <t>30t H2/d (only part from biogas, but at least 1/3)</t>
  </si>
  <si>
    <t>[559] [561][639]</t>
  </si>
  <si>
    <t xml:space="preserve">Sun Metals Zinc Refinery </t>
  </si>
  <si>
    <t>HRS TMB Barcelona</t>
  </si>
  <si>
    <t>[563]</t>
  </si>
  <si>
    <t>HRS Charleroi</t>
  </si>
  <si>
    <t>[564]</t>
  </si>
  <si>
    <t>HRS CNH2 Puertollano</t>
  </si>
  <si>
    <t>0.06MW</t>
  </si>
  <si>
    <t>Fertiberia/Iberdrola - Palos de la Frontera I</t>
  </si>
  <si>
    <t>230MW</t>
  </si>
  <si>
    <t>[588][620][631]</t>
  </si>
  <si>
    <t>Hyflexpower</t>
  </si>
  <si>
    <t>[518] [519] [557]</t>
  </si>
  <si>
    <t>HydroHub-Fenne</t>
  </si>
  <si>
    <t>[600]</t>
  </si>
  <si>
    <t>Solena Group Plasma enhanced gasification</t>
  </si>
  <si>
    <t>Biomass gasification</t>
  </si>
  <si>
    <t>11000kg H2/d</t>
  </si>
  <si>
    <t>[513]</t>
  </si>
  <si>
    <t>[610]</t>
  </si>
  <si>
    <t>Olive Creek 1</t>
  </si>
  <si>
    <t>14000t carbon black/y (1t H2:3T carbon black)</t>
  </si>
  <si>
    <t>[611]</t>
  </si>
  <si>
    <t>Olive Creek 2</t>
  </si>
  <si>
    <t>275kt NH3/y</t>
  </si>
  <si>
    <t>Fertiberia/Iberdrola - Palos de la Frontera II</t>
  </si>
  <si>
    <t>370MW (in addition to the 230MW included in Ref 776)</t>
  </si>
  <si>
    <t>Douglas PUD - industrial area north of East Wenatchee</t>
  </si>
  <si>
    <t>Chongli wind-solar Hydrogen Project - first phase</t>
  </si>
  <si>
    <t>1.7t H2/d</t>
  </si>
  <si>
    <t>[360]</t>
  </si>
  <si>
    <t>GreenH2UB (1st hub, Noord Brabant)</t>
  </si>
  <si>
    <t>Duwaal</t>
  </si>
  <si>
    <t>[242] [353] [503][630] [508]</t>
  </si>
  <si>
    <t>Chongli wind-solar Hydrogen Project - second phase</t>
  </si>
  <si>
    <t>[771]</t>
  </si>
  <si>
    <t>Hysolar Green on Road - Nieuwegein</t>
  </si>
  <si>
    <t>[499]</t>
  </si>
  <si>
    <t>Halcyon Power</t>
  </si>
  <si>
    <t>1.5MW - 250m3 H2/h</t>
  </si>
  <si>
    <t>[529]</t>
  </si>
  <si>
    <t>Hydrogenpilot Oosterwolde</t>
  </si>
  <si>
    <t>Kopernikus 2.0</t>
  </si>
  <si>
    <t>[445][599]</t>
  </si>
  <si>
    <t>E-CO2MET Raffinerie Mitteldeutschland</t>
  </si>
  <si>
    <t>HESC (Liquefied hydrogen energy supply chain)</t>
  </si>
  <si>
    <t>Coal gasification with CCS</t>
  </si>
  <si>
    <t>4.39 Mt CO2/y - 770 tH2/d</t>
  </si>
  <si>
    <t>[297]</t>
  </si>
  <si>
    <t>H-Vision (phase 1)</t>
  </si>
  <si>
    <t>900000t CO2/y - 100 kt H2/y</t>
  </si>
  <si>
    <t>[268]</t>
  </si>
  <si>
    <t xml:space="preserve">Preem CCS </t>
  </si>
  <si>
    <t>500000t CO2/y</t>
  </si>
  <si>
    <t>[516][517]</t>
  </si>
  <si>
    <t>METHYCENTRE</t>
  </si>
  <si>
    <t>[103] [130]</t>
  </si>
  <si>
    <t>Hydrogen Park Gladstone</t>
  </si>
  <si>
    <t>0.175MW</t>
  </si>
  <si>
    <t>[375]</t>
  </si>
  <si>
    <t>Toyota Hydrogen Centre, Altona, Victoria</t>
  </si>
  <si>
    <t>GZI Next</t>
  </si>
  <si>
    <t>[421]</t>
  </si>
  <si>
    <t>Yanchang Integrated Carbon Capture and Storage Demonstration</t>
  </si>
  <si>
    <t>410000t CO2/y</t>
  </si>
  <si>
    <t>[334]</t>
  </si>
  <si>
    <t>Hazer group CH4 pyrolysis</t>
  </si>
  <si>
    <t>ECB Omega Green biofuel project</t>
  </si>
  <si>
    <t>310MW</t>
  </si>
  <si>
    <t>[382]</t>
  </si>
  <si>
    <t>H2V Normandy, 1st phase</t>
  </si>
  <si>
    <t>[304]  [131] [715]</t>
  </si>
  <si>
    <t>H2V59, 1st phase</t>
  </si>
  <si>
    <t>Arrowsmith Hydrogen Project</t>
  </si>
  <si>
    <t>[497]</t>
  </si>
  <si>
    <t>Bad Lauchstädt energy park</t>
  </si>
  <si>
    <t>DJEWELS Chemiepark - Delfzijl, Phase 1</t>
  </si>
  <si>
    <t>UpHy</t>
  </si>
  <si>
    <t>[424]</t>
  </si>
  <si>
    <t>Referenzkraftwerk Lausitz</t>
  </si>
  <si>
    <t>10 m3 H2/h</t>
  </si>
  <si>
    <t>Lake Charles Methanol</t>
  </si>
  <si>
    <t>Petroleum coke+CCS</t>
  </si>
  <si>
    <t>4200000t CO2/y</t>
  </si>
  <si>
    <t>[273] [350]</t>
  </si>
  <si>
    <t>PGNiG - INGRID</t>
  </si>
  <si>
    <t xml:space="preserve"> LADWP - NREL Intermountain Power Project</t>
  </si>
  <si>
    <t>DJEWELS Chemiepark - Delfzijl, Phase 2</t>
  </si>
  <si>
    <t>[630]</t>
  </si>
  <si>
    <t>H2ermes</t>
  </si>
  <si>
    <t>[226] [366]</t>
  </si>
  <si>
    <t>H2V Normandy, 2nd phase</t>
  </si>
  <si>
    <t>[304]  [131]</t>
  </si>
  <si>
    <t>H2V59, 2nd phase</t>
  </si>
  <si>
    <t>[305]  [131]</t>
  </si>
  <si>
    <t>Hybridge</t>
  </si>
  <si>
    <t>ALK+PEM</t>
  </si>
  <si>
    <t>[228]</t>
  </si>
  <si>
    <t>H2M</t>
  </si>
  <si>
    <t>Unknown technology</t>
  </si>
  <si>
    <t>1300000t CO2/y</t>
  </si>
  <si>
    <t>Ref [283]</t>
  </si>
  <si>
    <t>Wabash CarbonSAFE</t>
  </si>
  <si>
    <t>1650000t CO2/y</t>
  </si>
  <si>
    <t>Etzel, Salt caverns</t>
  </si>
  <si>
    <t>Ref [2], [175], [209]</t>
  </si>
  <si>
    <t>[343] [344]</t>
  </si>
  <si>
    <t>Bio Energy Netherlands</t>
  </si>
  <si>
    <t>Blue Hydrogen Den Helder</t>
  </si>
  <si>
    <t>Combination of electrolysis and NG w CCS</t>
  </si>
  <si>
    <t>Repsol advanced biofuels plant Cartagena</t>
  </si>
  <si>
    <t>[617]</t>
  </si>
  <si>
    <t>H2-based residential area in Van der Veen</t>
  </si>
  <si>
    <t>[312]</t>
  </si>
  <si>
    <t>H2Gas</t>
  </si>
  <si>
    <t>[316]</t>
  </si>
  <si>
    <t>Long Beach Fuel Cell plant</t>
  </si>
  <si>
    <t>[320]</t>
  </si>
  <si>
    <t>Producing Hydrogen by Gasification of Biomass in 'het Groene Hart'</t>
  </si>
  <si>
    <t>Ramboll study for an e-fuel plant in Greenland</t>
  </si>
  <si>
    <t>[313]</t>
  </si>
  <si>
    <t xml:space="preserve"> Saint-Brieuc Armor Agglomeration production plant</t>
  </si>
  <si>
    <t>[633]</t>
  </si>
  <si>
    <t>Exelon, H2@Scale</t>
  </si>
  <si>
    <t>DJEWELS Chemiepark - Delfzijl, Phase 3</t>
  </si>
  <si>
    <t>Curthyl</t>
  </si>
  <si>
    <t>Deltaurus 1</t>
  </si>
  <si>
    <t>150MW - 1GW</t>
  </si>
  <si>
    <t>[640]</t>
  </si>
  <si>
    <t>Deltaurus 3</t>
  </si>
  <si>
    <t>North CCU HUB, phase 3 (Deltaurus 4)</t>
  </si>
  <si>
    <t>600MW</t>
  </si>
  <si>
    <t>Centrale Vlissingen - VoltH2</t>
  </si>
  <si>
    <t>[653]</t>
  </si>
  <si>
    <t>HySynergy, phase 2</t>
  </si>
  <si>
    <t>1000W</t>
  </si>
  <si>
    <t>Green lab skive</t>
  </si>
  <si>
    <t>Shell China - Zhangjiakou</t>
  </si>
  <si>
    <t>[642] [772]</t>
  </si>
  <si>
    <t>Dobrogea wind farm</t>
  </si>
  <si>
    <t>[643]</t>
  </si>
  <si>
    <t xml:space="preserve">Aberdeen Hydrogen Hub </t>
  </si>
  <si>
    <t>Fortescue Metals Group - Bell Bay, Tasmania</t>
  </si>
  <si>
    <t>250MW - 250kt NH3/y</t>
  </si>
  <si>
    <t>[646]</t>
  </si>
  <si>
    <t>H2HUB</t>
  </si>
  <si>
    <t>[647]</t>
  </si>
  <si>
    <t>EMEC tidal-battery-hydrogen demo</t>
  </si>
  <si>
    <t>[649]</t>
  </si>
  <si>
    <t>Orange-BAT Puerto Valencia</t>
  </si>
  <si>
    <t>[651]</t>
  </si>
  <si>
    <t>Huaneng electrolysis plant in Western Sichuan</t>
  </si>
  <si>
    <t>6000m3 H2/h</t>
  </si>
  <si>
    <t>[650] [772]</t>
  </si>
  <si>
    <t>H-Vision (phase 2)</t>
  </si>
  <si>
    <t>2700000t CO2/y - 300 kt H2/y</t>
  </si>
  <si>
    <t>HaYrport</t>
  </si>
  <si>
    <t>0.75MW</t>
  </si>
  <si>
    <t>Power-to-Methanol, Antwerp, phase 2</t>
  </si>
  <si>
    <t>Hyport, phase 2</t>
  </si>
  <si>
    <t>300MW</t>
  </si>
  <si>
    <t>IPCEI Green Crane, Italy Hubs</t>
  </si>
  <si>
    <t>North CCU HUB, phase 2. North-C -full scale</t>
  </si>
  <si>
    <t>HRS Halle (Continued as Ref148)</t>
  </si>
  <si>
    <t>60 m3 H2/h</t>
  </si>
  <si>
    <t>[655]</t>
  </si>
  <si>
    <t>HRS Wilrijk</t>
  </si>
  <si>
    <t>Origin Energy Tasmania’s Bell Bay</t>
  </si>
  <si>
    <t>500MW-420 ktnNH3/y</t>
  </si>
  <si>
    <t>H2One Multistation- Tsuruga City</t>
  </si>
  <si>
    <t>[659]</t>
  </si>
  <si>
    <t>Steag-Thyssenkrupp Duisburg steel plant (HydrOxy Hub Walsum)</t>
  </si>
  <si>
    <t>500MW</t>
  </si>
  <si>
    <t>[661] [779]</t>
  </si>
  <si>
    <t>[662]</t>
  </si>
  <si>
    <t>Green fertilizer project Porsgrunn, phase 2</t>
  </si>
  <si>
    <t>[664]</t>
  </si>
  <si>
    <t>BENORTH2 (Amorebieta-Boroa power plant), phase 1</t>
  </si>
  <si>
    <t>[666] [690]</t>
  </si>
  <si>
    <t>BENORTH2 (Amorebieta-Boroa power plant), phase 2</t>
  </si>
  <si>
    <t>Recycle Carbone Varennes biofuels plant</t>
  </si>
  <si>
    <t>88MW</t>
  </si>
  <si>
    <t>[668] [669] [695]</t>
  </si>
  <si>
    <t>Beijing Jingneng Power Company</t>
  </si>
  <si>
    <t>500kt H2/y</t>
  </si>
  <si>
    <t>[670]</t>
  </si>
  <si>
    <t>Western Jutland Green ammonia project</t>
  </si>
  <si>
    <t>Wallonia e-methane project</t>
  </si>
  <si>
    <t>75MW</t>
  </si>
  <si>
    <t>[673]</t>
  </si>
  <si>
    <t>[674] [675]</t>
  </si>
  <si>
    <t>NortH2, phase 2</t>
  </si>
  <si>
    <t>3GW</t>
  </si>
  <si>
    <t>NortH2, phase 3</t>
  </si>
  <si>
    <t>10GW</t>
  </si>
  <si>
    <t>Pacific Solar Hydrogen</t>
  </si>
  <si>
    <t>[678]</t>
  </si>
  <si>
    <t>Brande Hydrogen project</t>
  </si>
  <si>
    <t>0.4MW</t>
  </si>
  <si>
    <t>[681] [689]</t>
  </si>
  <si>
    <t>Hydrogen trial in Dalmine steel mill</t>
  </si>
  <si>
    <t>[683]</t>
  </si>
  <si>
    <t xml:space="preserve">Horizeo project </t>
  </si>
  <si>
    <t>[684]</t>
  </si>
  <si>
    <t>Deep Purple</t>
  </si>
  <si>
    <t>[685] [686] [687]</t>
  </si>
  <si>
    <t>Pinto waste water plant</t>
  </si>
  <si>
    <t>[688] [748]</t>
  </si>
  <si>
    <t>Linde Leuna Chemical Complex</t>
  </si>
  <si>
    <t>24MW</t>
  </si>
  <si>
    <t>[693]</t>
  </si>
  <si>
    <t>Total’s La Mède biorefinery</t>
  </si>
  <si>
    <t>[694]</t>
  </si>
  <si>
    <t>Project Haber</t>
  </si>
  <si>
    <t>[695]</t>
  </si>
  <si>
    <t>Grupa Lotos refinery</t>
  </si>
  <si>
    <t>[698]</t>
  </si>
  <si>
    <t>Vattenfall's Moorburg plant</t>
  </si>
  <si>
    <t>[699]</t>
  </si>
  <si>
    <t>H2TAS</t>
  </si>
  <si>
    <t>[700]</t>
  </si>
  <si>
    <t>Sumitomo Queensland</t>
  </si>
  <si>
    <t>0.25-0.3 kt H2/y</t>
  </si>
  <si>
    <t>[701]</t>
  </si>
  <si>
    <t>Sumitomo Oman</t>
  </si>
  <si>
    <t>0.3-0.4 kt H2/y</t>
  </si>
  <si>
    <t>Sumitomo Malaysia</t>
  </si>
  <si>
    <t>H24All</t>
  </si>
  <si>
    <t>[704] [739] [757]</t>
  </si>
  <si>
    <t>As Pontes power plant</t>
  </si>
  <si>
    <t>[706]</t>
  </si>
  <si>
    <t>Esslingen District</t>
  </si>
  <si>
    <t>[711] [712]</t>
  </si>
  <si>
    <t>Compostilla - Endesa</t>
  </si>
  <si>
    <t>[713] [714]</t>
  </si>
  <si>
    <t>Seseña - Endesa</t>
  </si>
  <si>
    <t>Huelva - Endesa</t>
  </si>
  <si>
    <t>Hidrogeno El Cierzo</t>
  </si>
  <si>
    <t>7.2MW</t>
  </si>
  <si>
    <t>Tarragona - Endesa</t>
  </si>
  <si>
    <t>Teruel - Endesa</t>
  </si>
  <si>
    <t>Almeria - Endesa</t>
  </si>
  <si>
    <t>Barranco de Tirajana - Endesa</t>
  </si>
  <si>
    <t>7MW</t>
  </si>
  <si>
    <t>Granadilla - Endesa</t>
  </si>
  <si>
    <t>Alcudia - Endesa</t>
  </si>
  <si>
    <t>8MW</t>
  </si>
  <si>
    <t>Green Crane, Asturias Hub, Phase Ib</t>
  </si>
  <si>
    <t>[319] [715] [729]</t>
  </si>
  <si>
    <t>Hynet Northwest, phase 2</t>
  </si>
  <si>
    <t>30 TWh H2/y</t>
  </si>
  <si>
    <t>Zero Emission Valley (14 HRS)</t>
  </si>
  <si>
    <t>Bahía H2 Offshore</t>
  </si>
  <si>
    <t>[717]</t>
  </si>
  <si>
    <t>KOGAN HYDROGEN DEMONSTRATION PROJECT</t>
  </si>
  <si>
    <t>[719]</t>
  </si>
  <si>
    <t>Masdar City green H2</t>
  </si>
  <si>
    <t>Maasvlakte, phase I</t>
  </si>
  <si>
    <t>[723]</t>
  </si>
  <si>
    <t>Maasvlakte, phase II</t>
  </si>
  <si>
    <t>[724]</t>
  </si>
  <si>
    <t>Clean Energy Innovation Park</t>
  </si>
  <si>
    <t>ORANGE.BAT Castellon</t>
  </si>
  <si>
    <t>[726]</t>
  </si>
  <si>
    <t>Saras Sardinia refinery</t>
  </si>
  <si>
    <t>[727]</t>
  </si>
  <si>
    <t>H2 Creteil</t>
  </si>
  <si>
    <t>0.18 kt H2/y</t>
  </si>
  <si>
    <t>[728]</t>
  </si>
  <si>
    <t>SunLine Palms Springs</t>
  </si>
  <si>
    <t>[73]</t>
  </si>
  <si>
    <t>Unknown project from NEL</t>
  </si>
  <si>
    <t>[733]</t>
  </si>
  <si>
    <t xml:space="preserve">H2 Green Steel (H2GS) </t>
  </si>
  <si>
    <t>5 million tonnes of steel</t>
  </si>
  <si>
    <t>[735] [736]</t>
  </si>
  <si>
    <t>New York Science, Technology and Advanced Manufacturing Park</t>
  </si>
  <si>
    <t>Abanto Technology Park</t>
  </si>
  <si>
    <t>[739] [757]</t>
  </si>
  <si>
    <t>ESP
FRA</t>
  </si>
  <si>
    <t>67GW</t>
  </si>
  <si>
    <t>[758]</t>
  </si>
  <si>
    <t>Boryeong LNG Terminal</t>
  </si>
  <si>
    <t>250 kt H2/y</t>
  </si>
  <si>
    <t>[741] [742]</t>
  </si>
  <si>
    <t>Florida Power &amp; Light utility pilot plant</t>
  </si>
  <si>
    <t>[743]</t>
  </si>
  <si>
    <t>Refhyne II</t>
  </si>
  <si>
    <t>[745] [746]</t>
  </si>
  <si>
    <t>H2-Login</t>
  </si>
  <si>
    <t>6 kg H2/d</t>
  </si>
  <si>
    <t>[747]</t>
  </si>
  <si>
    <t>Changwon Industrial complex</t>
  </si>
  <si>
    <t>[749]</t>
  </si>
  <si>
    <t>[753]</t>
  </si>
  <si>
    <t>Karamay Dunhua Oil Technology CCUS EOR Project</t>
  </si>
  <si>
    <t>100000t CO2/y</t>
  </si>
  <si>
    <t>[751]</t>
  </si>
  <si>
    <t>Great Plains Synfuel Plant and Weyburn-Midale</t>
  </si>
  <si>
    <t>3000000 t CO2/y</t>
  </si>
  <si>
    <t>Al Reyadah CCUS</t>
  </si>
  <si>
    <t>800000 t CO2/y</t>
  </si>
  <si>
    <t>[752]</t>
  </si>
  <si>
    <t>Leed Bradford Airport hub</t>
  </si>
  <si>
    <t>[756]</t>
  </si>
  <si>
    <t>Northwest Natural Holding synthetic methane plant</t>
  </si>
  <si>
    <t>2-10MW</t>
  </si>
  <si>
    <t>[759]</t>
  </si>
  <si>
    <t>Centre Point Energy Minnesota</t>
  </si>
  <si>
    <t>[760]</t>
  </si>
  <si>
    <t>New Jersey Resources Howell</t>
  </si>
  <si>
    <t>Vantaa-Wartsila methanation</t>
  </si>
  <si>
    <t>[762] [763]</t>
  </si>
  <si>
    <t>AES Gener ammonia project</t>
  </si>
  <si>
    <t xml:space="preserve">PDO’s solar-paneled car park </t>
  </si>
  <si>
    <t>[765]</t>
  </si>
  <si>
    <t>Amin Solar Renewable Energy Project</t>
  </si>
  <si>
    <t>Huaneng Qingneng Institute demo plant</t>
  </si>
  <si>
    <t>[767]</t>
  </si>
  <si>
    <t>CNNC HTGR P2G demo</t>
  </si>
  <si>
    <t>0.1m3 H2/h</t>
  </si>
  <si>
    <t>[769]</t>
  </si>
  <si>
    <t>CNNC 600MW HTGR P2G for steel</t>
  </si>
  <si>
    <t>50000m3 H2/h</t>
  </si>
  <si>
    <t>Eco Energy World Quenssland project</t>
  </si>
  <si>
    <t>200 MW</t>
  </si>
  <si>
    <t>[775]</t>
  </si>
  <si>
    <t>National grid green H2 storage in New York</t>
  </si>
  <si>
    <t>[776]</t>
  </si>
  <si>
    <t>DH2Green Port of Malaga</t>
  </si>
  <si>
    <t>[777]</t>
  </si>
  <si>
    <t>Saipem and Alboran Hydrogen (3 plants)</t>
  </si>
  <si>
    <t>[778]</t>
  </si>
  <si>
    <t>Saipem and Alboran Hydrogen (1 plant)</t>
  </si>
  <si>
    <t>Optimal-ITM agreement</t>
  </si>
  <si>
    <t>0.7MW</t>
  </si>
  <si>
    <t>[780]</t>
  </si>
  <si>
    <t>Unknown ITM peoject</t>
  </si>
  <si>
    <t>[781]</t>
  </si>
  <si>
    <t>Green Hydrogen for Humberside</t>
  </si>
  <si>
    <t>[782]</t>
  </si>
  <si>
    <t>HRS Gatwick airport</t>
  </si>
  <si>
    <t>[783]</t>
  </si>
  <si>
    <t>4 projects of ITM in Australia</t>
  </si>
  <si>
    <t>4 x 0.25MW</t>
  </si>
  <si>
    <t>[785] [786]</t>
  </si>
  <si>
    <t>HRS Swindon</t>
  </si>
  <si>
    <t>[787]</t>
  </si>
  <si>
    <t>HRS Beaconsfield</t>
  </si>
  <si>
    <t>[788]</t>
  </si>
  <si>
    <t>QEM Julia Creek - Queensland</t>
  </si>
  <si>
    <t>[789]</t>
  </si>
  <si>
    <t>Rafnes chemical plants</t>
  </si>
  <si>
    <t>[790]</t>
  </si>
  <si>
    <t>Synkero synfuels project</t>
  </si>
  <si>
    <t>[791]</t>
  </si>
  <si>
    <t>Zenid Initiative</t>
  </si>
  <si>
    <t>H2Teeside 1st phase</t>
  </si>
  <si>
    <t>500MW - 1 million t CO2/y</t>
  </si>
  <si>
    <t>[792]</t>
  </si>
  <si>
    <t>H2Teeside 2nd phase</t>
  </si>
  <si>
    <t>1GW - 2 million t CO2/y</t>
  </si>
  <si>
    <t>ITM-Sumitomo Coorp</t>
  </si>
  <si>
    <t>1.4 MW</t>
  </si>
  <si>
    <t>[793]</t>
  </si>
  <si>
    <t>PT Panca Amara Utama ammonia plant in Luwuk</t>
  </si>
  <si>
    <t>[794]</t>
  </si>
  <si>
    <t>OMV Schwechat Refinery</t>
  </si>
  <si>
    <t>[796]</t>
  </si>
  <si>
    <t>Barents Blue ammonia plant</t>
  </si>
  <si>
    <t>Hysencia, Phase II</t>
  </si>
  <si>
    <t>NewGen</t>
  </si>
  <si>
    <t>170-185MW</t>
  </si>
  <si>
    <t>[806]</t>
  </si>
  <si>
    <t>Nauticol Blue Methanol facility in Grande Prairie, Alberta</t>
  </si>
  <si>
    <t>3.4 Mt MeOH/y - 1 Mt CO2/y captured</t>
  </si>
  <si>
    <t>[801] [802]</t>
  </si>
  <si>
    <t>Evolugen H2 injection project</t>
  </si>
  <si>
    <t>[803]</t>
  </si>
  <si>
    <t>Bangladesh Council of Scientific and Industrial Research demo</t>
  </si>
  <si>
    <t>[804]</t>
  </si>
  <si>
    <t>600 kt H2/y</t>
  </si>
  <si>
    <t>[805]</t>
  </si>
  <si>
    <t>Aquamarine</t>
  </si>
  <si>
    <t>[807]</t>
  </si>
  <si>
    <t>400MW</t>
  </si>
  <si>
    <t>Herrenhausen sewage works</t>
  </si>
  <si>
    <t>[812]</t>
  </si>
  <si>
    <t>Port of Duqm NH3 plant</t>
  </si>
  <si>
    <t>[261] [262] [264] [321][358][632][786] [809]</t>
  </si>
  <si>
    <t>[502], [596], [667]</t>
  </si>
  <si>
    <t>Camberra HRS</t>
  </si>
  <si>
    <t>[810] [811]</t>
  </si>
  <si>
    <t>https://ceenergynews.com/hydrogen/hungarian-gas-storages-aquamarine-project-to-play-an-active-role-in-the-decarbonisation-process/</t>
  </si>
  <si>
    <t>https://www.swb.de/ueber-swb/unternehmen/nachhaltigkeit/wasserstoff/clean-hydrogen-coastline</t>
  </si>
  <si>
    <t>https://fuelcellsworks.com/news/toyota-unveils-victorias-first-commercial-hydrogen-production-and-re-fuelling-facility-at-centre-of-excellence/</t>
  </si>
  <si>
    <t>https://engv.com.au/hydrogen-refuelling-station-actewagl-canberra/</t>
  </si>
  <si>
    <t>https://fuelcellsworks.com/news/australias-first-public-hydrogen-refuelling-station-opens-in-canberra/?mc_cid=cebb9719c0&amp;mc_eid=da4624d261</t>
  </si>
  <si>
    <t>https://aspens.de/aspens-baut-grosse-elektrolyseanlage-in-hannover/</t>
  </si>
  <si>
    <t>https://fuelcellsworks.com/news/india-acme-signs-us-2-5-billion-investment-deal-in-oman-with-tatweer-to-set-up-green-hydrogen-ammonia-plant/?mc_cid=cebb9719c0&amp;mc_eid=da4624d261</t>
  </si>
  <si>
    <t>https://www.rechargenews.com/transition/worlds-first-commercial-green-hydrogen-project-using-high-temperature-electrolysis-announced/2-1-773486</t>
  </si>
  <si>
    <t>HRS Plataforma Logística PLAZA</t>
  </si>
  <si>
    <t>HRS Valecnia</t>
  </si>
  <si>
    <t>HRS Alicante</t>
  </si>
  <si>
    <t>[815]</t>
  </si>
  <si>
    <t>[816]</t>
  </si>
  <si>
    <t>https://www.iberdrola.com/sala-comunicacion/noticias/detalle/iberdrola-moviliza-primer-proyecto-para-generacion-hidrogeno-verde-aragon</t>
  </si>
  <si>
    <t>https://www.pv-magazine.es/2021/03/22/iberdrola-planea-un-corredor-de-hidrogeno-verde-en-la-comunidad-valenciana/</t>
  </si>
  <si>
    <t>Plug Power-Brookfield Renewable Susquehanna River (Pen) project</t>
  </si>
  <si>
    <t>https://www.ir.plugpower.com/Press-Releases/Press-Release-Details/2021/Plug-Power-and-Brookfield-Renewable-Move-Forward-with-Green-Hydrogen-Plant-in-South-Central-Pennsylvania/default.aspx</t>
  </si>
  <si>
    <t>Prince George refinery</t>
  </si>
  <si>
    <t>[818]</t>
  </si>
  <si>
    <t>https://renewablesnow.com/news/bc-govt-supports-tidewater-midstreams-renewable-diesel-hydrogen-plan-734165/</t>
  </si>
  <si>
    <t>Science Parks of Tainan and Hsinchu</t>
  </si>
  <si>
    <t>[819]</t>
  </si>
  <si>
    <t>https://www.gasworld.com/air-liquide-celebrates-hydrogen-milestone-in-taiwan/2020650.article</t>
  </si>
  <si>
    <t>SeaH2Land</t>
  </si>
  <si>
    <t>[820]</t>
  </si>
  <si>
    <t>https://seah2land.nl/</t>
  </si>
  <si>
    <t>https://www.linde.com/news-media/press-releases/2020/linde-to-build-and-operate-world-s-first-hydrogen-refueling-station-for-passenger-trains</t>
  </si>
  <si>
    <t>https://corporate.arcelormittal.com/media/news-articles/arcelormittal-europe-to-produce-green-steel-starting-in-2020</t>
  </si>
  <si>
    <t>https://www.segre.com/es/noticias/comarcas/2021/03/21/impulsan_una_planta_pionera_lleida_para_obtener_hidrogeno_usarlo_como_combustible_129129_1091.html?</t>
  </si>
  <si>
    <t>https://hydrogen-pro.com/wp-content/uploads/2021/02/HydrogenPro-Q4-2020-Report-and-Company-update-22FEB21.pdf</t>
  </si>
  <si>
    <t>https://www.gicon.de/en/aktuelles/nachrichtenliste-aktuell/newsdetails/archive/2021/march/29/article/giconR-and-vietnam-petroleum-institute-sign-mou.html</t>
  </si>
  <si>
    <t>https://www.cbc.ca/news/canada/nova-scotia/nova-scotia-hub-green-hydrogen-1.5973355</t>
  </si>
  <si>
    <t>https://www.planetaryhydrogen.com/news/</t>
  </si>
  <si>
    <t>https://www.wacker.com/cms/en-ca/about-wacker/research-and-development/rhyme-bavaria/detail.html</t>
  </si>
  <si>
    <t>https://fuelcellsworks.com/news/world-first-hydrogen-distribution-station-in-the-port-of-antwerp-functionally-operational/</t>
  </si>
  <si>
    <t>https://chuneng.bjx.com.cn/news/20210326/1144111.shtml</t>
  </si>
  <si>
    <t>https://chuneng.bjx.com.cn/news/20201015/1110001.shtml</t>
  </si>
  <si>
    <t>https://chuneng.bjx.com.cn/news/20210316/1141882.shtml</t>
  </si>
  <si>
    <t>https://www.sohu.com/a/421783419_703050</t>
  </si>
  <si>
    <t>https://www.china5e.com/news/news-1107445-1.html</t>
  </si>
  <si>
    <t>http://www3.weforum.org/docs/WEF_System_Value_China_Market_Analysis_2020.pdf</t>
  </si>
  <si>
    <t>https://news.solarbe.com/202001/08/319050.html</t>
  </si>
  <si>
    <t>https://www.wiva.at/v2/portfolio-item/h2pioneer-pave-the-way-for-green-hydrogen-for-early-adopters-in-the-light-industry/?lang=en</t>
  </si>
  <si>
    <t>https://www.h2v.eu/hydrogen-valleys/wiva-pg-wasserstoffinitiative-vorzeigeregion-austria-power-gas</t>
  </si>
  <si>
    <t>https://www.chemengonline.com/austrian-consortium-unveils-major-decarbonization-project-focused-on-co2-capture-green-hydrogen/</t>
  </si>
  <si>
    <t>https://www.entsog.eu/sites/default/files/2020-11/ENTSOG_TYNDP_2020_Annex_A_Projects_Details.pdf</t>
  </si>
  <si>
    <t>https://www.iwb.ch/Ueber-uns/Newsroom/Medienmitteilungen/Klimafreundlicher-Wasserstoff-aus-Birsfelden.html</t>
  </si>
  <si>
    <t>https://www.e15.cz/byznys/prumysl-a-energetika/skupina-solar-global-spusti-vyrobu-prvniho-zeleneho-vodiku-v-cesku-1379128</t>
  </si>
  <si>
    <t>https://www.gie.eu/index.php/events-diary/workshops/2019-workshops/gie-gaz-system-joint-workshop-on-the-energy-transition-in-the-cee-region/27870-09-michal-slaby-net4gas/file</t>
  </si>
  <si>
    <t>https://www.eon.com/en/business-customers/hydrogen-rediscovery-of-the-oldest-element.html</t>
  </si>
  <si>
    <t>https://hungarianinsider.com/matra-power-plant-now-has-a-long-term-strategy-7020/</t>
  </si>
  <si>
    <t>https://www.zepak.com.pl/en/clean-poland/hydrogen-production-at-ze-pak-sa.html</t>
  </si>
  <si>
    <t>https://ilbioeconomista.com/2020/11/30/perstorp-aims-at-reducing-carbon-emission-by-producing-sustainable-methanol/</t>
  </si>
  <si>
    <t>https://fuelcellsworks.com/news/slovenian-glass-manufacturer-to-use-solar-power-plant-to-create-green-hydrogen/</t>
  </si>
  <si>
    <t>https://www.eles.si/en/news/ArticleID/16904/Slovenia%E2%80%99s-Green-Hydrogen-and-the-Coalition-of-Electricity-and-Gas-Sectors-within-the-SLOP2G-Project</t>
  </si>
  <si>
    <t>https://www.erm.com/news/erm-gets-go-ahead-to-develop-green-hydrogen-at-scale-from-offshore-wind/</t>
  </si>
  <si>
    <t>https://www.nottinghampost.com/news/local-news/new-innovative-hydrogen-power-plant-4527703</t>
  </si>
  <si>
    <t>https://www.uniper.energy/news/unipers-killingholme-the-right-place-the-right-time-the-right-plans</t>
  </si>
  <si>
    <t>https://renews.biz/67813/scottishpower-files-to-build-whitelee-electrolyser/</t>
  </si>
  <si>
    <t>https://www.gasdottitalia.it/it/content/progetto-pegasus</t>
  </si>
  <si>
    <t>https://www.now-gmbh.de/en/news/pressreleases/circular-economy-in-action/</t>
  </si>
  <si>
    <t>https://www.h2-mobile.fr/actus/hygo-station-hydrogene-vannes-ouvrira-octobre-2021/</t>
  </si>
  <si>
    <t>https://fuelcellsworks.com/news/in-france-the-vhygo-project-grand-ouest-hydrogen-valley-will-deploy-green-hydrogen-in-three-different-regions/?mc_cid=4101eb9ee9&amp;mc_eid=da4624d261</t>
  </si>
  <si>
    <t>https://www.h2-view.com/story/50mw-green-hydrogen-facility-one-step-closer-to-completion/</t>
  </si>
  <si>
    <t>https://www.h2v.eu/hydrogen-valleys/crystal-brook-hydrogen-superhub</t>
  </si>
  <si>
    <t>https://www.h2v.eu/hydrogen-valleys/hy-fi-hydrogen-facility-initiative</t>
  </si>
  <si>
    <t>https://www.h2v.eu/hydrogen-valleys/ceog-centrale-electrique-de-louest-guyanais</t>
  </si>
  <si>
    <t>https://www.h2-view.com/story/leading-us-carbon-capture-project-set-to-produce-clean-hydrogen/</t>
  </si>
  <si>
    <t>https://www.h2v.eu/hydrogen-valleys/hydrogen-valley-south-tyrol</t>
  </si>
  <si>
    <t>https://www.h2-suedtirol.com/de/das-wasserstoffzentrum-bozen</t>
  </si>
  <si>
    <t>https://www.h2v.eu/hydrogen-valleys/zev-zero-emission-valley</t>
  </si>
  <si>
    <t>https://www.h2v.eu/hydrogen-valleys/hybayern</t>
  </si>
  <si>
    <t>https://www.h2v.eu/hydrogen-valleys/hyways-future</t>
  </si>
  <si>
    <t>https://fuelcellsworks.com/news/agr-and-linde-engineering-work-together-on-a-green-hydrogen-project/</t>
  </si>
  <si>
    <t>https://www.siemens-energy.com/global/en/offerings/renewable-energy/hydrogen-solutions/haru-oni.html</t>
  </si>
  <si>
    <t>https://hydrogen-central.com/johnson-matthey-chile-methanol-green-hydrogen-project/</t>
  </si>
  <si>
    <t>https://www.h2-view.com/story/australian-project-to-produce-green-hydrogen-by-2022-powered-by-green-hydrogen-systems-technology/</t>
  </si>
  <si>
    <t>Hydrospider - St Gallen</t>
  </si>
  <si>
    <t>H2Nodes, Riga</t>
  </si>
  <si>
    <t>1 Mt H2/y</t>
  </si>
  <si>
    <t>Hydrogen Valley South Tyrol - Bolzano, CHIC</t>
  </si>
  <si>
    <t>[864] [865]</t>
  </si>
  <si>
    <t>[581] [854]</t>
  </si>
  <si>
    <t>[284] [301] [853]</t>
  </si>
  <si>
    <t xml:space="preserve"> Liquid Wind, FlagshipONE</t>
  </si>
  <si>
    <t>Helios Green Fuels - Neom</t>
  </si>
  <si>
    <t>[479] [830]</t>
  </si>
  <si>
    <t>vHyGO - 1st Facility for H2 buses in Bouin (H2 Ouest)</t>
  </si>
  <si>
    <t>vHyGO - 2nd facility in Vannes (EffiH2)</t>
  </si>
  <si>
    <t>[857] [858]</t>
  </si>
  <si>
    <t>Lingen BP Refinery , phase 1</t>
  </si>
  <si>
    <t>vHyGO -3rd facility in Brest</t>
  </si>
  <si>
    <t>[232] [322] [606] [860]</t>
  </si>
  <si>
    <t>Haru Oni, phase 1</t>
  </si>
  <si>
    <t>Element One (Element Eins), phase 1</t>
  </si>
  <si>
    <t>[378] [397] [422] [457] [853]</t>
  </si>
  <si>
    <t>[630] [853]</t>
  </si>
  <si>
    <t>[277] [341] [863]</t>
  </si>
  <si>
    <t>Baicheng City Bus Company - Songyuan City</t>
  </si>
  <si>
    <t>[831]</t>
  </si>
  <si>
    <t>769MW</t>
  </si>
  <si>
    <t>28MW</t>
  </si>
  <si>
    <t>[716] [866]</t>
  </si>
  <si>
    <t>[761] [859]</t>
  </si>
  <si>
    <t>Datong City solar plant, phase 1</t>
  </si>
  <si>
    <t>[770] [836]</t>
  </si>
  <si>
    <t>CEOG</t>
  </si>
  <si>
    <t>[862]</t>
  </si>
  <si>
    <t>HRS Bremervörde - trains</t>
  </si>
  <si>
    <t>ArcelorMittal Bremen</t>
  </si>
  <si>
    <t>Rossello paper factory</t>
  </si>
  <si>
    <t>DG Fuels</t>
  </si>
  <si>
    <t>Energía Los Cabos</t>
  </si>
  <si>
    <t>GICON - Vietnam Petroleum Institute MoU</t>
  </si>
  <si>
    <t>Heritage Gas - Ottawa</t>
  </si>
  <si>
    <t>Planetary Hydrogen - Ottawa</t>
  </si>
  <si>
    <t>RHYME</t>
  </si>
  <si>
    <t>Cangzhou Bohai New District Hydrogen</t>
  </si>
  <si>
    <t>Wind Power Heating and Hydrogen Production Project in Fengning Manzu Autonomous County, Chengde City</t>
  </si>
  <si>
    <t>Hydrogen Energy Equipment Industrial Cluster Project in Handan Economic and Technological Development Zone</t>
  </si>
  <si>
    <t>Zhangjiakou Yangyuan Jingxi New Energy Base Project</t>
  </si>
  <si>
    <t>CGN Baicheng Hydrogen Production Project - Jilin</t>
  </si>
  <si>
    <t>Shanxi Jinzhong</t>
    <phoneticPr fontId="18" type="noConversion"/>
  </si>
  <si>
    <t>Shanxi Changzhi</t>
    <phoneticPr fontId="18" type="noConversion"/>
  </si>
  <si>
    <t>Jilin Yushu</t>
    <phoneticPr fontId="18" type="noConversion"/>
  </si>
  <si>
    <t>Datong City solar plant, phase 2</t>
  </si>
  <si>
    <t>H2Pioneer</t>
  </si>
  <si>
    <t>WIVA P&amp;G Hydrogen Region</t>
  </si>
  <si>
    <t>Carbon2ProductAustria - C2PAT</t>
  </si>
  <si>
    <t>P2G4A</t>
  </si>
  <si>
    <t>Matra power pant</t>
  </si>
  <si>
    <t>Konin Power Plant, phase 1</t>
  </si>
  <si>
    <t>Project AIR (Perstorp - Stenungsund)</t>
  </si>
  <si>
    <t>Birsfelden power plant</t>
  </si>
  <si>
    <t>Steklarna Hrastnik glass manufactuing plant</t>
  </si>
  <si>
    <t>Solar Global group headquarters, phase 1</t>
  </si>
  <si>
    <t>Solar Global group headquarters, phase 2</t>
  </si>
  <si>
    <t>Greening of Gas (GoG) - Net4Gas DEMO</t>
  </si>
  <si>
    <t>Lingen BP Refinery , phase 2</t>
  </si>
  <si>
    <t>HyMAT SH</t>
  </si>
  <si>
    <t>We-4-PUR</t>
  </si>
  <si>
    <t>H2 in the Ketzin energy transition laborator</t>
  </si>
  <si>
    <t>Green Energy Hub Helmstedt</t>
  </si>
  <si>
    <t>Speicherstadt Kerpen</t>
  </si>
  <si>
    <t>SLOP2G Project</t>
  </si>
  <si>
    <t>Thermal Power Plant Sostanj</t>
  </si>
  <si>
    <t>TPJ Jesenice</t>
  </si>
  <si>
    <t>Dolphyn 1</t>
  </si>
  <si>
    <t>PTG Bilsthorpe, Nottinghamshire</t>
  </si>
  <si>
    <t>Uniper Killingholme site</t>
  </si>
  <si>
    <t>North Sea Wind Power Hub</t>
  </si>
  <si>
    <t>P2G Velke Kapusany</t>
  </si>
  <si>
    <t>Element One (Element Eins), phase 2</t>
  </si>
  <si>
    <t>Green Hydrogen Hubs (Ahaus-Epe, Etzel, Harsefeld, Moeckow, Drenthe, Leer, Zuidwending, Denmark), phase 1</t>
  </si>
  <si>
    <t>Green Hydrogen Hubs (Ahaus-Epe, Etzel, Harsefeld, Moeckow,Drenthe, Leer, Zuidwending, Denmark), phase 2</t>
  </si>
  <si>
    <t>Sun2Hy</t>
  </si>
  <si>
    <t>HyGéo</t>
  </si>
  <si>
    <t>Pegasus</t>
  </si>
  <si>
    <t>Power to gas plant in the south of Italy</t>
  </si>
  <si>
    <t>Hydrogen injection into the gas network in Lithuania</t>
  </si>
  <si>
    <t>Power to Gas Production with infrastructure building/enhacement in Latvia</t>
  </si>
  <si>
    <t>G2F - Gas to Future, phase 1</t>
  </si>
  <si>
    <t>G2F - Gas to Future, phase 2</t>
  </si>
  <si>
    <t>Herten HRS</t>
  </si>
  <si>
    <t>vHyGO -4th facility in St Nazaire</t>
  </si>
  <si>
    <t>vHyGO -5th facility in Dieppe</t>
  </si>
  <si>
    <t>NEL-Lhyfe Agreement</t>
  </si>
  <si>
    <t>McDermott - CB&amp;I 2nd project</t>
  </si>
  <si>
    <t>Hy-Fi</t>
  </si>
  <si>
    <t>HYBAYERN</t>
  </si>
  <si>
    <t>Hyways for future</t>
  </si>
  <si>
    <t>Norddeutsches Reallabor - Living Lab Northern Germany</t>
  </si>
  <si>
    <t>Haru Oni, phase 2</t>
  </si>
  <si>
    <t>Haru Oni, phase 3</t>
  </si>
  <si>
    <t>Green Hydrogen Systems - Skai Energies</t>
  </si>
  <si>
    <t>CHN</t>
    <phoneticPr fontId="18" type="noConversion"/>
  </si>
  <si>
    <t>DEU
DNK</t>
  </si>
  <si>
    <t>PEM &amp; SOEC</t>
  </si>
  <si>
    <t>Photoelectrochemical processes</t>
  </si>
  <si>
    <t>1.6 t H2/d</t>
  </si>
  <si>
    <t>20MW - 15kt MeOH/y</t>
  </si>
  <si>
    <t>1700t H2/y</t>
  </si>
  <si>
    <t>50m3 H2/h</t>
  </si>
  <si>
    <t>10t H2/d</t>
  </si>
  <si>
    <t>50m3 CH4/h</t>
  </si>
  <si>
    <t>0.35MW</t>
  </si>
  <si>
    <t>30 GWh H2/d</t>
  </si>
  <si>
    <t>78MW</t>
  </si>
  <si>
    <t>1.08 GWh H2/d</t>
  </si>
  <si>
    <t>1.8 GWh H2/d</t>
  </si>
  <si>
    <t>0.06 GWhH2/d</t>
  </si>
  <si>
    <t>23MW</t>
  </si>
  <si>
    <t>84MW</t>
  </si>
  <si>
    <t>332MW</t>
  </si>
  <si>
    <t>0.44kt H2/y</t>
  </si>
  <si>
    <t>650t H2/d</t>
  </si>
  <si>
    <t>1.18t H2/d</t>
  </si>
  <si>
    <t>3t H2/d</t>
  </si>
  <si>
    <t>60-90kg H2/d</t>
  </si>
  <si>
    <t>0.72 GWh H2/d</t>
  </si>
  <si>
    <t>[821]</t>
  </si>
  <si>
    <t>[822]</t>
  </si>
  <si>
    <t>[823]</t>
  </si>
  <si>
    <t>[824]</t>
  </si>
  <si>
    <t>[825]</t>
  </si>
  <si>
    <t>[826]</t>
  </si>
  <si>
    <t>[827]</t>
  </si>
  <si>
    <t>[828]</t>
  </si>
  <si>
    <t>[832]</t>
  </si>
  <si>
    <t>[833] [834]</t>
  </si>
  <si>
    <t>[834] [835]</t>
  </si>
  <si>
    <t>[837]</t>
  </si>
  <si>
    <t>[838]</t>
  </si>
  <si>
    <t>[839]</t>
  </si>
  <si>
    <t>[840]</t>
  </si>
  <si>
    <t>[845]</t>
  </si>
  <si>
    <t>[847]</t>
  </si>
  <si>
    <t>[848]</t>
  </si>
  <si>
    <t>[842]</t>
  </si>
  <si>
    <t>[843] [853]</t>
  </si>
  <si>
    <t>[844]</t>
  </si>
  <si>
    <t>[849]</t>
  </si>
  <si>
    <t>[850]</t>
  </si>
  <si>
    <t>[851]</t>
  </si>
  <si>
    <t>[852]</t>
  </si>
  <si>
    <t>[853]</t>
  </si>
  <si>
    <t>[853] [855]</t>
  </si>
  <si>
    <t>[856] [869]</t>
  </si>
  <si>
    <t>[861]</t>
  </si>
  <si>
    <t>[867]</t>
  </si>
  <si>
    <t>[868]</t>
  </si>
  <si>
    <t>[872]</t>
  </si>
  <si>
    <t>Ningxia Solar Hydrogen Project</t>
  </si>
  <si>
    <t>Origin Energy - Kawasaki Heavy Industries Townsville project</t>
  </si>
  <si>
    <t>[873]</t>
  </si>
  <si>
    <t>https://www.energyvoice.com/renewables-energy-transition/314698/origin-signs-pact-for-australian-green-hydrogen-export-project/</t>
  </si>
  <si>
    <t>https://news.bjx.com.cn/html/20190618/986800.shtml</t>
  </si>
  <si>
    <t>http://www.beijing.gov.cn/ywdt/zwzt/dah/bxyw/202104/t20210411_2351644.html</t>
  </si>
  <si>
    <t>Yanqing Hydrogen Energy Industrial Park</t>
  </si>
  <si>
    <t>2.8t H2/d</t>
  </si>
  <si>
    <t>https://fuelcellsworks.com/news/phase-ii-of-the-beijing-2022-hydrogen-industrial-park-construction-begins/?mc_cid=71b74cd7fd&amp;mc_eid=da4624d261</t>
  </si>
  <si>
    <t>[874] [875] [876]</t>
  </si>
  <si>
    <t>Hydrospider - Eglisau-Glattfelden</t>
  </si>
  <si>
    <t>https://fuelcellsworks.com/news/hydrogen-expansion-in-switzerland/?mc_cid=71b74cd7fd&amp;mc_eid=da4624d261</t>
  </si>
  <si>
    <t>Pertamina Ulubelu gerothermal plant</t>
  </si>
  <si>
    <t>[878][879]</t>
  </si>
  <si>
    <t>https://www.pertamina.com/id/news-room/energia-news/pertamina-optimalkan-manfaat-geotermal</t>
  </si>
  <si>
    <t>https://www.youtube.com/watch?v=wGF_m7rXvzY</t>
  </si>
  <si>
    <t>https://www.biofuelsdigest.com/bdigest/2020/09/16/ecb-signs-contract-with-government-for-paraguayan-omega-green-project/</t>
  </si>
  <si>
    <t>[259] [474] [880]</t>
  </si>
  <si>
    <t>Hitachi-P2X</t>
  </si>
  <si>
    <t>[881]</t>
  </si>
  <si>
    <t>https://p2x.fi/en/hitachi-abb-power-grids-and-p2x-solutions-sign-partnership-agreement-on-electrification-of-finlands-first-industrial-scale-green-hydrogen-production-plant-2/</t>
  </si>
  <si>
    <t>https://reneweconomy.com.au/solar-powered-green-ammonia-plans-in-pilbara-submitted-to-state-epa/</t>
  </si>
  <si>
    <t>https://www.elperiodicodearagon.com/noticias/economia/ercros-invertira-22-millones-planta-sabinanigo-2025_1464594.html</t>
  </si>
  <si>
    <t>Ercros - Sabinanigo</t>
  </si>
  <si>
    <t>[882]</t>
  </si>
  <si>
    <t>20 kt NH3/y - 20MW</t>
  </si>
  <si>
    <t>[621] [622] [884] [885]</t>
  </si>
  <si>
    <t>https://www.thyssenkrupp-industrial-solutions.com/en/media/press-releases/press-detail/kick-off-to-decarbonizing-ammonia-production--thyssenkrupp-awarded-green-hydrogen-plant-by-cf-industries-98980</t>
  </si>
  <si>
    <t>https://www.cfindustries.com/newsroom/2021/donaldsonville-electrolyzer</t>
  </si>
  <si>
    <t>OMNI CT - California</t>
  </si>
  <si>
    <t>Waste gasification</t>
  </si>
  <si>
    <t>5kt H2/y</t>
  </si>
  <si>
    <t>[886]</t>
  </si>
  <si>
    <t>https://www.businesswire.com/news/home/20210421006131/en/</t>
  </si>
  <si>
    <t>https://www.aramis.admin.ch/Default?DocumentID=46495&amp;Load=true</t>
  </si>
  <si>
    <t>Sapio - Mantova</t>
  </si>
  <si>
    <t>1500 m3 H2/h</t>
  </si>
  <si>
    <t>https://www.h2euro.org/whats-h2appening/hannover-2015-finlands-first-in-large-scale-hydrogen-plants/</t>
  </si>
  <si>
    <t>Kokkola H2 plant</t>
  </si>
  <si>
    <t>[888]</t>
  </si>
  <si>
    <t>14000MW</t>
  </si>
  <si>
    <t>https://www.rechargenews.com/energy-transition/growing-ambition-the-worlds-20-largest-green-hydrogen-projects/2-1-933755</t>
  </si>
  <si>
    <t>[291] [377] [494] [520] [660] [676][889]</t>
  </si>
  <si>
    <t>[493][618][660][889]</t>
  </si>
  <si>
    <t>HyEnergy Zero Carbon Hydrogen</t>
  </si>
  <si>
    <t>8000MW</t>
  </si>
  <si>
    <t>[889]</t>
  </si>
  <si>
    <t>Yellow Sea</t>
  </si>
  <si>
    <t>2000MW</t>
  </si>
  <si>
    <t>HyEx - phase 1</t>
  </si>
  <si>
    <t>HyEx - phase 2</t>
  </si>
  <si>
    <t>HNH</t>
  </si>
  <si>
    <t>1400MW</t>
  </si>
  <si>
    <t>Rostock - RWE</t>
  </si>
  <si>
    <t>https://www.h2-view.com/story/australia-total-eren-and-province-resources-ink-mou-for-potential-8gw-hydrogen-project/</t>
  </si>
  <si>
    <t>[889][890]</t>
  </si>
  <si>
    <t>[889][891]</t>
  </si>
  <si>
    <t>https://www.rechargenews.com/energy-transition/oil-companies-and-major-utilities-mulling-purchase-of-1-4gw-green-hydrogen-project-in-chile/2-1-999868</t>
  </si>
  <si>
    <t>https://www.argusmedia.com/en/news/2203821-engie-ushering-green-h2-into-chiles-mining-patch?amp=1&amp;__twitter_impression=true&amp;s=03</t>
  </si>
  <si>
    <t>CRS4-Italgas Sardinia</t>
  </si>
  <si>
    <t>[893]</t>
  </si>
  <si>
    <t>https://www.italgas.it/en/press-release/Protocollo-dintesa-tra-CRS4-e-Italgas-per-la-realizzazione-di-un-impianto-per-la-produzione-di-idrogeno-in-Sardegna/</t>
  </si>
  <si>
    <t>Gen2 Energy - Vitol, 1st site</t>
  </si>
  <si>
    <t>Gen2 Energy - Vitol, 2nd site</t>
  </si>
  <si>
    <t>BP Castellon refinery</t>
  </si>
  <si>
    <t>80MW</t>
  </si>
  <si>
    <t>[894]</t>
  </si>
  <si>
    <t>[895]</t>
  </si>
  <si>
    <t>https://www.hydroreview.com/business-finance/vitol-acquires-stake-in-hydrogen-company-gen2-energy-that-uses-hydropower/#gref</t>
  </si>
  <si>
    <t>https://cincodias.elpais.com/cincodias/2021/04/28/companias/1619600656_589151.html</t>
  </si>
  <si>
    <t>[652] [897]</t>
  </si>
  <si>
    <t xml:space="preserve">SmartQuart project - Kaisersesch </t>
  </si>
  <si>
    <t>[896]</t>
  </si>
  <si>
    <t>https://gtt.fr/news/elogen-selected-equip-smartquart-project-led-eon-germany</t>
  </si>
  <si>
    <t>https://h2.johncockerill.com/en/feu-vert-pour-hayrport-le-projet-decomobilite-100-propre-de-john-cockerill-et-liege-airport/</t>
  </si>
  <si>
    <t>Pedirka Hydrogen Project</t>
  </si>
  <si>
    <t>https://fuelcellsworks.com/news/hexagon-energy-and-air-products-team-up-on-blue-hydrogen-project-in-australia/?mc_cid=0dec0e5c1a&amp;mc_eid=da4624d261</t>
  </si>
  <si>
    <t>https://news.cision.com/nel-asa/r/nel-asa--receives-purchase-order-for-2-mw-pem-electrolyser,c3339141</t>
  </si>
  <si>
    <t>[877] [899]</t>
  </si>
  <si>
    <t>Canary Islands Hub, phase 1</t>
  </si>
  <si>
    <t>Canary Islands Hub, phase 2</t>
  </si>
  <si>
    <t>1kt H2/y</t>
  </si>
  <si>
    <t>[900]</t>
  </si>
  <si>
    <t>https://www.enagas.es/enagas/es/Comunicacion/NotasPrensa/27_04_21_NP_Proyecto_DISA_h2_verde_en_Canarias</t>
  </si>
  <si>
    <t>Suncor Edmonton Refinery</t>
  </si>
  <si>
    <t>300 kt H2/y - 2Mt CO2/y</t>
  </si>
  <si>
    <t>[901]</t>
  </si>
  <si>
    <t>https://www.cbc.ca/news/canada/calgary/suncor-atco-hydrogen-project-alberta-1.6021796</t>
  </si>
  <si>
    <t>[898] [902]</t>
  </si>
  <si>
    <t>https://hexagonresources.com/wp-content/uploads/2021/03/HXG4335_Draft4_Roadshow-Presentation_FINAL-LGv2_full-version.pdf</t>
  </si>
  <si>
    <t>https://www.spglobal.com/platts/en/market-insights/latest-news/electric-power/050621-siemens-energy-masdar-to-build-pilot-uae-hydrogen-plant-by-2022-with-focus-on-saf</t>
  </si>
  <si>
    <t>1000t H2/y</t>
  </si>
  <si>
    <t>[720] [903]</t>
  </si>
  <si>
    <t>Liberty South - Port Anthony</t>
  </si>
  <si>
    <t>20 t H2/d</t>
  </si>
  <si>
    <t>[718][905][906]</t>
  </si>
  <si>
    <t>[266] [309] [310] [664] [882] [910]</t>
  </si>
  <si>
    <t>Hydrogen Park Murray Valley, Victoria</t>
  </si>
  <si>
    <t>[724] [910]</t>
  </si>
  <si>
    <t>Donghae 1 offshore wind plant</t>
  </si>
  <si>
    <t>Project Jupiter (Gladstone)</t>
  </si>
  <si>
    <t>Project Mars (Mackay)</t>
  </si>
  <si>
    <t xml:space="preserve">Liberty North (Newcastle) </t>
  </si>
  <si>
    <t>BayoTech - Carbon Clean MoU</t>
  </si>
  <si>
    <t>[701] [912]</t>
  </si>
  <si>
    <t xml:space="preserve">GREENH2KER </t>
  </si>
  <si>
    <t>400t H2/d</t>
  </si>
  <si>
    <t>1t H2/d</t>
  </si>
  <si>
    <t>[904]</t>
  </si>
  <si>
    <t>[906][907]</t>
  </si>
  <si>
    <t>[906]</t>
  </si>
  <si>
    <t>[908]</t>
  </si>
  <si>
    <t>[911]</t>
  </si>
  <si>
    <t>Taranto Sustainable Refinery</t>
  </si>
  <si>
    <t>Nemo Hydrogen Project</t>
  </si>
  <si>
    <t>ZEHUS</t>
  </si>
  <si>
    <t>FUTURA</t>
  </si>
  <si>
    <t>Sicilian Sustainable Steel</t>
  </si>
  <si>
    <t>Green H2 for Chemical Application - North</t>
  </si>
  <si>
    <t>Green H2 for Chemical Application - South</t>
  </si>
  <si>
    <t>La Spezia Green Hydrogen</t>
  </si>
  <si>
    <t>Road Runner</t>
  </si>
  <si>
    <t>https://www.h2-view.com/story/25gw-hydrogen-mega-project-set-for-oman/</t>
  </si>
  <si>
    <t>https://www.maritime-executive.com/article/korea-adds-hydrogen-plant-as-it-approves-giant-floating-wind-farm-plan</t>
  </si>
  <si>
    <t>https://www.h2-view.com/story/pure-hydrogen-targets-port-anthony-victoria-for-hydrogen-hub/</t>
  </si>
  <si>
    <t>https://www.greenport.com/news101/australasia/hydrogen-project-planned-for-port-anthony</t>
  </si>
  <si>
    <t>https://www.h2-view.com/story/pure-hydrogens-plans-to-produce-400-tonnes-of-hydrogen-daily-in-gladstone-australia-progress/</t>
  </si>
  <si>
    <t>https://www.globalcement.com/news/item/12369-carbon-clean-partners-with-bayotech-for-carbon-capture-and-storage-from-hydrogen-production</t>
  </si>
  <si>
    <t>https://www.bayotech.us/news/bayotech-partners-with-carbon-clean</t>
  </si>
  <si>
    <t>https://www.energymagazine.com.au/100-million-for-large-scale-hydrogen-plants/</t>
  </si>
  <si>
    <t>https://www.iberdrola.com/press-room/news/detail/iberdrola-porcelanosa-launch-their-first-project-electrify-ceramic-production-combining-renewables-green-hydrogen-heat-pump-technology</t>
  </si>
  <si>
    <t>https://fuelcellsworks.com/news/in-oman-a-unique-h2-project-is-being-developed-by-ara-petroleum-and-sumitomo-corporation/</t>
  </si>
  <si>
    <t>HyDeal Ambition</t>
  </si>
  <si>
    <t>[915]</t>
  </si>
  <si>
    <t>[696] [918] [919]</t>
  </si>
  <si>
    <t>Plug Power - Fort Worth</t>
  </si>
  <si>
    <t>60 t H2/d</t>
  </si>
  <si>
    <t>[914]</t>
  </si>
  <si>
    <t>Offshore-to-X</t>
  </si>
  <si>
    <t>[916]</t>
  </si>
  <si>
    <t>HyDeal LA</t>
  </si>
  <si>
    <t>[917]</t>
  </si>
  <si>
    <t>[364] [418] [433] [814] [920]</t>
  </si>
  <si>
    <t>Yara Sluiskil (Deltaurus 2) - Haddock</t>
  </si>
  <si>
    <t>[590] [920]</t>
  </si>
  <si>
    <t>[503][630][920]</t>
  </si>
  <si>
    <t>[286] [503][630][630] [920]</t>
  </si>
  <si>
    <t>5-10MW</t>
  </si>
  <si>
    <t>[503][630] [504] [920]</t>
  </si>
  <si>
    <t>[275] [630] [920]</t>
  </si>
  <si>
    <t>Energiepark Eemshaven West (phase I)</t>
  </si>
  <si>
    <t>[920]</t>
  </si>
  <si>
    <t>Energiepark Eemshaven West (phase II)</t>
  </si>
  <si>
    <t>ELYgator</t>
  </si>
  <si>
    <t>Zeeland Refinery</t>
  </si>
  <si>
    <t>FUREC</t>
  </si>
  <si>
    <t>BrigH2</t>
  </si>
  <si>
    <t>50MW H2</t>
  </si>
  <si>
    <t>Hydrogen Mill</t>
  </si>
  <si>
    <t>H2-gateway</t>
  </si>
  <si>
    <t>0.2Mt H2/y</t>
  </si>
  <si>
    <t>https://www.bloomberg.com/news/articles/2021-05-14/plug-power-to-bring-wind-powered-hydrogen-plant-to-fort-worth</t>
  </si>
  <si>
    <t>https://www.energia-loscabos.com/tecnologia</t>
  </si>
  <si>
    <t>https://www.group.rwe/en/our-portfolio/innovation-and-technology/project-proposals/offshore-to-x</t>
  </si>
  <si>
    <t>https://www.environmentalleader.com/2021/05/ladwp-joins-hydeal-la-to-scale-green-hydrogen/</t>
  </si>
  <si>
    <t>https://www.h2-view.com/story/green-hydrogen-systems-technology-selected-for-wind-to-hydrogen-demo/</t>
  </si>
  <si>
    <t>https://www.h2-view.com/story/orsted-begins-construction-of-1000kg-of-hydrogen-a-day-h2res-project/</t>
  </si>
  <si>
    <t>https://www.topsectorenergie.nl/sites/default/files/uploads/TKI Gas/publicaties/Overview Hydrogen projects in the Netherlands - version 18 May 2021.pdf</t>
  </si>
  <si>
    <t>https://www.prnewswire.com/ae/news-releases/dubai-inaugurates-green-hydrogen-project-first-of-its-kind-in-mena-301295800.html</t>
  </si>
  <si>
    <t>[339][921]</t>
  </si>
  <si>
    <t>Sinopec - Ordos</t>
  </si>
  <si>
    <t>Sinopec - Kuqa</t>
  </si>
  <si>
    <t>20kt H2/y</t>
  </si>
  <si>
    <t>https://fuelcellsworks.com/news/sinopec-to-launch-first-green-hydrogen-project-in-2022/</t>
  </si>
  <si>
    <t>https://www.h2-view.com/story/mmex-signs-new-agreement-to-advance-its-first-hydrogen-project-in-texas/</t>
  </si>
  <si>
    <t>GreenHyScale</t>
  </si>
  <si>
    <t>[924]</t>
  </si>
  <si>
    <t>https://www.greenlab.dk/knowledge/greenhyscale-project-enter-grant-agreement-preparation-phase/</t>
  </si>
  <si>
    <t>https://www.renews.biz/69799/irish-start-up-unveils-plans-for-green-hydrogen-in-cork/</t>
  </si>
  <si>
    <t>12MW</t>
  </si>
  <si>
    <t>https://www.h2-view.com/story/new-24mw-electrolysis-plant-set-for-large-scale-green-hydrogen-production/</t>
  </si>
  <si>
    <t>[641][924][926]</t>
  </si>
  <si>
    <t>Green lab skive (Phase II)</t>
  </si>
  <si>
    <t>https://www.theguardian.com/world/2021/may/27/oman-plans-to-build-worlds-largest-green-hydrogen-plant</t>
  </si>
  <si>
    <t>REMOTE - Spain, Canary Island</t>
  </si>
  <si>
    <t>Aman - Green Hydrogen Project</t>
  </si>
  <si>
    <t>30GW</t>
  </si>
  <si>
    <t>https://fuelcellsworks.com/news/mauritania-signs-agreement-to-develop-green-hydrogen-production-plant/</t>
  </si>
  <si>
    <t>[288] [331][930]</t>
  </si>
  <si>
    <t>https://fuelcellsworks.com/news/everfuel-plans-300mw-hysynergy-phase-ii-electrolyser-in-fredericia/?mc_cid=5381e371d3&amp;mc_eid=da4624d261</t>
  </si>
  <si>
    <t>HySynergy, phase 3</t>
  </si>
  <si>
    <t>White Dragon</t>
  </si>
  <si>
    <t>[936]</t>
  </si>
  <si>
    <t>[927]</t>
  </si>
  <si>
    <t>Green H2 New Zealand - Taranaki</t>
  </si>
  <si>
    <t>2t H2/d</t>
  </si>
  <si>
    <t>[932]</t>
  </si>
  <si>
    <t>Horizon Oil Sands</t>
  </si>
  <si>
    <t>438000t CO2/y</t>
  </si>
  <si>
    <t>[933-934]</t>
  </si>
  <si>
    <t>Cerulean Winds - North Sea</t>
  </si>
  <si>
    <t>1.5GW</t>
  </si>
  <si>
    <t>[935]</t>
  </si>
  <si>
    <t>Hyundai Oilbank - Blue H2 Ecosystem</t>
  </si>
  <si>
    <t>100kt H2/y</t>
  </si>
  <si>
    <t>[937]</t>
  </si>
  <si>
    <t>Forestal del Atlántico</t>
  </si>
  <si>
    <t>[938]</t>
  </si>
  <si>
    <t>SoHyCal</t>
  </si>
  <si>
    <t>7.5MW</t>
  </si>
  <si>
    <t>[939][940]</t>
  </si>
  <si>
    <t>Bee’ah waste-to-hydrogen</t>
  </si>
  <si>
    <t>[941]</t>
  </si>
  <si>
    <t>Industrial Cachimayo</t>
  </si>
  <si>
    <t>50t NH3/d</t>
  </si>
  <si>
    <t>[942]</t>
  </si>
  <si>
    <t>Sirea - Castres site</t>
  </si>
  <si>
    <t>0.43MW</t>
  </si>
  <si>
    <t>[943]</t>
  </si>
  <si>
    <t>[797][798][799][944]</t>
  </si>
  <si>
    <t>https://www.horisontenergi.no/horisont-energi-chooses-hammerfest-norway-to-build-europes-first-large-scale-carbon-neutral-ammonia-plant/</t>
  </si>
  <si>
    <t>https://www.spglobal.com/platts/en/market-insights/latest-news/electric-power/052821-germany-shortlists-62-hydrogen-projects-with-2-gw-capacity-for-ipcei-state-aid</t>
  </si>
  <si>
    <t>[314][945]</t>
  </si>
  <si>
    <t>[889][945]</t>
  </si>
  <si>
    <t>Rostock - RWE (future phases)</t>
  </si>
  <si>
    <t>BASF Ludwigshafen</t>
  </si>
  <si>
    <t>[945]</t>
  </si>
  <si>
    <t>Clean Hydrogen Coastline, Ems</t>
  </si>
  <si>
    <t>[808][945]</t>
  </si>
  <si>
    <t>AquaPrimus (AquaVentus, phase 1), Heligoland</t>
  </si>
  <si>
    <t>Westkuste 100 (Phase 1) - HyScale 100, Heide</t>
  </si>
  <si>
    <t>Sinopec Qilu Petrochemical CCS</t>
  </si>
  <si>
    <t>Coke gasification with CCS</t>
  </si>
  <si>
    <t>MMEX - Texas</t>
  </si>
  <si>
    <t>[923]</t>
  </si>
  <si>
    <t>Methane pyrolysis</t>
  </si>
  <si>
    <t>[324] [325] [574] [946]</t>
  </si>
  <si>
    <t>100t H2/y</t>
  </si>
  <si>
    <t>1 Mt iron/y</t>
  </si>
  <si>
    <t>Air Products Net-Zero Hydrogen Energy Complex</t>
  </si>
  <si>
    <t>1500t H2/d - 3 Mt CO2/y</t>
  </si>
  <si>
    <t>[947]</t>
  </si>
  <si>
    <t>[764] [954]</t>
  </si>
  <si>
    <t>H2U (former Proyecto Verne)</t>
  </si>
  <si>
    <t>Walmart Quilicura forklifts</t>
  </si>
  <si>
    <t>56t H2/y</t>
  </si>
  <si>
    <t>[958]</t>
  </si>
  <si>
    <t>[616] [829][966]</t>
  </si>
  <si>
    <t>Hollandse Kust (noord) - CrossWind - Pernis Refinery</t>
  </si>
  <si>
    <t>[505][920][968]</t>
  </si>
  <si>
    <t>Stanwell-Iwatani Galdstone project</t>
  </si>
  <si>
    <t>[969][970]</t>
  </si>
  <si>
    <t>[922][972]</t>
  </si>
  <si>
    <t>Green Fuels for Denmark - Phase 1</t>
  </si>
  <si>
    <t>Green Fuels for Denmark - Phase 2</t>
  </si>
  <si>
    <t>Green Fuels for Denmark - Phase 3</t>
  </si>
  <si>
    <t>Aurora (former Pilot-E)</t>
  </si>
  <si>
    <t>[363] [744][977]</t>
  </si>
  <si>
    <t>[644][979]</t>
  </si>
  <si>
    <t>Oman green H2 project, phase 1</t>
  </si>
  <si>
    <t>4.7GW</t>
  </si>
  <si>
    <t>[913] [928][980]</t>
  </si>
  <si>
    <t>[677] [980]</t>
  </si>
  <si>
    <t>[677][945][980]</t>
  </si>
  <si>
    <t>200kt H2/y</t>
  </si>
  <si>
    <t>Port of Pecem - Base One</t>
  </si>
  <si>
    <t>EI-H2 - Aghada (phase 1)</t>
  </si>
  <si>
    <t>[925][981]</t>
  </si>
  <si>
    <t>250kt H2/y</t>
  </si>
  <si>
    <t>[671][982]</t>
  </si>
  <si>
    <t>Ferrolterra plant</t>
  </si>
  <si>
    <t>700kt CO2/y</t>
  </si>
  <si>
    <t>[753] [953][998]</t>
  </si>
  <si>
    <t>Khalifa Industrial Zone Abu Dhabi (KIZAD) - phase 1</t>
  </si>
  <si>
    <t>40kt NH3/y</t>
  </si>
  <si>
    <t>12.15GW H2 - 20Mt CO2/y</t>
  </si>
  <si>
    <t>200MW - 0.4Mt CO2/y</t>
  </si>
  <si>
    <t>Lysekil refinery (phase 1)</t>
  </si>
  <si>
    <t>[738][1020]</t>
  </si>
  <si>
    <t>15 t H2/d - 30MW</t>
  </si>
  <si>
    <t>[663] [817][1020]</t>
  </si>
  <si>
    <t>[329][1020]</t>
  </si>
  <si>
    <t>Giner ELX, H2@Scale (Florida)</t>
  </si>
  <si>
    <t>[1020][1021]</t>
  </si>
  <si>
    <t>[635][1021]</t>
  </si>
  <si>
    <t>Frontier Energy, H2@Scale - electrolysis</t>
  </si>
  <si>
    <t>20kg H2/d</t>
  </si>
  <si>
    <t>[636][637][1021]</t>
  </si>
  <si>
    <t>[582][1022]</t>
  </si>
  <si>
    <t>8.75MW</t>
  </si>
  <si>
    <t>[290] [446][1024]</t>
  </si>
  <si>
    <t>1000000t CO2/y - 300 kt H2/y</t>
  </si>
  <si>
    <t>Hynet Northwest, phase 1 (Essar Stanlow refinery)</t>
  </si>
  <si>
    <t>Gela refinery</t>
  </si>
  <si>
    <t>Project GERI</t>
  </si>
  <si>
    <t>[1026]</t>
  </si>
  <si>
    <t>[929][980][1001]</t>
  </si>
  <si>
    <t>H2-hub Gladstone (Queensland) - phase 1</t>
  </si>
  <si>
    <t>150W</t>
  </si>
  <si>
    <t>[679] [680][1033]</t>
  </si>
  <si>
    <t>H2-hub Gladstone (Queensland) - phases 2-3</t>
  </si>
  <si>
    <t>Queensland Nitrates Renewable Hydrogen and Ammonia</t>
  </si>
  <si>
    <t>Dyno Nobel Renewable Hydrogen Project</t>
  </si>
  <si>
    <t>Hydrogen Park South Australia - HyPSA</t>
  </si>
  <si>
    <t>[657][1034]</t>
  </si>
  <si>
    <t>[538] [539][1038]</t>
  </si>
  <si>
    <t>780MW</t>
  </si>
  <si>
    <t>[537] [579][892][1044]</t>
  </si>
  <si>
    <t>[537] [579][995][1044]</t>
  </si>
  <si>
    <t>Green Crane, Asturias Hub, Phase I</t>
  </si>
  <si>
    <t>Green Crane - La Robla, Phase 1</t>
  </si>
  <si>
    <t>[647][648][697], Platts European Gas Daily 29-07-2021</t>
  </si>
  <si>
    <t>Meirama plant, phase 1</t>
  </si>
  <si>
    <t>[648], Platts European Gas Daily 29-07-2021</t>
  </si>
  <si>
    <t>AquaVentus (phase 3)</t>
  </si>
  <si>
    <t>[359], Platts European Gas Daily 21-07-2021</t>
  </si>
  <si>
    <t>410MW</t>
  </si>
  <si>
    <t>[750], Platts European Gas Daily 21-07-2021</t>
  </si>
  <si>
    <t>1Mt NH3/y</t>
  </si>
  <si>
    <t>[846], Platts European Gas Daily 23-07-2021</t>
  </si>
  <si>
    <t>[813] [1045], Platts European Gas Daily 24-08-2021</t>
  </si>
  <si>
    <t>CIIC Tiangong wind and solar hydrogen, Zhangjiakou</t>
  </si>
  <si>
    <t>1MW - 300kg H2/d</t>
  </si>
  <si>
    <t>[318] [853], Platts European Gas Daily 10-09-2021</t>
  </si>
  <si>
    <t>[857] [858][1014], Platts European Gas Daily 08-09-2021</t>
  </si>
  <si>
    <t>400000t CO2/y - 1000 kt/y</t>
  </si>
  <si>
    <t>Shell heavy residue gasification CCU - Pernis refinery (in 2024, the CCU project will become CCUS - ref1323 - once Porhtos project is available)</t>
  </si>
  <si>
    <t>Heavy oil residue gasification+CCS</t>
  </si>
  <si>
    <t>1.25 MW - 750000 l MeOH/y</t>
  </si>
  <si>
    <t>175 MW - 55 million liter synfuel/y</t>
  </si>
  <si>
    <t>2 GW - 550 million liter synfuel/y</t>
  </si>
  <si>
    <t>[589][645] [870] [871] [1076] [1078]</t>
  </si>
  <si>
    <t>[589][645] [870] [871] [1078]</t>
  </si>
  <si>
    <t>https://research.csiro.au/hyresource/queensland-nitrates-renewable-hydrogen-and-ammonia-project/</t>
  </si>
  <si>
    <t>https://fuelcellsworks.com/news/spain-reganosa-edp-renovaveis-investment-of-780-million-in-galicia-includes-a-100-mw-electrolysis-hydrogen-h2-production-plant/</t>
  </si>
  <si>
    <t>https://www.h2-view.com/story/1bn-abu-dhabi-project-will-produce-200000-tonnes-of-green-ammonia-from-hydrogen/</t>
  </si>
  <si>
    <t>https://www.greenhydrogennz.com/</t>
  </si>
  <si>
    <t>https://www.cnrl.com/corporate-responsibility/advancements-in-technology/managing-tailings.html</t>
  </si>
  <si>
    <t>http://webadmin.cnrl.com/upload/media_element/1129/04/2020-technology-and-innovation-case-studies.pdf</t>
  </si>
  <si>
    <t>https://www.h2-view.com/story/10bn-hydrogen-and-floating-wind-mega-project-to-be-developed-for-uk-north-sea/</t>
  </si>
  <si>
    <t>https://www.h2-view.com/story/the-e8bn-white-dragon-project-could-produce-250000-tonnes-of-green-hydrogen-annually/</t>
  </si>
  <si>
    <t>http://m.koreaherald.com/view.php?ud=20210531000636</t>
  </si>
  <si>
    <t>https://elperiodicodelaenergia.com/galicia-acoge-un-proyecto-para-producir-combustibles-cero-emisiones-netas-a-partir-de-co2-e-hidrogeno-verde/</t>
  </si>
  <si>
    <t>https://sevilla.abc.es/economia/sevi-h2b2-producira-hidrogeno-para-automoviles-california-202105080733_noticia.html</t>
  </si>
  <si>
    <t>https://www.h2b2.es/project/solar-pv-hydrogen-production-plant-in-central-california/</t>
  </si>
  <si>
    <t>https://www.h2-view.com/story/beeah-to-construct-the-uaes-first-waste-to-hydrogen-facility/</t>
  </si>
  <si>
    <t>https://www.studocu.com/pe/document/universidad-nacional-de-san-antonio-abad-del-cusco/materiales-de-ingenieria-quimica/informe/pdf-informe-oficial-industrias-cachimayo/9896747/view</t>
  </si>
  <si>
    <t>https://www.sireagroup.com/en/2021/03/22/green-hydrogen-photovoltaics/</t>
  </si>
  <si>
    <t>https://hazergroup.com.au/wp-content/uploads/2021/03/210315-Commencement-of-site-works-and-project-update-FINAL.pdf</t>
  </si>
  <si>
    <t>https://www.airproducts.com/news-center/2021/06/0609-air-products-net-zero-hydrogen-energy-complex-in-edmonton-alberta-canada</t>
  </si>
  <si>
    <t>https://hydrogen-central.com/hydrogen-lab-leuna-starts-operations-germany/</t>
  </si>
  <si>
    <t>https://www.awi.de/en/about-us/service/press/single-view/co2-neutral-auf-der-nordsee.html</t>
  </si>
  <si>
    <t>https://www.hydrogen-lab.de/</t>
  </si>
  <si>
    <t>https://www.orlen.pl/EN/PressOffice/Pages/ORLEN-Group-to-launch-international-hydrogen-program.aspx</t>
  </si>
  <si>
    <t>https://www.reuters.com/business/energy/portugals-galp-moves-green-hydrogen-refinery-eyes-12-bln-investment-2021-06-14/</t>
  </si>
  <si>
    <t>https://baijiahao.baidu.com/s?id=1704431415159222866&amp;wfr=spider&amp;for=pc</t>
  </si>
  <si>
    <t>https://www.terram.cl/2021/03/aes-gener-da-primer-paso-en-chile-para-desarrollar-proyecto-en-base-a-hidrogeno-verde/</t>
  </si>
  <si>
    <t>https://www.spglobal.com/marketintelligence/en/news-insights/latest-news-headlines/fortescue-seeks-to-build-green-hydrogen-plant-in-brazil-8211-reuters-63181918</t>
  </si>
  <si>
    <t>https://portodoacu.com.br/en/fortescue-future-industries%E2%80%AFand-port-of-acu%E2%80%AFjoin-forces-to-develop-green-hydrogen-plant-in%E2%80%AFbrazil/</t>
  </si>
  <si>
    <t>https://www.capitalenergetico.cl/wp-content/uploads/2021/03/La-Economia-Verde-Final-Plug-Power.pdf</t>
  </si>
  <si>
    <t>https://www.energiaestrategica.com/tci-gecomp-apuesta-fuerte-en-latinoamerica-con-el-proyecto-hoasis/</t>
  </si>
  <si>
    <t>https://www.ecopetrol.com.co/wps/wcm/connect/b01bdd8a-5f4e-4e23-bab4-53bc536071fe/4May21+Reporte+1T21+ESPA%C3%91OL.PDF?MOD=AJPERES&amp;attachment=false&amp;id=1620164477387</t>
  </si>
  <si>
    <t>https://www.energiaestrategica.com/estos-son-los-siete-proyectos-clave-en-hidrogeno-verde-del-sector-privado-en-chile/</t>
  </si>
  <si>
    <t>https://www.ssme.gov.py/vmme/index.php?option=com_content&amp;view=article&amp;id=2020:proyecto-qla-ruta-del-hidrogeno-h2-en-paraguay&amp;catid=96:sample-news&amp;Itemid=552</t>
  </si>
  <si>
    <t>https://infonegocios.com.py/nota-principal/us-10-millones-para-la-produccion-de-hidrogeno-estado-construira-tres-plantas-para-trabajar-en-la-descarbonizacion-del-transporte</t>
  </si>
  <si>
    <t>https://www.icex.es/icex/es/navegacion-principal/todos-nuestros-servicios/informacion-de-mercados/paises/navegacion-principal/noticias/paraguay-plantas-hidrogeno-new2021880982.html?idPais=PY</t>
  </si>
  <si>
    <t>https://adnoc.ae/en/news-and-media/press-releases/2021/adnoc-to-build-world-scale-blue-ammonia-project</t>
  </si>
  <si>
    <t>https://www.h2-view.com/story/cmb-tech-opens-antwerps-first-multimodal-hydrogen-station-launches-new-hydrogen-truck/</t>
  </si>
  <si>
    <t>https://arena.gov.au/news/seven-shortlisted-for-70-million-hydrogen-funding-round/#funding-applicants</t>
  </si>
  <si>
    <t>https://www.worley.com/news-and-media/2021/contract-to-help-create-green-hydrogen-factory</t>
  </si>
  <si>
    <t>https://www.h2-view.com/story/land-secured-for-3000mw-green-hydrogen-electrolysis-facility-in-australia/</t>
  </si>
  <si>
    <t>https://reneweconomy.com.au/stanwell-partners-with-japans-iwatani-to-develop-gladstone-green-hydrogen-export-hub-24485/</t>
  </si>
  <si>
    <t>https://www.ir.plugpower.com/Press-Releases/Press-Release-Details/2021/Plug-Power-Breaks-Ground-on-Green-Hydrogen-Production-Plant-in-Georgia/default.aspx</t>
  </si>
  <si>
    <t>https://www.reuters.com/business/sustainable-business/chinas-sinopec-targets-500000-t-green-hydrogen-capacity-by-2025-2021-06-09/</t>
  </si>
  <si>
    <t>https://www.endesa.com/es/prensa/sala-de-prensa/noticias/transicion-energetica/inversion-600-millones-proyecto-futuro-renovable-sostenible-central-pego-portugal</t>
  </si>
  <si>
    <t>https://www.azocleantech.com/article.aspx?ArticleID=1254</t>
  </si>
  <si>
    <t>https://energy-utilities.com/debt-raising-process-started-for-2-5bn-oman-green-news112760.html</t>
  </si>
  <si>
    <t>https://www.zawya.com/mena/en/business/story/Moroccos_first_green_hydrogen_project_to_start_production_in_2025-ZAWYA20210524060307/</t>
  </si>
  <si>
    <t>https://www.energy-storage.news/news/developers-of-utah-green-hydrogen-storage-hub-invited-to-apply-for-us-depar</t>
  </si>
  <si>
    <t>https://renewablesnow.com/news/swedish-steel-mill-to-install-17-mw-hydrogen-plant-745424/</t>
  </si>
  <si>
    <t>https://www.h2-view.com/story/aberdeen-city-council-wants-to-start-developing-aberdeens-hydrogen-hub-search-for-a-joint-venture-partner-begins/</t>
  </si>
  <si>
    <t>https://www.rechargenews.com/energy-transition/global-green-hydrogen-pipeline-exceeds-200gw-heres-the-25-largest-gigawatt-scale-projects/2-1-933755</t>
  </si>
  <si>
    <t>https://www.independent.ie/business/irish/ei-h2-and-zenith-announce-plans-for-green-hydrogen-plant-in-bantry-bay-40623074.html</t>
  </si>
  <si>
    <t>https://blog.topsoe.com/danish-partnership-receives-support-from-the-danish-energy-technology-development-and-demonstration-program-eudp-for-worlds-first-industrial-dynamic-green-ammoni-1624599909696?utm_content=170812983&amp;utm_medium=social&amp;utm_source=twitter&amp;hss_channel=tw-2233307129</t>
  </si>
  <si>
    <t>https://www.equinor.com/en/news/20210408-sse-thermal-hydrogen-ccs-humber.html</t>
  </si>
  <si>
    <t>https://www.offshorewind.biz/2020/12/16/atlantic-shores-partners-up-with-sji-for-green-hydrogen-pilot/</t>
  </si>
  <si>
    <t>https://apps1.semarnat.gob.mx:8443/dgiraDocs/documentos/gto/estudios/2020/11GU2020E0092.pdf</t>
  </si>
  <si>
    <t>https://www.revistapetroquimica.com/quieren-reactivar-la-planta-de-hidrogeno-de-pico-truncado/</t>
  </si>
  <si>
    <t>https://www.mexicangreenhydrogen.com/</t>
  </si>
  <si>
    <t>https://www.h2-view.com/story/new-237mw-green-hydrogen-plant-set-for-the-spanish-bay-of-algeciras/</t>
  </si>
  <si>
    <t>https://www.gazifere.com/wp-content/uploads/2021/02/Communiqu%C3%A9-de-presse_Evolugen-X-Gazif%C3%A8re_20210225_EN-1.pdf</t>
  </si>
  <si>
    <t>https://svevind.se/en/2021/06/23/svevind-and-kazakh-invest-national-company-jsc-sign-a-memorandum-of-understanding/</t>
  </si>
  <si>
    <t>https://www.enagas.es/enagas/es/Comunicacion/NotasPrensa/21_06_2021_NP_Proyecto_hidr%C3%B3geno_verde_Algeciras_Fisterra_y_White_Summit</t>
  </si>
  <si>
    <t>https://www.elecnor.com/noticias/enerfin-construira-una-planta-de-hidrogeno-verde-en-el-puerto-exterior-de-a-coruna</t>
  </si>
  <si>
    <t>https://www.offshore-energy.biz/port-of-immingham-hydrogen-supply-bid-submitted/</t>
  </si>
  <si>
    <t>https://www.energie.fraunhofer.de/en/press-media/press-release/press-releases-2020/PI-200729-fraunhofer-igb-Fraunhofer-research-for-German-Moroccan-hydrogen-initiative.html</t>
  </si>
  <si>
    <t>https://www.youtube.com/watch?v=DQpdXEgREBk</t>
  </si>
  <si>
    <t>https://www.stuff.co.nz/taranaki-daily-news/news/113558410/34b-taranaki-energy-centre-could-be-up-and-running-in-2024</t>
  </si>
  <si>
    <t>https://www.globalccsinstitute.com/wp-content/uploads/2019/10/Lee_Hydrogen_Innovation_leadership.pdf</t>
  </si>
  <si>
    <t>https://www.reuters.com/world/china/sinopec-starts-building-carbon-capture-project-east-china-2021-07-05/</t>
  </si>
  <si>
    <t>https://www.youtube.com/watch?v=ma_6qiEXWU8</t>
  </si>
  <si>
    <t>https://www.arabnews.com/node/1876061/business-economy</t>
  </si>
  <si>
    <t>https://fuelcellsworks.com/news/mauritania-signs-agreement-to-develop-green-hydrogen-production-plant/?mc_cid=670c7701d2&amp;mc_eid=da4624d261</t>
  </si>
  <si>
    <t>https://fuelcellsworks.com/news/aeg-power-solutions-supplying-power-to-h-tec-electrolysers-at-haurup-wind-power-site/?mc_cid=670c7701d2&amp;mc_eid=da4624d261</t>
  </si>
  <si>
    <t>https://fuelcellsworks.com/news/amber-grid-the-first-green-hydrogen-production-project-is-launched-in-lithuania/?mc_cid=fdae331992&amp;mc_eid=da4624d261</t>
  </si>
  <si>
    <t>https://www.spglobal.com/platts/en/market-insights/latest-news/electric-power/061521-bavarias-six-ipcei-shortlisted-hydrogen-projects-may-get-eur1-billion</t>
  </si>
  <si>
    <t>https://sequestration.mit.edu/tools/projects/enid_fertilizer.html</t>
  </si>
  <si>
    <t>https://www.gasnetworks.ie/corporate/gas-regulation/service-for-suppliers/code-of-operations/code-modifications/code-modification-forum-meetings/2019_cmf_meetings/20190612_Cod_Mod_Forum_CCS__H2-Slide-Presentation.pdf</t>
  </si>
  <si>
    <t>https://www.bloomberg.com/news/articles/2021-02-25/energean-plans-500-million-greek-carbon-storage-and-h2-facility</t>
  </si>
  <si>
    <t>https://corporate.arcelormittal.com/media/news-articles/air-liquide-and-arcelormittal-join-forces-to-accelerate-the-decarbonisation-of-steel-production-in-the-dunkirk-industrial-basin</t>
  </si>
  <si>
    <t>https://www.cffertilisers.co.uk/media-centre/news/cf-fertilisers-welcomes-carbon-capture-and-storage-ccs-funding-related-to-hynet-north-west-project/</t>
  </si>
  <si>
    <t>https://www.windpowermonthly.com/article/1721806/huge-offshore-wind-farm-power-green-hydrogen-brazil</t>
  </si>
  <si>
    <t>https://renewablesnow.com/news/fortescue-plans-usd-6bn-green-hydrogen-project-at-brazils-pecem-port-746992/</t>
  </si>
  <si>
    <t>https://www.youtube.com/watch?v=0XGGMELbQHQ</t>
  </si>
  <si>
    <t>https://www.youtube.com/watch?v=oNYekd5IzbI</t>
  </si>
  <si>
    <t>https://www.youtube.com/watch?v=ofjObCUg6xQ&amp;t=2s</t>
  </si>
  <si>
    <t>http://www.elygrid.com/wp-content/uploads/2015/09/HE8-Zhaoquing-China-022014-Empa-Vg-ex.pdf</t>
  </si>
  <si>
    <t>http://41.222.168.85/NewsDetails.aspx?id=34</t>
  </si>
  <si>
    <t>https://www.upstreamonline.com/energy-transition/shell-unveils-plans-for-giant-canadian-carbon-capture-and-storage-project/2-1-1039795</t>
  </si>
  <si>
    <t>https://energy.economictimes.indiatimes.com/news/oil-and-gas/shell-to-join-clean-hydrogen-project-in-norway/84342116</t>
  </si>
  <si>
    <t>https://www.ir.plugpower.com/Press-Releases/Press-Release-Details/2021/Apex-Clean-Energy-and-Plug-Power-Partner-on-Largest-Green-Hydrogen-Power-Purchase-Agreement-in-the-United-States/default.aspx</t>
  </si>
  <si>
    <t>https://www.google.com/maps/place/Holtwood,+Pensilvania+17532,+EE.+UU./@39.7789008,-76.5661485,11.21z/data=!4m5!3m4!1s0x89c62cd06d5ff01f:0x86dc30292ef001c4!8m2!3d39.8320468!4d-76.3274593</t>
  </si>
  <si>
    <t>https://www.energy.gov/sites/prod/files/2020/10/f79/h2iq_10082020_h2scale.pdf</t>
  </si>
  <si>
    <t>https://www.h2-view.com/story/siemens-unveils-plans-for-one-of-germanys-largest-hydrogen-production-plants/</t>
  </si>
  <si>
    <t>https://www.iberdrola.com/sala-comunicacion/noticias/detalle/iberdrola-foresa-proyectan-inversiones-hidrogeno-renovable-para-produccion-metanol-verde-galicia</t>
  </si>
  <si>
    <t>https://www.sunfire.de/en/news/detail/totalenergies-sunfire-and-fraunhofer-give-the-go-ahead-for-green-methanol-in-leuna</t>
  </si>
  <si>
    <t>https://www.world-energy.org/article/12157.html</t>
  </si>
  <si>
    <t>https://arena.gov.au/projects/project-geri-feasibility-study/</t>
  </si>
  <si>
    <t>https://intercontinentalenergy.com/western-green-energy-hub</t>
  </si>
  <si>
    <t>https://research.csiro.au/hyresource/bio-hydrogen-demonstration-plant/</t>
  </si>
  <si>
    <t>https://research.csiro.au/hyresource/apa-renewable-methane-demonstration-project/</t>
  </si>
  <si>
    <t>https://research.csiro.au/hyresource/manilla-solar-project/</t>
  </si>
  <si>
    <t>https://research.csiro.au/hyresource/bundaberg-hydrogen-hub/</t>
  </si>
  <si>
    <t>https://research.csiro.au/hyresource/daintree-microgrid-project/</t>
  </si>
  <si>
    <t>https://research.csiro.au/hyresource/h2-hub-gladstone/</t>
  </si>
  <si>
    <t>https://research.csiro.au/hyresource/origin-green-hydrogen-and-ammonia-plant/</t>
  </si>
  <si>
    <t>https://research.csiro.au/hyresource/arrowsmith-hydrogen-project/</t>
  </si>
  <si>
    <t>https://research.csiro.au/hyresource/christmas-creek-renewable-hydrogen-mobility-project/</t>
  </si>
  <si>
    <t>https://research.csiro.au/hyresource/hazer-commercial-demonstration-plant/</t>
  </si>
  <si>
    <t>https://research.csiro.au/hyresource/sun-metals-hydrogen-queensland-sunhq-project/</t>
  </si>
  <si>
    <t>https://research.csiro.au/hyresource/abel-energy-bell-bay-powerfuels-project/</t>
  </si>
  <si>
    <t>https://research.csiro.au/hyresource/grange-resources-renewable-hydrogen-study/</t>
  </si>
  <si>
    <t>https://research.csiro.au/hyresource/melbourne-hydrogen-hub/</t>
  </si>
  <si>
    <t>https://research.csiro.au/hyresource/portland-renewable-hydrogen-project/</t>
  </si>
  <si>
    <t>https://research.csiro.au/hyresource/swinburne-university-of-technology-victorian-hydrogen-hub-csiro-hydrogen-refuelling-station/</t>
  </si>
  <si>
    <t>https://www.pv-tech.org/acme-to-set-up-3-5gw-green-hydrogen-facility-in-oman-in-us3-5bn-deal/</t>
  </si>
  <si>
    <t>https://www.h2-view.com/story/e100m-awarded-to-german-offshore-wind-to-green-hydrogen-project/</t>
  </si>
  <si>
    <t>https://www.h2-view.com/story/rio-tinto-looks-to-decarbonise-operations-with-hydrogen/</t>
  </si>
  <si>
    <t>https://www.rumbominero.com/noticias/internacionales/chile-produce-su-primera-molecula-de-hidrogeno-verde-para-mineria/</t>
  </si>
  <si>
    <t>https://fuelcellsworks.com/news/anglo-american-opens-first-green-hydrogen-station-for-zero-carbon-mining-vehicles-in-chile/</t>
  </si>
  <si>
    <t>https://ijglobal.com/articles/157261/india-to-pilot-green-hydrogen-at-hospital</t>
  </si>
  <si>
    <t>https://www.pv-magazine-australia.com/press-releases/fortescue-future-industries-signs-collaboration-agreement-regarding-a-potential-large-scale-renewable-green-hydrogen-plant-in-new-zealand/#:~:text=Fortescue%20Future%20Industries%20(FFI)%20has,project%20in%20Southland%2C%20New%20Zealand.</t>
  </si>
  <si>
    <t>https://www.iene.eu/japans-largest-green-hydrogen-plant-powered-by-wind-set-to-open-in-2024-p6361.html</t>
  </si>
  <si>
    <t>https://www.argusmedia.com/en/news/2242438-trinidad-lays-groundwork-for-green-ammonia</t>
  </si>
  <si>
    <t>https://fuelcellsworks.com/news/mmex-resources-corp-advances-planned-solar-powered-green-hydrogen-project-in-pecos-county-texas/?mc_cid=796d0f825a&amp;mc_eid=da4624d261</t>
  </si>
  <si>
    <t>https://fuelcellsworks.com/news/green-hydrogen-systems-signs-the-first-purchase-order-of-electrolysers-in-norway/?mc_cid=796d0f825a&amp;mc_eid=da4624d261</t>
  </si>
  <si>
    <t>https://fuelcellsworks.com/news/raven-sr-partners-with-republic-services-to-produce-commercial-green-hydrogen-in-northern-california-starting-summer-2022/?mc_cid=796d0f825a&amp;mc_eid=da4624d261</t>
  </si>
  <si>
    <t>https://www.spglobal.com/platts/en/market-insights/latest-news/oil/082521-exxonmobils-imperial-oil-plans-canadian-renewable-diesel-project</t>
  </si>
  <si>
    <t>https://www.gasworld.com/hydrogen-and-ccs-developments-planned-for-the-port-of-corpus-christi/2021509.article</t>
  </si>
  <si>
    <t>https://www.greencarcongress.com/2021/08/20210819-bakken.html</t>
  </si>
  <si>
    <t>https://fuelcellsworks.com/news/green-hydrogen-systems-electrolysers-chosen-by-octopus-hydrogen-for-a-project-in-the-uk/?mc_cid=e5c7eff1d8&amp;mc_eid=da4624d261</t>
  </si>
  <si>
    <t>https://fuelcellsworks.com/news/linde-signs-long-term-agreement-with-infineon-technologies-for-on-site-green-hydrogen-production/?mc_cid=e5c7eff1d8&amp;mc_eid=da4624d261</t>
  </si>
  <si>
    <t>https://mb.cision.com/Main/115/3399294/1455892.pdf</t>
  </si>
  <si>
    <t>https://www.h2bulletin.com/poseur-funds-fusions-hevo-sul-project-in-portugal/</t>
  </si>
  <si>
    <t>https://ir.fusion-fuel.eu/static-files/1992cf1f-fe4e-4479-8ac4-e62b81eda238</t>
  </si>
  <si>
    <t>https://www.rechargenews.com/transition/acciona-leads-plan-to-build-worlds-first-floating-wind-and-solar-hydrogen-complex/2-1-946028?hs=</t>
  </si>
  <si>
    <t>https://fuelcellsworks.com/news/taqa-group-emirates-steel-to-enable-the-regions-first-green-steel-manufacturing-using-green-hydrogen/?mc_cid=17d3840ce5&amp;mc_eid=da4624d261</t>
  </si>
  <si>
    <t>https://fuelcellsworks.com/news/scottish-floating-wind-project-forms-green-hydrogen-tie-up/?mc_cid=17d3840ce5&amp;mc_eid=da4624d261</t>
  </si>
  <si>
    <t>https://www.man-es.com/company/press-releases/press-details/2021/08/12/taqa-arabia-signs-mou-with-man-energy-solutions-for-egyptian-green-hydrogen-project</t>
  </si>
  <si>
    <t>https://murciaeconomia.com/art/78343/iberdrola-contempla-construir-en-murcia-una-hidrogenera-de-5-megavatios</t>
  </si>
  <si>
    <t>https://www.chemengonline.com/sewage-to-hydrogen-plant-reaches-completion-in-tokyo/</t>
  </si>
  <si>
    <t>https://www.straitstimes.com/business/economy/china-approves-renewable-mega-project-for-green-hydrogen</t>
  </si>
  <si>
    <t>https://www.vitol.com/phillips-66-uniper-and-vitols-vpi-immingham-enter-mou-to-develop-decarbonisation-project-humber-zero/</t>
  </si>
  <si>
    <t>http://www.asianmetal.com/news/data/1649670/7/HBIS%20to%20put%20hydrogen-based%20DRI%20plant%20phase%20I%20into%20operation%20by%20late%202021</t>
  </si>
  <si>
    <t>https://asia.nikkei.com/Business/Energy/Itochu-s-blue-ammonia-from-Canada-to-power-Japan-s-green-future</t>
  </si>
  <si>
    <t>https://www.latercera.com/pulso/noticia/gasvalpo-lanza-proyecto-piloto-para-distribucion-de-hidrogeno-verde-a-hogares/ZD23RJY7TRELTGKDOB5VGHEVHU/</t>
  </si>
  <si>
    <t>https://www.enelgreenpower.com/media/press/2021/09/groundbreaking-ceremony-first-green-hydrogen-pilot-plant-magallanes-chile</t>
  </si>
  <si>
    <t>https://www.h2-view.com/story/repsol-to-develop-new-2-5mw-electrolyser-in-basque-country-spain/</t>
  </si>
  <si>
    <t>https://www.zukunftsheizen.de/fileadmin/user_upload/Downloads/BET_2021_Vortrag_Tremel_Siemens_Chiles_wind_to_Europe.pdf</t>
  </si>
  <si>
    <t>Davis-Basse Nuclear Power Station</t>
  </si>
  <si>
    <t>Prairie Island</t>
  </si>
  <si>
    <t xml:space="preserve">Palo Verde Generating Station </t>
  </si>
  <si>
    <t>Bruce Nuclear Generating Station</t>
  </si>
  <si>
    <t>1-5MW</t>
  </si>
  <si>
    <t>Heysham demonstrator 1</t>
  </si>
  <si>
    <t>Heysham demonstrator 2</t>
  </si>
  <si>
    <t>Sizewell demonstrator 2</t>
  </si>
  <si>
    <t>Kola Nuclear Power Plant</t>
  </si>
  <si>
    <t>40m3 H2/h</t>
  </si>
  <si>
    <t>Hydrogen Lab Bremerhaven (phase 1)</t>
  </si>
  <si>
    <t>[948][949]</t>
  </si>
  <si>
    <t>Hydrogen Lab Bremerhaven (phase 2)</t>
  </si>
  <si>
    <t>Hydrogen Lab Leuna (phase 1)</t>
  </si>
  <si>
    <t>Hydrogen Lab Gorlitz</t>
  </si>
  <si>
    <t>[948][949][950]</t>
  </si>
  <si>
    <t>Hydrogen Eagle (various hubs)</t>
  </si>
  <si>
    <t>[951]</t>
  </si>
  <si>
    <t>15kt H2/y</t>
  </si>
  <si>
    <t>Hydrogen Eagle (Litvínov)</t>
  </si>
  <si>
    <t>Hydrogen Eagle (Spolana)</t>
  </si>
  <si>
    <t>18MW</t>
  </si>
  <si>
    <t>36MW</t>
  </si>
  <si>
    <t>Sines refinery (phase 1)</t>
  </si>
  <si>
    <t>[952]</t>
  </si>
  <si>
    <t>Sines refinery (phase 2)</t>
  </si>
  <si>
    <t>Porto do Acu Fortescue Ammonia Project</t>
  </si>
  <si>
    <t>[955] [956]</t>
  </si>
  <si>
    <t>Hoasis (TCP Gecomp)</t>
  </si>
  <si>
    <t>2.1W</t>
  </si>
  <si>
    <t>[959]</t>
  </si>
  <si>
    <t>Ecopetrol 50kW electrolyser</t>
  </si>
  <si>
    <t>50kW</t>
  </si>
  <si>
    <t>[960]</t>
  </si>
  <si>
    <t>H Valle Sur</t>
  </si>
  <si>
    <t>[961]</t>
  </si>
  <si>
    <t>METH2 Atacama</t>
  </si>
  <si>
    <t>300 MW</t>
  </si>
  <si>
    <t xml:space="preserve">Villa Lisa </t>
  </si>
  <si>
    <t>200kgH2/day</t>
  </si>
  <si>
    <t>[962][963][964]</t>
  </si>
  <si>
    <t xml:space="preserve">Ciudad del Este </t>
  </si>
  <si>
    <t>[963]</t>
  </si>
  <si>
    <t xml:space="preserve">Encarnacion </t>
  </si>
  <si>
    <t>TA’ZIZ blue ammonia</t>
  </si>
  <si>
    <t>1000 kt NH3/y</t>
  </si>
  <si>
    <t>[965]</t>
  </si>
  <si>
    <t xml:space="preserve"> Badgingarra Renewable Hydrogen Project</t>
  </si>
  <si>
    <t>[967]</t>
  </si>
  <si>
    <t xml:space="preserve">BHP Nickel West Green Hydrogen </t>
  </si>
  <si>
    <t>Dawson Mine</t>
  </si>
  <si>
    <t>Candem County (GA), green power plant</t>
  </si>
  <si>
    <t>15 t H2/d</t>
  </si>
  <si>
    <t>[971]</t>
  </si>
  <si>
    <t>Pego coal plant transition</t>
  </si>
  <si>
    <t>1.5t H2/y</t>
  </si>
  <si>
    <t>[973]</t>
  </si>
  <si>
    <t>Lhyfe offshore electrolyser</t>
  </si>
  <si>
    <t>[974], Platts European Gas Daily 26-07-2021</t>
  </si>
  <si>
    <t>Rajasthan pilot plant</t>
  </si>
  <si>
    <t>[975]</t>
  </si>
  <si>
    <t>Morocco-Germany MoU</t>
  </si>
  <si>
    <t>[976][994]</t>
  </si>
  <si>
    <t>Hofors rolling project</t>
  </si>
  <si>
    <t>[978]</t>
  </si>
  <si>
    <t>Kazakhstan green hydrogen project</t>
  </si>
  <si>
    <t>[980][990]</t>
  </si>
  <si>
    <t>Manilla Solar &amp; Renewable Energy Storage Project</t>
  </si>
  <si>
    <t>[1030]</t>
  </si>
  <si>
    <t>Oman green H2 project, phase 2</t>
  </si>
  <si>
    <t>14GW</t>
  </si>
  <si>
    <t>AquaVentus (phase 4)</t>
  </si>
  <si>
    <t>EI-H2 - Aghada (phase 2)</t>
  </si>
  <si>
    <t>2.7GW</t>
  </si>
  <si>
    <t>[981]</t>
  </si>
  <si>
    <t>EI-H2 - Aghada (phase 3)</t>
  </si>
  <si>
    <t>Keadby Hydrogen</t>
  </si>
  <si>
    <t>1.2GW</t>
  </si>
  <si>
    <t>[983]</t>
  </si>
  <si>
    <t>New Jersey Offshore Wind plant</t>
  </si>
  <si>
    <t>[984]</t>
  </si>
  <si>
    <t>Delicias Solar</t>
  </si>
  <si>
    <t>35MW</t>
  </si>
  <si>
    <t>[985]</t>
  </si>
  <si>
    <t>Pico Truncado</t>
  </si>
  <si>
    <t>[986]</t>
  </si>
  <si>
    <t xml:space="preserve">Dhamma Energy Guanajuato </t>
  </si>
  <si>
    <t>GER</t>
  </si>
  <si>
    <t>Mexican Green Hydrogen Hub</t>
  </si>
  <si>
    <t>[987]</t>
  </si>
  <si>
    <t>Algeciras Bay</t>
  </si>
  <si>
    <t>237MW</t>
  </si>
  <si>
    <t>[988][991]</t>
  </si>
  <si>
    <t>Gazifere grid injection</t>
  </si>
  <si>
    <t>[989]</t>
  </si>
  <si>
    <t>GREEN H2 Langosteira</t>
  </si>
  <si>
    <t>[992]</t>
  </si>
  <si>
    <t>Port of Immingham</t>
  </si>
  <si>
    <t>[993]</t>
  </si>
  <si>
    <t>Pouakai - Taranaki - NH3</t>
  </si>
  <si>
    <t>Allam Cycle</t>
  </si>
  <si>
    <t>3400t NH3/d</t>
  </si>
  <si>
    <t>[996][997]</t>
  </si>
  <si>
    <t>Pouakai - Taranaki - H2</t>
  </si>
  <si>
    <t>600t H2/d</t>
  </si>
  <si>
    <t xml:space="preserve">Jintongling Biomass Gasification </t>
  </si>
  <si>
    <t xml:space="preserve">Longji New Hydrogen Equipment Project </t>
  </si>
  <si>
    <t>Khalifa Industrial Zone Abu Dhabi (KIZAD) - phase 2</t>
  </si>
  <si>
    <t>200kt NH3/y</t>
  </si>
  <si>
    <t>Veolia wastewater sludge plant</t>
  </si>
  <si>
    <t>[999]</t>
  </si>
  <si>
    <t xml:space="preserve">Egypt Ministry of Electricity and Renewable Energy </t>
  </si>
  <si>
    <t>[1000]</t>
  </si>
  <si>
    <t>IPCEI Blue Danube - first project</t>
  </si>
  <si>
    <t>[1004]</t>
  </si>
  <si>
    <t>BayH2</t>
  </si>
  <si>
    <t>Enid fertiliser</t>
  </si>
  <si>
    <t>0.7 Mt CO2/y</t>
  </si>
  <si>
    <t>[1005]</t>
  </si>
  <si>
    <t>Ervia CCS - Irving refinery</t>
  </si>
  <si>
    <t>2.5 Mt CO2/y</t>
  </si>
  <si>
    <t>[1006]</t>
  </si>
  <si>
    <t>Energean Prinos oil field</t>
  </si>
  <si>
    <t>[1007]</t>
  </si>
  <si>
    <t>ArcelorMittal and AirLiquide Dunkirk low-carbon steel</t>
  </si>
  <si>
    <t>2.85 Mt CO2/y</t>
  </si>
  <si>
    <t>[1008]</t>
  </si>
  <si>
    <t>CF Fertilisers Ince (part of the HyNet cluster)</t>
  </si>
  <si>
    <t>330kt CO2/y</t>
  </si>
  <si>
    <t>[1009]</t>
  </si>
  <si>
    <t>Sinopec Zhongyuan Oilfield EOR</t>
  </si>
  <si>
    <t>Changqing Oil Field EOR</t>
  </si>
  <si>
    <t>50kt CO2/y</t>
  </si>
  <si>
    <t>Fortescue Future Industries - Port of Pecem</t>
  </si>
  <si>
    <t>15Mt H2/y</t>
  </si>
  <si>
    <t>[1010][1011]</t>
  </si>
  <si>
    <t>Marítimo Dragão - Qair</t>
  </si>
  <si>
    <t>296 kt H2/y</t>
  </si>
  <si>
    <t>RIST Hydrogen Research Centre - nuclear Hydrogen project</t>
  </si>
  <si>
    <t>[1012]</t>
  </si>
  <si>
    <t xml:space="preserve">Rhode Green Energy Park </t>
  </si>
  <si>
    <t>[1013]</t>
  </si>
  <si>
    <t>Lysekil refinery (phase 2)</t>
  </si>
  <si>
    <t>200-500MW</t>
  </si>
  <si>
    <t>[722]</t>
  </si>
  <si>
    <t>KIMA - Aswan electrolyser</t>
  </si>
  <si>
    <t>165MW</t>
  </si>
  <si>
    <t>[1015][1016]</t>
  </si>
  <si>
    <t>Zimbabwe NH3 plant</t>
  </si>
  <si>
    <t>[1015]</t>
  </si>
  <si>
    <t>Polaris CCS - Scotford refinery</t>
  </si>
  <si>
    <t>750000t CO2/y</t>
  </si>
  <si>
    <t>[1017]</t>
  </si>
  <si>
    <t>Aukra CCS</t>
  </si>
  <si>
    <t>[1018]</t>
  </si>
  <si>
    <t>ArcelorMittal DRI Gijon</t>
  </si>
  <si>
    <t>2.3 Mt DRI</t>
  </si>
  <si>
    <t>[1019]</t>
  </si>
  <si>
    <t>APEX-Plug Power H2 plamt</t>
  </si>
  <si>
    <t>30 t H2/d</t>
  </si>
  <si>
    <t>3 x 1250 kW projects in USA</t>
  </si>
  <si>
    <t>3 x 1250kw</t>
  </si>
  <si>
    <t>[1020]</t>
  </si>
  <si>
    <t>1 x 500 kW projects in USA</t>
  </si>
  <si>
    <t>500kw</t>
  </si>
  <si>
    <t>18x180 kW projects in USA</t>
  </si>
  <si>
    <t>18x180kw</t>
  </si>
  <si>
    <t>4x180 kW projects in USA</t>
  </si>
  <si>
    <t>4x180kw</t>
  </si>
  <si>
    <t>12 x 120 kW projects in USA</t>
  </si>
  <si>
    <t>12x120kw</t>
  </si>
  <si>
    <t>2 x 120 kW projects in USA</t>
  </si>
  <si>
    <t>2x120kw</t>
  </si>
  <si>
    <t>Frontier Energy, H2@Scale - gasification</t>
  </si>
  <si>
    <t>75kg H2/d</t>
  </si>
  <si>
    <t>Foresa-Iberdrola Green Methanol (phase 1)</t>
  </si>
  <si>
    <t>[1023]</t>
  </si>
  <si>
    <t>Foresa-Iberdrola Green Methanol (phase 2)</t>
  </si>
  <si>
    <t>Danskammer Energy - Newburgh</t>
  </si>
  <si>
    <t>[1025]</t>
  </si>
  <si>
    <t>Balico - Virginia</t>
  </si>
  <si>
    <t>Harrison Power Project in Cadiz, Ohio</t>
  </si>
  <si>
    <t>Western Green Energy Hub</t>
  </si>
  <si>
    <t>20Mt NH3/y</t>
  </si>
  <si>
    <t>[1027]</t>
  </si>
  <si>
    <t>APA Renewable Methane Demonstration Project</t>
  </si>
  <si>
    <t>[1029]</t>
  </si>
  <si>
    <t>Bio-Hydrogen Demonstration Plant</t>
  </si>
  <si>
    <t>Waste gases from biofuels production</t>
  </si>
  <si>
    <t>200-400kW</t>
  </si>
  <si>
    <t>[1028]</t>
  </si>
  <si>
    <t>Bundaberg Hydrogen Hub</t>
  </si>
  <si>
    <t>[1031]</t>
  </si>
  <si>
    <t>Daintree Microgrid Project</t>
  </si>
  <si>
    <t>[1032]</t>
  </si>
  <si>
    <t>Christmas Creek Renewable Hydrogen Mobility Project</t>
  </si>
  <si>
    <t>[1036]</t>
  </si>
  <si>
    <t>ABEL Energy Bell Bay Powerfuels Project</t>
  </si>
  <si>
    <t>[1039]</t>
  </si>
  <si>
    <t>Grange Resources Renewable Hydrogen</t>
  </si>
  <si>
    <t>90-100MW</t>
  </si>
  <si>
    <t>[1040]</t>
  </si>
  <si>
    <t>Melbourne Hydrogen Hub</t>
  </si>
  <si>
    <t>[1041]</t>
  </si>
  <si>
    <t>[1042]</t>
  </si>
  <si>
    <t>Swinburne University of Technology Victorian Hydrogen Hub – CSIRO Hydrogen Refuelling Station</t>
  </si>
  <si>
    <t>20 kg H2/d</t>
  </si>
  <si>
    <t>[1043]</t>
  </si>
  <si>
    <t>Agnes Energy Hub</t>
  </si>
  <si>
    <t>Platts European Gas Daily 20-07-2021</t>
  </si>
  <si>
    <t>Konin Power Plant, phase 2</t>
  </si>
  <si>
    <t>[846] [1063], Platts European Gas Daily 23-07-2021</t>
  </si>
  <si>
    <t>Konin Power Plant, phase 3</t>
  </si>
  <si>
    <t>AquaSector (AquaVentus phase 2)</t>
  </si>
  <si>
    <t>Platts European Gas Daily 26-07-2021</t>
  </si>
  <si>
    <t>Port of Mukran</t>
  </si>
  <si>
    <t>14MW</t>
  </si>
  <si>
    <t>H2Mare</t>
  </si>
  <si>
    <t>[1046], Platts European Gas Daily 26-07-2021</t>
  </si>
  <si>
    <t>Green Crane - La Robla, Phase 2</t>
  </si>
  <si>
    <t>Meirama plant, phase 2</t>
  </si>
  <si>
    <t>Freienbach plant</t>
  </si>
  <si>
    <t>Platts European Gas Daily 29-07-2021</t>
  </si>
  <si>
    <t>Siemens-Air Liquide Oberhausen, Phase 1</t>
  </si>
  <si>
    <t>Platts European Gas Daily 30-07-2021</t>
  </si>
  <si>
    <t>Trafford Low Carbon Energy Park</t>
  </si>
  <si>
    <t>Quintero LNG terminal</t>
  </si>
  <si>
    <t>Platts European Gas Daily 23-08-2021</t>
  </si>
  <si>
    <t>Wintershall Dea - VNG Turquoise H2 project</t>
  </si>
  <si>
    <t>Platts European Gas Daily 19-08-2021</t>
  </si>
  <si>
    <t>Green fertilizer project Porsgrunn, phase 3</t>
  </si>
  <si>
    <t>400kt NH3/y</t>
  </si>
  <si>
    <t>Platts European Gas Daily 17-08-2021</t>
  </si>
  <si>
    <t>Green fertilizer project Porsgrunn, phase 4</t>
  </si>
  <si>
    <t>520kt NH3/y</t>
  </si>
  <si>
    <t>Finnmark green NH3</t>
  </si>
  <si>
    <t>Yarwun alumina refinery</t>
  </si>
  <si>
    <t>[1047]</t>
  </si>
  <si>
    <t>H2V Las Tortolas</t>
  </si>
  <si>
    <t>2kg H2/d</t>
  </si>
  <si>
    <t>[1048[]1049]</t>
  </si>
  <si>
    <t>Sonam Nurboo Memorial Hopsital</t>
  </si>
  <si>
    <t>[1050]</t>
  </si>
  <si>
    <t>Hydrogen hub in Southland</t>
  </si>
  <si>
    <t>[1051]</t>
  </si>
  <si>
    <t>Hokkaido green hydrogen plant</t>
  </si>
  <si>
    <t>550 t H2/y</t>
  </si>
  <si>
    <t>[1052]</t>
  </si>
  <si>
    <t>BP-Shell Trinidad and Tobago green NH3</t>
  </si>
  <si>
    <t>27200 t H2/y</t>
  </si>
  <si>
    <t>[1053]</t>
  </si>
  <si>
    <t>MMEX - Pecos, Texas</t>
  </si>
  <si>
    <t>50t H2/d</t>
  </si>
  <si>
    <t>[1054]</t>
  </si>
  <si>
    <t>Energy-Norweigian Catapult Centre</t>
  </si>
  <si>
    <t>0.9MW</t>
  </si>
  <si>
    <t>[1055]</t>
  </si>
  <si>
    <t>Raven - Republic Services H2 from waste plant</t>
  </si>
  <si>
    <t>Waste reforming</t>
  </si>
  <si>
    <t>2kt H2/y</t>
  </si>
  <si>
    <t>[1056]</t>
  </si>
  <si>
    <t>Imperial Oil renewable diesel</t>
  </si>
  <si>
    <t>500 kt CO2 captured/y</t>
  </si>
  <si>
    <t>[1057]</t>
  </si>
  <si>
    <t>Javelina refinery</t>
  </si>
  <si>
    <t>[1058]</t>
  </si>
  <si>
    <t>Port of Cromarty Firth</t>
  </si>
  <si>
    <t>[1059]</t>
  </si>
  <si>
    <t>North Dakota Hydrogen Hub (former Great Plains Synfuel Plant)</t>
  </si>
  <si>
    <t>310000t H2/y</t>
  </si>
  <si>
    <t>Octopus Hydrogen</t>
  </si>
  <si>
    <t>[1060]</t>
  </si>
  <si>
    <t>HEVO-Sul</t>
  </si>
  <si>
    <t>418 t H2/y</t>
  </si>
  <si>
    <t>[1063] [1064]</t>
  </si>
  <si>
    <t>NEL - Nikola Agreement H2 refuelling stations in USA (1st phase)</t>
  </si>
  <si>
    <t>85MW</t>
  </si>
  <si>
    <t>[1062]</t>
  </si>
  <si>
    <t>HYVALUE</t>
  </si>
  <si>
    <t>1600 t H2/y</t>
  </si>
  <si>
    <t>[1063]</t>
  </si>
  <si>
    <t>SunHy</t>
  </si>
  <si>
    <t>Photoelectrocatalytic technology</t>
  </si>
  <si>
    <t>200 t H2/y</t>
  </si>
  <si>
    <t>H2 Valcamonica</t>
  </si>
  <si>
    <t>830 t H2/y</t>
  </si>
  <si>
    <t>H2 Évora - GreenGas I</t>
  </si>
  <si>
    <t>15t H2/y</t>
  </si>
  <si>
    <t>[1064]</t>
  </si>
  <si>
    <t>H2 Évora - GreenGas II</t>
  </si>
  <si>
    <t>60t H2/y</t>
  </si>
  <si>
    <t>PRIO ENERGY</t>
  </si>
  <si>
    <t>140t H2/y</t>
  </si>
  <si>
    <t>KEME ENERGY</t>
  </si>
  <si>
    <t>HEVO-Sines</t>
  </si>
  <si>
    <t>31kt H2/y</t>
  </si>
  <si>
    <t>OceanH2</t>
  </si>
  <si>
    <t>[1065]</t>
  </si>
  <si>
    <t>TAQA-Emirates Steel Green H2</t>
  </si>
  <si>
    <t>[1066]</t>
  </si>
  <si>
    <t>Salamander</t>
  </si>
  <si>
    <t>[1067]</t>
  </si>
  <si>
    <t>Cairo Green Hydrogen</t>
  </si>
  <si>
    <t>[1068]</t>
  </si>
  <si>
    <t>HRS Murcia</t>
  </si>
  <si>
    <t>[1069]</t>
  </si>
  <si>
    <t>Tokyo Sewage-to-H2 plant</t>
  </si>
  <si>
    <t>40-50 kg H2/d</t>
  </si>
  <si>
    <t>[1070]</t>
  </si>
  <si>
    <t>Inner Mongolia green hydrogen</t>
  </si>
  <si>
    <t>465MW - 66.9 kt H2/y</t>
  </si>
  <si>
    <t>[1071]</t>
  </si>
  <si>
    <t>Humber Zero</t>
  </si>
  <si>
    <t>8Mt CO2/y</t>
  </si>
  <si>
    <t>[1072], Platts European Gas Daily 13-08-2021</t>
  </si>
  <si>
    <t>Heroya Industrial Park</t>
  </si>
  <si>
    <t>1100 m3 H2/hour</t>
  </si>
  <si>
    <t>Platts European Gas Daily 25-08-2021</t>
  </si>
  <si>
    <t>Esbjerg green hydrogen</t>
  </si>
  <si>
    <t>Platts European Gas Daily 03-09-2021</t>
  </si>
  <si>
    <t>HBIS DRI in Xuanshan</t>
  </si>
  <si>
    <t>[1073]</t>
  </si>
  <si>
    <t>Hydrogen Utopia waste-to-plastic plant</t>
  </si>
  <si>
    <t>Platts European Gas Daily 07-09-2021</t>
  </si>
  <si>
    <t>Itochu/Petronas ammonia project</t>
  </si>
  <si>
    <t>[1074]</t>
  </si>
  <si>
    <t>Lindsey refinery (Humber hub)</t>
  </si>
  <si>
    <t>1.1Mt CO2/y</t>
  </si>
  <si>
    <t>Platts European Gas Daily 08-09-2021</t>
  </si>
  <si>
    <t>ArcelorMittal Hamburg</t>
  </si>
  <si>
    <t>Power-to-gas Coquimbo</t>
  </si>
  <si>
    <t>150kW</t>
  </si>
  <si>
    <t>[1075]</t>
  </si>
  <si>
    <t>ENERTAG-Sunfire (Prenzlau)</t>
  </si>
  <si>
    <t>[1076]</t>
  </si>
  <si>
    <t xml:space="preserve">Shell heavy residue gasification CCUS - Pernis refinery </t>
  </si>
  <si>
    <t>1000000t CO2/y - 1000 kt/y</t>
  </si>
  <si>
    <t>Repsol - Basque Corridor</t>
  </si>
  <si>
    <t>[1077]</t>
  </si>
  <si>
    <t>H100 Fife Project, Levenmouth</t>
  </si>
  <si>
    <t>[1079] [1080]</t>
  </si>
  <si>
    <t>Southland green hydrogen project</t>
  </si>
  <si>
    <t>[1081]</t>
  </si>
  <si>
    <t>TotalEnergies’ Normandy platform - CCUS</t>
  </si>
  <si>
    <t>TotalEnergies’ Normandy platform - Electrolysis</t>
  </si>
  <si>
    <t>[1082]</t>
  </si>
  <si>
    <t>https://www.sgn.co.uk/H100Fife</t>
  </si>
  <si>
    <t>https://news.cision.com/nel-asa/r/nel-asa--receives-purchase-order-for-5mw-alkaline-electrolyser,c3420937</t>
  </si>
  <si>
    <t>https://www.southerngreenhydrogen.co.nz/articles/huge-interest-in-southland-green-hydrogen-project</t>
  </si>
  <si>
    <t>https://totalenergies.com/media/news/press-releases/totalenergies-and-air-liquide-partner-develop-low-carbon-hydrogen</t>
  </si>
  <si>
    <r>
      <t>200 million m</t>
    </r>
    <r>
      <rPr>
        <vertAlign val="superscript"/>
        <sz val="6"/>
        <color theme="1"/>
        <rFont val="Calibri"/>
        <family val="2"/>
        <scheme val="minor"/>
      </rPr>
      <t>3</t>
    </r>
    <r>
      <rPr>
        <sz val="11"/>
        <color theme="1"/>
        <rFont val="Calibri"/>
        <family val="2"/>
        <scheme val="minor"/>
      </rPr>
      <t xml:space="preserve"> H2/y</t>
    </r>
  </si>
  <si>
    <t>Column33</t>
  </si>
  <si>
    <t>https://web.archive.org/web/20210923025906/https://asianrehub.com/about/</t>
  </si>
  <si>
    <t>https://www.rechargenews.com/energy-transition/global-green-hydrogen-pipeline-exceeds-250gw-heres-the-27-largest-gigawatt-scale-projects/2-1-933755</t>
  </si>
  <si>
    <t>[2][3]</t>
  </si>
  <si>
    <t>FID expected after 2028</t>
  </si>
  <si>
    <t>8 GW planned for 2030</t>
  </si>
  <si>
    <t>[4]</t>
  </si>
  <si>
    <t>Unclear, whether 5 GW refer to renewables or electrolysers</t>
  </si>
  <si>
    <t>[5][6]</t>
  </si>
  <si>
    <t>https://web.archive.org/web/20210916102633/https://www.aquaventus.org/#section-2</t>
  </si>
  <si>
    <t>[7][8]</t>
  </si>
  <si>
    <t>Construction to start in 2028</t>
  </si>
  <si>
    <t>"about a third of the full capacity up and running in 2028", 14 GW / 3 = 4.667 GW</t>
  </si>
  <si>
    <t>[9][10]</t>
  </si>
  <si>
    <t>[11]</t>
  </si>
  <si>
    <t>2025: 30 MW, 2030: 5 GW (conflicting information, using [7] as the primary source)</t>
  </si>
  <si>
    <t>"600 million kg of green hydrogen per year when fully operational in 2025" = 600 ktH2/yr</t>
  </si>
  <si>
    <t>[12]</t>
  </si>
  <si>
    <t>https://web.archive.org/web/20210926145948/https://www.stanwell.com/energy-assets/new-energy-initiatives/stanwell-hydrogen-project/stanwell-hydrogen-project/</t>
  </si>
  <si>
    <t>"When built, the proposed renewable hydrogen project will be the largest in Queensland, scaling up to over 3,000 MW by the early 2030s" -&gt; leave at 3 GW in 2030</t>
  </si>
  <si>
    <t>[13]</t>
  </si>
  <si>
    <t>https://www.independent.ie/business/irish/ei-h2-and-zenith-announce-plans-for-green-hydrogen-plant-in-bantry-bay/40623074.html</t>
  </si>
  <si>
    <t>"2.7 GW hydrogen production facility and a 500 megawatt (MW) green ammonia facility, which could be up and running by 2028"</t>
  </si>
  <si>
    <t>[14]</t>
  </si>
  <si>
    <t>"EI-H2 will seek planning permission for a 50MW electrolyser in Aghada that could be running by end of 2023"</t>
  </si>
  <si>
    <t>[14][15]</t>
  </si>
  <si>
    <t>https://web.archive.org/web/20210928112641/https://www.siemens-energy.com/global/en/news/magazine/2021/haru-oni.html#Video</t>
  </si>
  <si>
    <t>55 million litres of synfuels per year by 2024</t>
  </si>
  <si>
    <t>[16]</t>
  </si>
  <si>
    <t>"550 million litres of e-fuels by 2026"</t>
  </si>
  <si>
    <t>[16][17]</t>
  </si>
  <si>
    <t>5 million tons of green steel per year by 2030</t>
  </si>
  <si>
    <t>[18]</t>
  </si>
  <si>
    <t>https://web.archive.org/web/20210630084013/https://ceruleanwinds.com/cerulean-winds-names-nov-as-delivery-partner-in-offshore-floating-wind-scheme/</t>
  </si>
  <si>
    <t>[19]</t>
  </si>
  <si>
    <t>"1.5 GW power to onshore green hydrogen plants", "future production potential from 2024", "target financial close in Q1 2022 and to begin construction soon after so that the infrastructure is in place by 2024-2026"</t>
  </si>
  <si>
    <t>Comment/Quote from source</t>
  </si>
  <si>
    <t>Refs (quality check)</t>
  </si>
  <si>
    <t>The references in this sheet refer to column 33, "Refs (quality check)", in the "Projects" sheet</t>
  </si>
  <si>
    <t>[20]</t>
  </si>
  <si>
    <t>https://www-h2media-cn.translate.goog/yingyong/3479.html?_x_tr_sch=http&amp;_x_tr_sl=auto&amp;_x_tr_tl=en&amp;_x_tr_hl=en-US&amp;_x_tr_pto=wapp</t>
  </si>
  <si>
    <t>https://fuelcellsworks.com/news/8-billion-euro-greek-hydrogen-plan-white-dragon-set-for-take-off/</t>
  </si>
  <si>
    <t>"Project duration: 2022-2029", 250k tH2/yr</t>
  </si>
  <si>
    <t>[21]</t>
  </si>
  <si>
    <t>[22]</t>
  </si>
  <si>
    <t>"Helios will produce 650 tons of hydrogen a day by electrolysis", "“We’re not going to wait until this project comes on-stream in 2025 to think about additional capacity"</t>
  </si>
  <si>
    <t>https://www.worldoil.com/news/2021/3/5/saudi-arabia-takes-steps-to-lead-the-700b-global-hydrogen-market</t>
  </si>
  <si>
    <t>[23]</t>
  </si>
  <si>
    <t>[24]</t>
  </si>
  <si>
    <t>[26]</t>
  </si>
  <si>
    <t>[25]</t>
  </si>
  <si>
    <t>https://web.archive.org/web/20210724150137/https://h2v.eu/hydrogen-valleys/hy-fi-hydrogen-facility-initiative</t>
  </si>
  <si>
    <t>"H2 PRODUCTION VOLUME [T/day]: 650.00" (number has disappeared in current version of the website), Project finalisation 2025</t>
  </si>
  <si>
    <t>https://web.archive.org/web/20210721041310/https://ah2.com.au/</t>
  </si>
  <si>
    <t>"Regulatory approvals expected by Q4 2022 and construction to commence by Q2 2023", "Potential to produce over 200,000 tonnes hydrogen per year" -&gt; 200kt H2/yr in 2024</t>
  </si>
  <si>
    <t>https://erhvervsstyrelsen.dk/sites/default/files/2021-03/Green%20Fuels%20for%20Denmark%20one-pager_0.pdf</t>
  </si>
  <si>
    <t>10 MW in 2023, 250 MW in 2027, 1.3 GW in 2030</t>
  </si>
  <si>
    <t>2030: 3-4 GW of offshore wind capacity for hydrogen production, 10 GW in 2040 (800 ktH2/yr) -&gt; 3.5/10 * 800 ktH2/yr = 280 ktH2/yr -&gt; 1616 MW in 2030, 1 GW offshore wind in 2027 -&gt; 1/10 * 800 ktH2/yr = 80 ktH2/yr</t>
  </si>
  <si>
    <t>3-4 GW onshore wind</t>
  </si>
  <si>
    <t>1 GW onshore wind</t>
  </si>
  <si>
    <t>https://www.businessesbjerg.com/en/news/major-green-hydrogen-power-to-x-facility-planned-in-esbjerg/</t>
  </si>
  <si>
    <t>[27]</t>
  </si>
  <si>
    <t>https://web.archive.org/web/20210614065441/https://static1.squarespace.com/static/5d3f0387728026000121b2a2/t/5d9f252986e0ee312c638cf6/1570710833197/4.B+SilverFrog+project.pdf</t>
  </si>
  <si>
    <t>https://web.archive.org/web/20200507022119/https://static1.squarespace.com/static/5d3f0387728026000121b2a2/t/5d9c79b467e52303370991bd/1570535868733/Silver+Frog.pdf</t>
  </si>
  <si>
    <t>10 GW</t>
  </si>
  <si>
    <t>10 GW electrolysis capacity, project duration 8 years, cannot find information on year (leaving it to 2030)</t>
  </si>
  <si>
    <t>[28][29]</t>
  </si>
  <si>
    <t>https://www.pv-magazine-australia.com/2020/05/23/project-neo-1-gw-of-green-hydrogen-baseload-power-for-nsw/</t>
  </si>
  <si>
    <t>[30]</t>
  </si>
  <si>
    <t>https://web.archive.org/web/20210423050226/https://www.cpuc.ca.gov/uploadedFiles/CPUC_Website/Content/Utilities_and_Industries/Energy/Energy_Programs/Gas/Natural_Gas_Market/Nov13LADWP.pdf</t>
  </si>
  <si>
    <t>https://www.energy-storage.news/developers-of-utah-green-hydrogen-storage-hub-invited-to-apply-for-us-department-of-energy-loans/</t>
  </si>
  <si>
    <t>"more than 1,000MW of hydrogen electrolysers"</t>
  </si>
  <si>
    <t>Timeline on page 33, electrolyzers in 2023</t>
  </si>
  <si>
    <t>[31][32]</t>
  </si>
  <si>
    <t>"followed by the potential for mass implementation by 2024 when the intended 1GW plant could be fully operational", it seems that the hydrogen project and ammonia project are actually the same</t>
  </si>
  <si>
    <t>[33][34]</t>
  </si>
  <si>
    <t>[35]</t>
  </si>
  <si>
    <t>"first production is planned for early 2023", no information found about 3rd stage, but leaving it as the IEA might have confidential sources</t>
  </si>
  <si>
    <t>https://web.archive.org/web/20210920233641/https://www.gie.eu/hyoffwind/</t>
  </si>
  <si>
    <t>https://www.uniper.energy/news/hyport-duqm-signs-cooperation-agreement-with-uniper-to-explore-green-ammonia-offtake</t>
  </si>
  <si>
    <t>Reference date</t>
  </si>
  <si>
    <t>Checked on</t>
  </si>
  <si>
    <t>No reference provided and information is hard to come by. However, this is very likely not a green hydrogen project, but an electrolyser production facility with an output of 1.5 GW per year in 2022, thus removing it</t>
  </si>
  <si>
    <t>2021-03</t>
  </si>
  <si>
    <t>"onshore wind and solar PV farm with a combined capacity of 1.3 GW, which will be developed in subsequent expandable project phases." --&gt; 1.3 GW of electricity more closely matches 500 MW than 250 MW electrolysis</t>
  </si>
  <si>
    <t>"In the first phase the HYPORT® Duqm project will develop a 250 to 500 MW green hydrogen facility in the Special Economic Zone at Duqm. The facility is planned to come into operation in 2026" -&gt; 500 MW in 2026 (also see 37)</t>
  </si>
  <si>
    <t>https://www.duqm.gov.om/upload/files/duqm_magazine25_greenhydrogen_en.pdf</t>
  </si>
  <si>
    <t>2021-10</t>
  </si>
  <si>
    <t>[36][37]</t>
  </si>
  <si>
    <t>250 - 500 MW electrolysis, 1.3 GW solar+wind</t>
  </si>
  <si>
    <t>https://www.provinciegroningen.nl/fileadmin/user_upload/Documenten/Beleid_en_documenten/Documentenzoeker/Klimaat_en_energie/Energie_transitie/Investment_plan_Hydrogen_Northern_Netherlands_2020.pdf</t>
  </si>
  <si>
    <t>[38]</t>
  </si>
  <si>
    <t>[47]</t>
  </si>
  <si>
    <t>750 MW</t>
  </si>
  <si>
    <t>2020-10</t>
  </si>
  <si>
    <t>page 38, additional third phase with 1 GW in 2030</t>
  </si>
  <si>
    <t>https://orsted.com/en/media/news/2021/03/451073134270788</t>
  </si>
  <si>
    <t>[39]</t>
  </si>
  <si>
    <t>2020-09</t>
  </si>
  <si>
    <t>"renewable hydrogen production facility of 1 GW by 2030 to be developed by Ørsted"</t>
  </si>
  <si>
    <t>"Deltaurus 1 and Deltaurus 3 on GW scale, Deltaurus 2 on 100 MW scale and Deltaurus 4 on 600 MW scale.", cannot find years so leaving as is</t>
  </si>
  <si>
    <t>[40]</t>
  </si>
  <si>
    <t>[41]</t>
  </si>
  <si>
    <t>https://erhvervsstyrelsen.dk/sites/default/files/2021-03/Everfuel%20HySynergy%202.0%20one-pager_0.pdf</t>
  </si>
  <si>
    <t>https://www.danfoss.com/en/about-danfoss/news/dds/europe-s-largest-electrolysis-plant-under-construction-is-powered-by-danfoss-drives/</t>
  </si>
  <si>
    <t>"HySynergy Phase II is planned for commissioning in 2025, with an additional 280 MW capacity, bringing the total to 300 MW. Phase III is planned for 2030, with capacity of 1 GW."</t>
  </si>
  <si>
    <t>20 MW in 2022, 300 MW before 2025</t>
  </si>
  <si>
    <t>[41][42]</t>
  </si>
  <si>
    <t>https://web.archive.org/web/20210228154638/https://h2v.eu/hydrogen-valleys/black-horse</t>
  </si>
  <si>
    <t>H2 PRODUCTION VOLUME [T/day]: 320.00 (numer has disappeared in current version of the website), project finalisation 2030</t>
  </si>
  <si>
    <t>[43]</t>
  </si>
  <si>
    <t>page 18</t>
  </si>
  <si>
    <t>https://web.archive.org/web/20210927153005/https://ir.fusion-fuel.eu/static-files/1992cf1f-fe4e-4479-8ac4-e62b81eda238</t>
  </si>
  <si>
    <t>[44]</t>
  </si>
  <si>
    <t>https://www.originenergy.com.au/about/investors-media/origin_and_mitsui_osk_lines_to_collaborate_on_green_ammonia/</t>
  </si>
  <si>
    <t>"Origin and MOL will explore how Australian green ammonia projects could supply key downstream markets from 2026,"</t>
  </si>
  <si>
    <t>https://web.archive.org/web/20210801205547/https://www.originenergy.com.au/blog/change/change88-working-towards-net-zero-emissions/</t>
  </si>
  <si>
    <t>"This year, we’ll complete a feasibility study for a &gt;500MW green ammonia plant in Tasmania’s Bell Bay that will export more than 420ktpa of green ammonia."</t>
  </si>
  <si>
    <t>[45][46]</t>
  </si>
  <si>
    <t>"66,900 tonnes of green hydrogen a year", "operational in mid-2023"</t>
  </si>
  <si>
    <t>https://www.meridianenergy.co.nz/news-and-events/huge-interest-in-southland-green-hydrogen-project</t>
  </si>
  <si>
    <t>[48]</t>
  </si>
  <si>
    <t>No data on production volumes or launch date and no other sources found, so leaving as is</t>
  </si>
  <si>
    <t>This is a biofuel project, but it also has a green hydrogen unit, "The plant will feature an electrolysis unit to generate hydrogen using water and electricity from clean, renewable sources; this hydrogen is then used to treat the biomass raw materials in the fuel production process"</t>
  </si>
  <si>
    <t>https://advancedbiofuelsusa.info/paraguay-wants-to-build-south-americas-largest-biofuels-plant/</t>
  </si>
  <si>
    <t>https://web.archive.org/web/20200813054659/https://www.mic.gov.py/mic/w/contenido.php?pagina=2&amp;id=1255</t>
  </si>
  <si>
    <t>Mentions "Of the 300 MW that were necessary at the beginning of the project, with the new system only 40 MW will be needed", unclear what this refers to -&gt; Leaving project as is</t>
  </si>
  <si>
    <t>https://bioenergyinternational.com/ecb-group-selects-honeywell-uop-ecofining-tech-for-omega-green-biorefinery/</t>
  </si>
  <si>
    <t>[49][50][51]</t>
  </si>
  <si>
    <t>https://www.moroccoworldnews.com/2021/07/343397/value-chain-agreement-signed-for-morocco-s-hevo-ammonia-production-plant</t>
  </si>
  <si>
    <t>"With regards to green hydrogen, the plant is projected to produce 616 tons in 2022, 3,472 tons in 2023, 6,940 tons in 2024, and 10,411 tons in both 2025 and 2026, Wahnon added."</t>
  </si>
  <si>
    <t>HEVO-Morocco (third phase)</t>
  </si>
  <si>
    <t>https://ir.fusion-fuel.eu/news-releases/news-release-details/fusion-fuel-announces-hevo-ammonia-morocco-project-aims-produce</t>
  </si>
  <si>
    <t>[52][53]</t>
  </si>
  <si>
    <t>31 ktH2/yr by 2026, conflicting information with [52] for 2026 -&gt; keep this one as also used by IEA</t>
  </si>
  <si>
    <t>https://dgfuels.com/2021/10/30/hydrogenpro-joins-key-suppliers-and-investors-in-providing-convertible-loan-to-dg-fuels-sustainable-aviation-fuel-facility-in-louisiana/</t>
  </si>
  <si>
    <t>[54]</t>
  </si>
  <si>
    <t>839 MW</t>
  </si>
  <si>
    <t>"sustainable aviation fuel (SAF) project in Louisiana, which is expected to be completed in mid-2022", " will require a water electrolyzer capacity of up to 839 megawatts (MW), with HydrogenPro being the exclusive provider, which is a significant increase compared to the 120 MW previously announced" -&gt; 839 in 2022; "financing process is nearing completion" -&gt; feasibility study status</t>
  </si>
  <si>
    <t>Unclear if only the first phase (10 kt) is announced for 2022 -&gt; leave unchanged</t>
  </si>
  <si>
    <t>"will integrate Wood’s hydrogen plant technology with the Ecofining unit design to produce hydrogen from renewable feedstocks", unclear what renewable feedstock refers to -&gt; Leaving project unchanged</t>
  </si>
  <si>
    <t>[55]</t>
  </si>
  <si>
    <t>[56]</t>
  </si>
  <si>
    <t>https://web.archive.org/web/20210120094920/http://h2vnormandy-concertation.net/comprendre-projet/</t>
  </si>
  <si>
    <t>[57][58]</t>
  </si>
  <si>
    <t>Original source, mentions 200 MW, these are split into 100 MW in 2022 and 100 MW in 2023 in the original database -&gt; keep</t>
  </si>
  <si>
    <t>Project website, 28 kt H2/yr, commissioning 2022-2023</t>
  </si>
  <si>
    <t>https://web.archive.org/web/20210728032418/https://h2v59-concertation.net/comprendre-projet/</t>
  </si>
  <si>
    <t>[59]</t>
  </si>
  <si>
    <t>[60]</t>
  </si>
  <si>
    <t>https://nelhydrogen.com/press-release/nel-asa-receives-purchase-order-from-nikola-2/</t>
  </si>
  <si>
    <t>[61]</t>
  </si>
  <si>
    <t>https://www.fuelsandlubes.com/worlds-largest-green-ammonia-plant-in-south-australia-gets-boost/</t>
  </si>
  <si>
    <t>" installation of a 75MW electrolyser", "The project is targeting completion by late 2022"</t>
  </si>
  <si>
    <t>[62]</t>
  </si>
  <si>
    <t>https://www.mentorimcgroup.com/2020/10/07/uk-contractor-wins-engineering-for-australias-largest-green-hydrogen-project/</t>
  </si>
  <si>
    <t>25 tH2 per day, "IBE hope to have Arrowsmith Plant operating by late 2022" -&gt; 9.1 ktH2/yr</t>
  </si>
  <si>
    <t>https://www.ir.plugpower.com/press-releases/news-details/2021/Plug-Power-Announces-Green-Hydrogen-Plant-in-Camden-County-Georgia-2021-6-10/</t>
  </si>
  <si>
    <t>https://www.youtube.com/watch?v=Dg1EGrhwV7Y</t>
  </si>
  <si>
    <t>Video about project construction starting</t>
  </si>
  <si>
    <t>[63][64]</t>
  </si>
  <si>
    <t>https://www.ir.plugpower.com/press-releases/news-details/2021/Plug-Power-and-Brookfield-Renewable-Move-Forward-with-Green-Hydrogen-Plant-in-South-Central-Pennsylvania-2021-3-30/default.aspx</t>
  </si>
  <si>
    <t>"plant is projected to produce approximately 15 metric-tons of 100% emissions-free liquid hydrogen per day", "The plant is expected to be online by late 2022"</t>
  </si>
  <si>
    <t>[65]</t>
  </si>
  <si>
    <t>https://www.airliquide.com/group/press-releases-news/2021-03-19/air-liquide-completes-first-phase-ultra-high-purity-low-carbon-h2-electrolyzer-plants-taiwan</t>
  </si>
  <si>
    <t>https://www.taipeitimes.com/News/biz/archives/2021/03/19/2003754078</t>
  </si>
  <si>
    <t>Article sounds like the 25 MW are already commissioned -&gt; unclear so keep at 25 MW in 2022</t>
  </si>
  <si>
    <t>[66][67]</t>
  </si>
  <si>
    <t>[68]</t>
  </si>
  <si>
    <t>[69]</t>
  </si>
  <si>
    <t>https://www.vitol.com/vitol-acquires-stake-in-green-hydrogen-company-gen2-energy/</t>
  </si>
  <si>
    <t>"Work at the company’s initial site in the north of Norway is under way and will have a capacity of at least 80 MW, producing 11.7kt per annum of green hydrogen. Production at this site is expected to commence by December 2023."; Second site only mentioned with 300 MW, not with date or anything specific.</t>
  </si>
  <si>
    <t>[70]</t>
  </si>
  <si>
    <t>https://www.accelerazero.com/news/accelera-selects-spain-gigawatt-electrolyzer-plant-partnering-iberdrola-lead-green-hydrogen</t>
  </si>
  <si>
    <t>"the 230-MW green hydrogen project in Palos de la Fronter", no mention of launch date, original source mentions "Presentation of Iberdola in the Chilean Hydrogen Summit, 4 Nov 2020" -&gt; leave unchanged</t>
  </si>
  <si>
    <t>[71]</t>
  </si>
  <si>
    <t>https://www.worley.com/en/insights/our-news/low-carbon-energy/2021/contract-to-help-create-green-hydrogen-factory</t>
  </si>
  <si>
    <t>https://reneweconomy.com.au/uk-developer-eyes-gladstone-for-big-solar-hydrogen-and-storage-project/</t>
  </si>
  <si>
    <t>"include a 200MW hydrogen electrolyser plant", "construction of the project could begin as early as the third quarter of 2022"</t>
  </si>
  <si>
    <t>[72]</t>
  </si>
  <si>
    <t>https://greenergreatermanchester.com/posts/plans-for-uks-largest-hydrogen-fuel-hub-move-forward/</t>
  </si>
  <si>
    <t>"proposed 200MW commercial hydrogen", "construction of the hydrogen hub at the Trafford Low Carbon Energy Park will start early next year and enter commercial operation in 2023"</t>
  </si>
  <si>
    <t>[74]</t>
  </si>
  <si>
    <t>https://biorrefineria.blogspot.com/2020/10/CRI-Finnfjord-and-Statkraft-intend-to-build-a-commercial-e-methanol-plant-in-northern-Norway.html</t>
  </si>
  <si>
    <t>E-Methanol plant with electrolysis for hydrogen production, 100 kt MeOH/yr, "The project partners aim to reach an investment decision by the end of 2021 and project construction is expected to take around two years"</t>
  </si>
  <si>
    <t>https://www.portofamsterdam.com/en/news/develop-largest-green-hydrogen-cluster-europe</t>
  </si>
  <si>
    <t>"study the feasibility of a 100 megawatt water electrolysis facility", "A final investment decision is expected in 2021"</t>
  </si>
  <si>
    <t>https://allesoverwaterstof.nl/amsterdam-en-tata-steel-willen-grote-waterstoffabriek-bouwen/</t>
  </si>
  <si>
    <t>"The three parties want to make a final decision on the factory in 2021. Construction should be completed two or three years later."</t>
  </si>
  <si>
    <t>[75][76]</t>
  </si>
  <si>
    <t>https://www.amprion.net/Presse/Presse-Detailseite_18113.html</t>
  </si>
  <si>
    <t>100 MW, project can start in 2023</t>
  </si>
  <si>
    <t>page 4</t>
  </si>
  <si>
    <t>[78]</t>
  </si>
  <si>
    <t>https://web.archive.org/web/20210218012821/https://research.csiro.au/hyresource/abel-energy-bell-bay-powerfuels-project/</t>
  </si>
  <si>
    <t>"assessing the feasibility of deploying a 100 megawatt (MW) electrolysis plant", no source for commissioning date found -&gt; leaving unchanged</t>
  </si>
  <si>
    <t>[79]</t>
  </si>
  <si>
    <t>2020-11</t>
  </si>
  <si>
    <t>page 240, project is in Slovakia, not Netherlands, "The projects expects to install P2G technology with power about 78 MW", commissioning 2023</t>
  </si>
  <si>
    <t>[80]</t>
  </si>
  <si>
    <t>[81]</t>
  </si>
  <si>
    <t>https://www.haeolus.eu/wp-content/uploads/2020/04/SINTEF-2020-00179.pdf</t>
  </si>
  <si>
    <t>2020-04</t>
  </si>
  <si>
    <t>page 26, several hydrogen delivery dates mentioned -&gt; leaving unchanged at 2023</t>
  </si>
  <si>
    <t>[82]</t>
  </si>
  <si>
    <t>"The project could be operational in 2023.""the company estimates that in the first phase of the project it could have a capacity of 20 MW of electrolysis", 40 MW refer to PV capacity, change to 20 MW electrolysis capacity</t>
  </si>
  <si>
    <t>[83]</t>
  </si>
  <si>
    <t>1 GW</t>
  </si>
  <si>
    <t>2025: 2x14 MW, 2028: 290 MW, 2030: 1000 MW, 2035: 10 GW</t>
  </si>
  <si>
    <t>https://www.pv-magazine.de/2021/03/01/bundesnetzagentur-erteilt-wasserstoffprojekten-von-amprion-und-tennet-eine-absage/</t>
  </si>
  <si>
    <t>[84]</t>
  </si>
  <si>
    <t>https://www-eleconomista-es.translate.goog/pais_vasco/noticias/10923476/12/20/La-primera-planta-de-hidrogeno-verde-estara-operativa-en-Amorebieta-en-2022.html?_x_tr_sl=auto&amp;_x_tr_tl=en&amp;_x_tr_hl=en-US&amp;_x_tr_pto=wapp</t>
  </si>
  <si>
    <t>20 MW in 2022, 200 MW in 2030</t>
  </si>
  <si>
    <t>[85]</t>
  </si>
  <si>
    <t>[86]</t>
  </si>
  <si>
    <t>https://erhvervsstyrelsen.dk/sites/default/files/2021-03/GreenLab%20Skive%20one-pager_0.pdf</t>
  </si>
  <si>
    <t>12 MW in 2022</t>
  </si>
  <si>
    <t>[87]</t>
  </si>
  <si>
    <t>https://web.archive.org/web/20210621092444/https://gzinext.nl/waterstof/</t>
  </si>
  <si>
    <t>No information on capacity found -&gt; leaving unchanged</t>
  </si>
  <si>
    <t>[88]</t>
  </si>
  <si>
    <t>https://www.sunfire.de/de/news/detail/neues-wasserstoffzentrum-enertrag-und-sunfire-starten-kooperation-zum-betrieb-eines-10-mw-druck-alkali-elektrolyseurs</t>
  </si>
  <si>
    <t>10 MW, no info on date -&gt; leaving unchanged</t>
  </si>
  <si>
    <t>[89]</t>
  </si>
  <si>
    <t>Element One (Element Eins), phase 3</t>
  </si>
  <si>
    <t>Funding from BnetzA rejected -&gt; changing from FID to Feasibility study, also correcting REF error from multiple project phases</t>
  </si>
  <si>
    <t>20 MW by 2023</t>
  </si>
  <si>
    <t>[90]</t>
  </si>
  <si>
    <t>https://www.chemietechnik.de/anlagenbau/air-liquide-baut-30-mw-elektrolyseur-in-oberhausen-242.html</t>
  </si>
  <si>
    <t>20 MW in 2023</t>
  </si>
  <si>
    <t>[91]</t>
  </si>
  <si>
    <t>25 MW</t>
  </si>
  <si>
    <t>"Yara’s collaboration with Nel Hydrogen on a 5 MW electrolyzer pilot at Porsgrunn. Already, this project has grown to 25 MW, with commercial start-up scheduled for early 2023. "</t>
  </si>
  <si>
    <t>https://ammoniaenergy.org/articles/full-electrification-yara-plans-500000-tons-of-green-ammonia-in-norway-by-2026/</t>
  </si>
  <si>
    <t>[92]</t>
  </si>
  <si>
    <t>https://www.powermag.com/power-to-power-hydrogen-demonstration-involving-largest-u-s-nuclear-plant-gets-federal-funding/</t>
  </si>
  <si>
    <t>Pink hydrogen project</t>
  </si>
  <si>
    <t>[93]</t>
  </si>
  <si>
    <t>https://www.spglobal.com/commodityinsights/en/market-insights/latest-news/metals/061120-n-china-hydrogen-push-led-by-hydrogen-as-by-product-renewables</t>
  </si>
  <si>
    <t>Difficult to find numbers, so leaving project unchanged</t>
  </si>
  <si>
    <t>[94]</t>
  </si>
  <si>
    <t>https://www.shell.com.cn/en_cn/media/media-releases/2020-media-releases/zhangjiakou-city-transport-and-shell-new-energy-co-limited-formed-to-develop-hydrogen-value-chain.html</t>
  </si>
  <si>
    <t>[95]</t>
  </si>
  <si>
    <t>https://news.bjx.com.cn/html/20201015/1110001.shtml</t>
  </si>
  <si>
    <t>Impossible to find out details, leaving unchanged</t>
  </si>
  <si>
    <t>[96]</t>
  </si>
  <si>
    <t>https://press.siemens.com/global/de/pressemitteilung/siemens-realisiert-wunsiedel-eine-der-groessten-co2-freien-wasserstoffproduktionen</t>
  </si>
  <si>
    <t>8.75 MW, finished by 2022</t>
  </si>
  <si>
    <t>[97]</t>
  </si>
  <si>
    <t>https://www.sonnenseite.com/de/energie/grnes-licht-fr-erste-industrielle-power-to-gas-anlage-im-schweizerischen-dietikon/</t>
  </si>
  <si>
    <t>[98]</t>
  </si>
  <si>
    <t>https://matthey.com/news/2021/jm-technology-selected-for-worlds-first-climate-neutral-methanol-plant</t>
  </si>
  <si>
    <t>"In Haru Oni’s initial pilot phase, the unit will be capable of producing around 900,000 litres per year of e-methanol as early as 2022"</t>
  </si>
  <si>
    <t>[99]</t>
  </si>
  <si>
    <t>https://h2-international.com/2021/06/14/element-eins-and-hybridge-stopped/</t>
  </si>
  <si>
    <t>Project stopped</t>
  </si>
  <si>
    <t>[77][100]</t>
  </si>
  <si>
    <t>https://ee-sh.de/de/dokumente/content/veranstaltungen-praesentationen/2021-04-20-EE-Community-Treff/20210420-AQV-Urs-Wahl.pdf</t>
  </si>
  <si>
    <t>This is the AquaVentus project that is already included -&gt; remove</t>
  </si>
  <si>
    <t>[101]</t>
  </si>
  <si>
    <t>Technology_details</t>
  </si>
  <si>
    <t>Technology_electricity</t>
  </si>
  <si>
    <t>Technology_electricity_details</t>
  </si>
  <si>
    <t>EndUse_Refining</t>
  </si>
  <si>
    <t>EndUse_Ammonia</t>
  </si>
  <si>
    <t>EndUse_Methanol</t>
  </si>
  <si>
    <t>EndUse_Iron&amp;Steel</t>
  </si>
  <si>
    <t>EndUse_Other Ind</t>
  </si>
  <si>
    <t>EndUse_Mobility</t>
  </si>
  <si>
    <t>EndUse_Power</t>
  </si>
  <si>
    <t>EndUse_Grid inj.</t>
  </si>
  <si>
    <t>EndUse_CHP</t>
  </si>
  <si>
    <t>EndUse_Domestic heat</t>
  </si>
  <si>
    <t>EndUse_Biofuels</t>
  </si>
  <si>
    <t>EndUse_Synfuels</t>
  </si>
  <si>
    <t>EndUse_CH4 grid inj.</t>
  </si>
  <si>
    <t>EndUse_CH4 mobility</t>
  </si>
  <si>
    <t>Capacity_MWel</t>
  </si>
  <si>
    <t>Capacity_Nm³ H₂/h</t>
  </si>
  <si>
    <t>Capacity_kt H2/y</t>
  </si>
  <si>
    <t>Capacity_t CO₂ captured/y</t>
  </si>
  <si>
    <t>IEA zero-carbon estimated normalized capacity
[Nm³ H₂/hour]</t>
  </si>
  <si>
    <t>Norsk e-Fuel Phase 3</t>
  </si>
  <si>
    <t>[414] [521][1288]</t>
  </si>
  <si>
    <t>12.5 million litres of synthetic kerosene per year</t>
  </si>
  <si>
    <t>25 million litres of synthetic kerosene per year</t>
  </si>
  <si>
    <t>FID/Construction</t>
  </si>
  <si>
    <t>[1615]</t>
  </si>
  <si>
    <t>Get H2 Lingen, phase 3</t>
  </si>
  <si>
    <t>[1583]</t>
  </si>
  <si>
    <t>[36]</t>
  </si>
  <si>
    <t>Get H2 Lingen, phase 4</t>
  </si>
  <si>
    <t>Get H2 Lingen, phase 2</t>
  </si>
  <si>
    <t xml:space="preserve">1475 t/yr H2 </t>
  </si>
  <si>
    <t>Wilhelmshaven LNG terminal - phase 1</t>
  </si>
  <si>
    <t>70MW</t>
  </si>
  <si>
    <t>Wilhelmshaven , phase 2</t>
  </si>
  <si>
    <t>[750], [1270]</t>
  </si>
  <si>
    <t>Sines refinery (phase 3)</t>
  </si>
  <si>
    <t>1002 MW</t>
  </si>
  <si>
    <t>102MW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</si>
</sst>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0.0"/>
    <numFmt numFmtId="166" formatCode="0.000"/>
    <numFmt numFmtId="167" formatCode="yyyy/mm/dd;@"/>
  </numFmts>
  <fonts count="32"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font>
    <font>
      <sz val="11"/>
      <name val="Calibri"/>
      <family val="2"/>
    </font>
    <font>
      <sz val="11"/>
      <color rgb="FF000000"/>
      <name val="Calibri"/>
      <family val="2"/>
      <scheme val="minor"/>
    </font>
    <font>
      <sz val="12"/>
      <color rgb="FF000000"/>
      <name val="Calibri"/>
      <family val="2"/>
    </font>
    <font>
      <u/>
      <sz val="12"/>
      <color theme="10"/>
      <name val="Calibri"/>
      <family val="2"/>
    </font>
    <font>
      <sz val="11"/>
      <name val="Calibri"/>
      <family val="2"/>
      <scheme val="minor"/>
    </font>
    <font>
      <u/>
      <sz val="11"/>
      <color theme="11"/>
      <name val="Calibri"/>
      <family val="2"/>
      <scheme val="minor"/>
    </font>
    <font>
      <b/>
      <sz val="11"/>
      <color theme="0"/>
      <name val="Calibri"/>
      <family val="2"/>
      <scheme val="minor"/>
    </font>
    <font>
      <sz val="11"/>
      <color theme="0"/>
      <name val="Corbel"/>
      <family val="2"/>
    </font>
    <font>
      <sz val="9"/>
      <color indexed="81"/>
      <name val="Tahoma"/>
      <family val="2"/>
    </font>
    <font>
      <b/>
      <sz val="9"/>
      <color indexed="81"/>
      <name val="Tahoma"/>
      <family val="2"/>
    </font>
    <font>
      <sz val="11"/>
      <color rgb="FF9C0006"/>
      <name val="Calibri"/>
      <family val="2"/>
      <scheme val="minor"/>
    </font>
    <font>
      <sz val="10"/>
      <name val="Arial"/>
      <family val="2"/>
    </font>
    <font>
      <sz val="10"/>
      <color theme="1"/>
      <name val="Corbel"/>
      <family val="2"/>
    </font>
    <font>
      <sz val="20"/>
      <color theme="0"/>
      <name val="Corbel"/>
      <family val="2"/>
    </font>
    <font>
      <sz val="11"/>
      <color theme="1"/>
      <name val="Calibri"/>
      <family val="2"/>
    </font>
    <font>
      <vertAlign val="superscript"/>
      <sz val="7"/>
      <color theme="1"/>
      <name val="Corbel"/>
      <family val="2"/>
    </font>
    <font>
      <sz val="7"/>
      <color theme="1"/>
      <name val="Corbel"/>
      <family val="2"/>
    </font>
    <font>
      <vertAlign val="subscript"/>
      <sz val="7"/>
      <color theme="1"/>
      <name val="Corbel"/>
      <family val="2"/>
    </font>
    <font>
      <vertAlign val="superscript"/>
      <sz val="5.5"/>
      <color theme="1"/>
      <name val="Corbel"/>
      <family val="2"/>
    </font>
    <font>
      <vertAlign val="subscript"/>
      <sz val="10"/>
      <color theme="1"/>
      <name val="Corbel"/>
      <family val="2"/>
    </font>
    <font>
      <sz val="10"/>
      <color theme="1"/>
      <name val="Corbel"/>
      <family val="2"/>
    </font>
    <font>
      <sz val="10"/>
      <color theme="1"/>
      <name val="Corbel"/>
      <family val="2"/>
    </font>
    <font>
      <sz val="10"/>
      <color theme="1"/>
      <name val="Corbel"/>
      <family val="2"/>
    </font>
    <font>
      <sz val="10"/>
      <color theme="1"/>
      <name val="Corbel"/>
      <family val="2"/>
    </font>
    <font>
      <vertAlign val="superscript"/>
      <sz val="6"/>
      <color theme="1"/>
      <name val="Calibri"/>
      <family val="2"/>
      <scheme val="minor"/>
    </font>
    <font>
      <b/>
      <sz val="14"/>
      <color rgb="FF004BFF"/>
      <name val="Calibri"/>
      <family val="2"/>
      <scheme val="minor"/>
    </font>
    <font>
      <sz val="10"/>
      <name val="Corbel"/>
      <family val="2"/>
    </font>
    <font>
      <sz val="10"/>
      <color theme="1"/>
      <name val="Corbel"/>
    </font>
  </fonts>
  <fills count="15">
    <fill>
      <patternFill patternType="none"/>
    </fill>
    <fill>
      <patternFill patternType="gray125"/>
    </fill>
    <fill>
      <patternFill patternType="solid">
        <fgColor theme="0"/>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C7CE"/>
      </patternFill>
    </fill>
    <fill>
      <patternFill patternType="solid">
        <fgColor rgb="FF00B050"/>
        <bgColor indexed="64"/>
      </patternFill>
    </fill>
    <fill>
      <patternFill patternType="solid">
        <fgColor theme="8" tint="0.79998168889431442"/>
        <bgColor indexed="64"/>
      </patternFill>
    </fill>
    <fill>
      <patternFill patternType="solid">
        <fgColor rgb="FF004BFF"/>
        <bgColor rgb="FFD8D8D8"/>
      </patternFill>
    </fill>
    <fill>
      <patternFill patternType="solid">
        <fgColor rgb="FF004BFF"/>
        <bgColor indexed="64"/>
      </patternFill>
    </fill>
    <fill>
      <patternFill patternType="solid">
        <fgColor rgb="FFFF6600"/>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s>
  <borders count="13">
    <border>
      <left/>
      <right/>
      <top/>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diagonal/>
    </border>
    <border>
      <left/>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style="thin">
        <color theme="4" tint="0.39997558519241921"/>
      </top>
      <bottom style="thin">
        <color theme="4" tint="0.39997558519241921"/>
      </bottom>
      <diagonal/>
    </border>
  </borders>
  <cellStyleXfs count="16">
    <xf numFmtId="0" fontId="0" fillId="0" borderId="0"/>
    <xf numFmtId="0" fontId="3" fillId="0" borderId="0" applyNumberFormat="0" applyFill="0" applyBorder="0" applyAlignment="0" applyProtection="0"/>
    <xf numFmtId="0" fontId="1" fillId="0" borderId="0"/>
    <xf numFmtId="0" fontId="6" fillId="0" borderId="0"/>
    <xf numFmtId="0" fontId="6" fillId="0" borderId="0"/>
    <xf numFmtId="0" fontId="6" fillId="0" borderId="0"/>
    <xf numFmtId="0" fontId="6" fillId="0" borderId="0"/>
    <xf numFmtId="0" fontId="6" fillId="0" borderId="0"/>
    <xf numFmtId="0" fontId="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164" fontId="1" fillId="0" borderId="0" applyFont="0" applyFill="0" applyBorder="0" applyAlignment="0" applyProtection="0"/>
    <xf numFmtId="0" fontId="14" fillId="5" borderId="0" applyNumberFormat="0" applyBorder="0" applyAlignment="0" applyProtection="0"/>
    <xf numFmtId="0" fontId="15" fillId="0" borderId="0"/>
  </cellStyleXfs>
  <cellXfs count="120">
    <xf numFmtId="0" fontId="0" fillId="0" borderId="0" xfId="0"/>
    <xf numFmtId="0" fontId="8" fillId="2" borderId="0" xfId="0" applyFont="1" applyFill="1" applyAlignment="1">
      <alignment horizontal="left" vertical="top"/>
    </xf>
    <xf numFmtId="0" fontId="0" fillId="2" borderId="0" xfId="0" applyFill="1" applyAlignment="1">
      <alignment horizontal="left" vertical="top"/>
    </xf>
    <xf numFmtId="0" fontId="5" fillId="2" borderId="0" xfId="0" applyFont="1" applyFill="1" applyAlignment="1">
      <alignment horizontal="left" vertical="top"/>
    </xf>
    <xf numFmtId="0" fontId="2" fillId="2" borderId="0" xfId="0" applyFont="1" applyFill="1" applyAlignment="1">
      <alignment horizontal="left" vertical="top"/>
    </xf>
    <xf numFmtId="0" fontId="0" fillId="2" borderId="0" xfId="5" applyFont="1" applyFill="1" applyAlignment="1">
      <alignment horizontal="left" vertical="top"/>
    </xf>
    <xf numFmtId="0" fontId="0" fillId="2" borderId="0" xfId="0" applyFill="1"/>
    <xf numFmtId="0" fontId="10" fillId="3" borderId="0" xfId="0" applyFont="1" applyFill="1" applyAlignment="1">
      <alignment horizontal="left" vertical="top" wrapText="1"/>
    </xf>
    <xf numFmtId="0" fontId="4" fillId="2" borderId="0" xfId="0" applyFont="1" applyFill="1" applyAlignment="1">
      <alignment horizontal="left" vertical="top"/>
    </xf>
    <xf numFmtId="0" fontId="3" fillId="2" borderId="0" xfId="1" applyFill="1" applyBorder="1" applyAlignment="1">
      <alignment horizontal="left"/>
    </xf>
    <xf numFmtId="0" fontId="3" fillId="2" borderId="0" xfId="1" applyFill="1" applyAlignment="1">
      <alignment horizontal="left"/>
    </xf>
    <xf numFmtId="0" fontId="3" fillId="0" borderId="0" xfId="1" applyAlignment="1">
      <alignment horizontal="left" vertical="center" wrapText="1"/>
    </xf>
    <xf numFmtId="0" fontId="3" fillId="0" borderId="0" xfId="1" applyAlignment="1">
      <alignment vertical="center" wrapText="1"/>
    </xf>
    <xf numFmtId="0" fontId="3" fillId="2" borderId="0" xfId="1" applyFill="1" applyBorder="1" applyAlignment="1">
      <alignment horizontal="left" vertical="top"/>
    </xf>
    <xf numFmtId="0" fontId="3" fillId="0" borderId="0" xfId="1"/>
    <xf numFmtId="0" fontId="14" fillId="5" borderId="0" xfId="14" applyAlignment="1">
      <alignment horizontal="left" vertical="center" wrapText="1"/>
    </xf>
    <xf numFmtId="0" fontId="3" fillId="5" borderId="0" xfId="1" applyFill="1" applyAlignment="1">
      <alignment horizontal="left" vertical="center"/>
    </xf>
    <xf numFmtId="0" fontId="14" fillId="5" borderId="0" xfId="14" applyAlignment="1">
      <alignment horizontal="left" vertical="center"/>
    </xf>
    <xf numFmtId="0" fontId="14" fillId="5" borderId="0" xfId="14"/>
    <xf numFmtId="0" fontId="3" fillId="5" borderId="0" xfId="1" applyFill="1" applyAlignment="1">
      <alignment wrapText="1"/>
    </xf>
    <xf numFmtId="0" fontId="11" fillId="9" borderId="3" xfId="0" applyFont="1" applyFill="1" applyBorder="1" applyAlignment="1">
      <alignment vertical="center" wrapText="1"/>
    </xf>
    <xf numFmtId="0" fontId="3" fillId="0" borderId="0" xfId="1" applyAlignment="1">
      <alignment vertical="center"/>
    </xf>
    <xf numFmtId="0" fontId="2" fillId="0" borderId="0" xfId="0" applyFont="1"/>
    <xf numFmtId="0" fontId="2" fillId="4" borderId="0" xfId="0" applyFont="1" applyFill="1"/>
    <xf numFmtId="0" fontId="0" fillId="4" borderId="0" xfId="0" applyFill="1"/>
    <xf numFmtId="0" fontId="2" fillId="7" borderId="0" xfId="0" applyFont="1" applyFill="1"/>
    <xf numFmtId="0" fontId="0" fillId="7" borderId="0" xfId="0" applyFill="1"/>
    <xf numFmtId="0" fontId="16" fillId="7" borderId="0" xfId="0" applyFont="1" applyFill="1" applyAlignment="1">
      <alignment vertical="center"/>
    </xf>
    <xf numFmtId="0" fontId="16" fillId="7" borderId="0" xfId="0" applyFont="1" applyFill="1" applyAlignment="1">
      <alignment vertical="center" wrapText="1"/>
    </xf>
    <xf numFmtId="0" fontId="16" fillId="7" borderId="0" xfId="0" applyFont="1" applyFill="1" applyAlignment="1">
      <alignment horizontal="center" vertical="center"/>
    </xf>
    <xf numFmtId="1" fontId="16" fillId="7" borderId="0" xfId="0" applyNumberFormat="1" applyFont="1" applyFill="1" applyAlignment="1">
      <alignment horizontal="center" vertical="center"/>
    </xf>
    <xf numFmtId="0" fontId="11" fillId="9" borderId="6" xfId="0" applyFont="1" applyFill="1" applyBorder="1" applyAlignment="1">
      <alignment horizontal="center" vertical="top" wrapText="1"/>
    </xf>
    <xf numFmtId="0" fontId="11" fillId="8" borderId="6" xfId="0" applyFont="1" applyFill="1" applyBorder="1" applyAlignment="1">
      <alignment vertical="top" wrapText="1"/>
    </xf>
    <xf numFmtId="0" fontId="11" fillId="8" borderId="6" xfId="0" applyFont="1" applyFill="1" applyBorder="1" applyAlignment="1">
      <alignment vertical="top" textRotation="90" wrapText="1"/>
    </xf>
    <xf numFmtId="0" fontId="11" fillId="9" borderId="6" xfId="0" applyFont="1" applyFill="1" applyBorder="1" applyAlignment="1">
      <alignment vertical="top"/>
    </xf>
    <xf numFmtId="0" fontId="11" fillId="9" borderId="6" xfId="0" applyFont="1" applyFill="1" applyBorder="1" applyAlignment="1">
      <alignment vertical="top" wrapText="1"/>
    </xf>
    <xf numFmtId="0" fontId="11" fillId="9" borderId="6" xfId="0" applyFont="1" applyFill="1" applyBorder="1" applyAlignment="1">
      <alignment vertical="top" textRotation="90"/>
    </xf>
    <xf numFmtId="0" fontId="11" fillId="9" borderId="6" xfId="0" applyFont="1" applyFill="1" applyBorder="1" applyAlignment="1">
      <alignment vertical="center" wrapText="1"/>
    </xf>
    <xf numFmtId="0" fontId="11" fillId="9" borderId="5" xfId="0" applyFont="1" applyFill="1" applyBorder="1" applyAlignment="1">
      <alignment horizontal="center" vertical="center"/>
    </xf>
    <xf numFmtId="0" fontId="11" fillId="9" borderId="5" xfId="0" applyFont="1" applyFill="1" applyBorder="1" applyAlignment="1">
      <alignment horizontal="center" vertical="center" textRotation="90"/>
    </xf>
    <xf numFmtId="0" fontId="11" fillId="9" borderId="11" xfId="0" applyFont="1" applyFill="1" applyBorder="1" applyAlignment="1">
      <alignment vertical="center"/>
    </xf>
    <xf numFmtId="0" fontId="11" fillId="9" borderId="4" xfId="0" applyFont="1" applyFill="1" applyBorder="1" applyAlignment="1">
      <alignment vertical="center"/>
    </xf>
    <xf numFmtId="0" fontId="11" fillId="9" borderId="10" xfId="0" applyFont="1" applyFill="1" applyBorder="1" applyAlignment="1">
      <alignment vertical="center"/>
    </xf>
    <xf numFmtId="0" fontId="11" fillId="9" borderId="5" xfId="0" applyFont="1" applyFill="1" applyBorder="1" applyAlignment="1">
      <alignment vertical="center"/>
    </xf>
    <xf numFmtId="0" fontId="11" fillId="9" borderId="7" xfId="0" applyFont="1" applyFill="1" applyBorder="1" applyAlignment="1">
      <alignment vertical="center"/>
    </xf>
    <xf numFmtId="0" fontId="11" fillId="9" borderId="9" xfId="0" applyFont="1" applyFill="1" applyBorder="1" applyAlignment="1">
      <alignment vertical="center"/>
    </xf>
    <xf numFmtId="0" fontId="11" fillId="9" borderId="8" xfId="0" applyFont="1" applyFill="1" applyBorder="1" applyAlignment="1">
      <alignment vertical="center"/>
    </xf>
    <xf numFmtId="0" fontId="11" fillId="9" borderId="5" xfId="0" applyFont="1" applyFill="1" applyBorder="1" applyAlignment="1">
      <alignment vertical="center" wrapText="1"/>
    </xf>
    <xf numFmtId="0" fontId="11" fillId="9" borderId="3" xfId="0" applyFont="1" applyFill="1" applyBorder="1" applyAlignment="1">
      <alignment vertical="center"/>
    </xf>
    <xf numFmtId="0" fontId="0" fillId="2" borderId="0" xfId="0" applyFill="1" applyAlignment="1">
      <alignment horizontal="left" vertical="top" wrapText="1"/>
    </xf>
    <xf numFmtId="165" fontId="16" fillId="7" borderId="0" xfId="0" applyNumberFormat="1" applyFont="1" applyFill="1" applyAlignment="1">
      <alignment horizontal="center" vertical="center"/>
    </xf>
    <xf numFmtId="0" fontId="16" fillId="7" borderId="0" xfId="0" applyFont="1" applyFill="1" applyAlignment="1">
      <alignment horizontal="center" vertical="center" wrapText="1"/>
    </xf>
    <xf numFmtId="0" fontId="18" fillId="7" borderId="0" xfId="0" applyFont="1" applyFill="1" applyAlignment="1">
      <alignment horizontal="left" vertical="center" wrapText="1"/>
    </xf>
    <xf numFmtId="4" fontId="18" fillId="7" borderId="0" xfId="0" applyNumberFormat="1" applyFont="1" applyFill="1" applyAlignment="1">
      <alignment horizontal="center" vertical="center" wrapText="1"/>
    </xf>
    <xf numFmtId="166" fontId="16" fillId="7" borderId="0" xfId="0" applyNumberFormat="1" applyFont="1" applyFill="1" applyAlignment="1">
      <alignment horizontal="center" vertical="center"/>
    </xf>
    <xf numFmtId="0" fontId="16" fillId="10" borderId="0" xfId="0" applyFont="1" applyFill="1" applyAlignment="1">
      <alignment vertical="center"/>
    </xf>
    <xf numFmtId="0" fontId="16" fillId="10" borderId="0" xfId="0" applyFont="1" applyFill="1" applyAlignment="1">
      <alignment vertical="center" wrapText="1"/>
    </xf>
    <xf numFmtId="0" fontId="16" fillId="10" borderId="0" xfId="0" applyFont="1" applyFill="1" applyAlignment="1">
      <alignment horizontal="center" vertical="center"/>
    </xf>
    <xf numFmtId="1" fontId="16" fillId="10" borderId="0" xfId="0" applyNumberFormat="1" applyFont="1" applyFill="1" applyAlignment="1">
      <alignment horizontal="center" vertical="center"/>
    </xf>
    <xf numFmtId="165" fontId="16" fillId="10" borderId="0" xfId="0" applyNumberFormat="1" applyFont="1" applyFill="1" applyAlignment="1">
      <alignment horizontal="center" vertical="center"/>
    </xf>
    <xf numFmtId="0" fontId="16" fillId="6" borderId="0" xfId="0" applyFont="1" applyFill="1" applyAlignment="1">
      <alignment vertical="center"/>
    </xf>
    <xf numFmtId="0" fontId="16" fillId="6" borderId="0" xfId="0" applyFont="1" applyFill="1" applyAlignment="1">
      <alignment vertical="center" wrapText="1"/>
    </xf>
    <xf numFmtId="0" fontId="16" fillId="6" borderId="0" xfId="0" applyFont="1" applyFill="1" applyAlignment="1">
      <alignment horizontal="center" vertical="center"/>
    </xf>
    <xf numFmtId="1" fontId="16" fillId="6" borderId="0" xfId="0" applyNumberFormat="1" applyFont="1" applyFill="1" applyAlignment="1">
      <alignment horizontal="center" vertical="center"/>
    </xf>
    <xf numFmtId="4" fontId="16" fillId="7" borderId="0" xfId="0" applyNumberFormat="1" applyFont="1" applyFill="1" applyAlignment="1">
      <alignment horizontal="center" vertical="center"/>
    </xf>
    <xf numFmtId="0" fontId="24" fillId="7" borderId="0" xfId="0" applyFont="1" applyFill="1" applyAlignment="1">
      <alignment vertical="center"/>
    </xf>
    <xf numFmtId="0" fontId="11" fillId="9" borderId="5" xfId="0" applyFont="1" applyFill="1" applyBorder="1" applyAlignment="1">
      <alignment horizontal="center" vertical="center" wrapText="1"/>
    </xf>
    <xf numFmtId="0" fontId="25" fillId="7" borderId="0" xfId="0" applyFont="1" applyFill="1" applyAlignment="1">
      <alignment vertical="center"/>
    </xf>
    <xf numFmtId="0" fontId="8" fillId="0" borderId="0" xfId="0" applyFont="1"/>
    <xf numFmtId="0" fontId="26" fillId="7" borderId="0" xfId="0" applyFont="1" applyFill="1" applyAlignment="1">
      <alignment vertical="center"/>
    </xf>
    <xf numFmtId="0" fontId="27" fillId="7" borderId="0" xfId="0" applyFont="1" applyFill="1" applyAlignment="1">
      <alignment vertical="center"/>
    </xf>
    <xf numFmtId="0" fontId="16" fillId="7" borderId="12" xfId="0" applyFont="1" applyFill="1" applyBorder="1" applyAlignment="1">
      <alignment vertical="center"/>
    </xf>
    <xf numFmtId="0" fontId="10" fillId="9" borderId="0" xfId="0" applyFont="1" applyFill="1" applyAlignment="1">
      <alignment horizontal="left" vertical="top" wrapText="1"/>
    </xf>
    <xf numFmtId="0" fontId="29" fillId="2" borderId="0" xfId="0" applyFont="1" applyFill="1" applyAlignment="1">
      <alignment horizontal="left" vertical="top"/>
    </xf>
    <xf numFmtId="0" fontId="16" fillId="11" borderId="0" xfId="0" applyFont="1" applyFill="1" applyAlignment="1">
      <alignment vertical="center" wrapText="1"/>
    </xf>
    <xf numFmtId="0" fontId="16" fillId="12" borderId="0" xfId="0" applyFont="1" applyFill="1" applyAlignment="1">
      <alignment vertical="center"/>
    </xf>
    <xf numFmtId="0" fontId="16" fillId="12" borderId="0" xfId="0" applyFont="1" applyFill="1" applyAlignment="1">
      <alignment vertical="center" wrapText="1"/>
    </xf>
    <xf numFmtId="0" fontId="16" fillId="12" borderId="0" xfId="0" applyFont="1" applyFill="1" applyAlignment="1">
      <alignment horizontal="center" vertical="center"/>
    </xf>
    <xf numFmtId="165" fontId="16" fillId="12" borderId="0" xfId="0" applyNumberFormat="1" applyFont="1" applyFill="1" applyAlignment="1">
      <alignment horizontal="center" vertical="center"/>
    </xf>
    <xf numFmtId="0" fontId="16" fillId="13" borderId="0" xfId="0" applyFont="1" applyFill="1" applyAlignment="1">
      <alignment vertical="center" wrapText="1"/>
    </xf>
    <xf numFmtId="0" fontId="16" fillId="13" borderId="0" xfId="0" applyFont="1" applyFill="1" applyAlignment="1">
      <alignment horizontal="center" vertical="center"/>
    </xf>
    <xf numFmtId="0" fontId="16" fillId="13" borderId="0" xfId="0" applyFont="1" applyFill="1" applyAlignment="1">
      <alignment vertical="center"/>
    </xf>
    <xf numFmtId="167" fontId="8" fillId="2" borderId="0" xfId="0" applyNumberFormat="1" applyFont="1" applyFill="1" applyAlignment="1">
      <alignment horizontal="left" vertical="top"/>
    </xf>
    <xf numFmtId="167" fontId="0" fillId="2" borderId="0" xfId="0" applyNumberFormat="1" applyFill="1" applyAlignment="1">
      <alignment horizontal="left" vertical="top"/>
    </xf>
    <xf numFmtId="167" fontId="5" fillId="2" borderId="0" xfId="0" applyNumberFormat="1" applyFont="1" applyFill="1" applyAlignment="1">
      <alignment horizontal="left" vertical="top"/>
    </xf>
    <xf numFmtId="167" fontId="0" fillId="2" borderId="0" xfId="5" applyNumberFormat="1" applyFont="1" applyFill="1" applyAlignment="1">
      <alignment horizontal="left" vertical="top"/>
    </xf>
    <xf numFmtId="0" fontId="0" fillId="0" borderId="0" xfId="0" applyAlignment="1">
      <alignment horizontal="left" vertical="top"/>
    </xf>
    <xf numFmtId="0" fontId="30" fillId="11" borderId="0" xfId="0" applyFont="1" applyFill="1" applyAlignment="1">
      <alignment vertical="center" wrapText="1"/>
    </xf>
    <xf numFmtId="167" fontId="4" fillId="2" borderId="0" xfId="0" applyNumberFormat="1" applyFont="1" applyFill="1" applyAlignment="1">
      <alignment horizontal="left" vertical="top"/>
    </xf>
    <xf numFmtId="0" fontId="4" fillId="2" borderId="0" xfId="1" applyFont="1" applyFill="1" applyBorder="1" applyAlignment="1">
      <alignment horizontal="left" vertical="top"/>
    </xf>
    <xf numFmtId="167" fontId="4" fillId="2" borderId="0" xfId="1" applyNumberFormat="1" applyFont="1" applyFill="1" applyBorder="1" applyAlignment="1">
      <alignment horizontal="left" vertical="top"/>
    </xf>
    <xf numFmtId="0" fontId="16" fillId="14" borderId="0" xfId="0" applyFont="1" applyFill="1" applyAlignment="1">
      <alignment horizontal="center" vertical="center"/>
    </xf>
    <xf numFmtId="0" fontId="16" fillId="14" borderId="0" xfId="0" applyFont="1" applyFill="1" applyAlignment="1">
      <alignment vertical="center"/>
    </xf>
    <xf numFmtId="0" fontId="31" fillId="14" borderId="0" xfId="0" applyFont="1" applyFill="1" applyAlignment="1">
      <alignment vertical="center"/>
    </xf>
    <xf numFmtId="0" fontId="31" fillId="14" borderId="0" xfId="0" applyFont="1" applyFill="1" applyAlignment="1">
      <alignment horizontal="center" vertical="center"/>
    </xf>
    <xf numFmtId="1" fontId="31" fillId="14" borderId="0" xfId="0" applyNumberFormat="1" applyFont="1" applyFill="1" applyAlignment="1">
      <alignment horizontal="center" vertical="center"/>
    </xf>
    <xf numFmtId="1" fontId="16" fillId="14" borderId="0" xfId="0" applyNumberFormat="1" applyFont="1" applyFill="1" applyAlignment="1">
      <alignment vertical="center" wrapText="1"/>
    </xf>
    <xf numFmtId="0" fontId="31" fillId="14" borderId="0" xfId="0" applyFont="1" applyFill="1" applyAlignment="1">
      <alignment vertical="center" wrapText="1"/>
    </xf>
    <xf numFmtId="2" fontId="16" fillId="14" borderId="0" xfId="0" applyNumberFormat="1" applyFont="1" applyFill="1" applyAlignment="1">
      <alignment horizontal="center" vertical="center"/>
    </xf>
    <xf numFmtId="0" fontId="30" fillId="14" borderId="0" xfId="0" applyFont="1" applyFill="1" applyAlignment="1">
      <alignment vertical="center"/>
    </xf>
    <xf numFmtId="1" fontId="16" fillId="14" borderId="0" xfId="0" applyNumberFormat="1" applyFont="1" applyFill="1" applyAlignment="1">
      <alignment horizontal="center" vertical="center"/>
    </xf>
    <xf numFmtId="165" fontId="16" fillId="14" borderId="0" xfId="0" applyNumberFormat="1" applyFont="1" applyFill="1" applyAlignment="1">
      <alignment horizontal="center" vertical="center"/>
    </xf>
    <xf numFmtId="0" fontId="16" fillId="14" borderId="0" xfId="0" applyFont="1" applyFill="1" applyAlignment="1">
      <alignment vertical="center" wrapText="1"/>
    </xf>
    <xf numFmtId="0" fontId="3" fillId="2" borderId="0" xfId="1" applyFill="1" applyAlignment="1">
      <alignment horizontal="left" vertical="top"/>
    </xf>
    <xf numFmtId="0" fontId="27" fillId="14" borderId="0" xfId="0" applyFont="1" applyFill="1" applyAlignment="1">
      <alignment vertical="center"/>
    </xf>
    <xf numFmtId="0" fontId="17" fillId="9" borderId="1" xfId="0" applyFont="1" applyFill="1" applyBorder="1" applyAlignment="1">
      <alignment horizontal="center" vertical="center" wrapText="1"/>
    </xf>
    <xf numFmtId="0" fontId="17" fillId="9" borderId="2" xfId="0" applyFont="1" applyFill="1" applyBorder="1" applyAlignment="1">
      <alignment horizontal="center" vertical="center" wrapText="1"/>
    </xf>
    <xf numFmtId="0" fontId="11" fillId="8" borderId="5" xfId="0" applyFont="1" applyFill="1" applyBorder="1" applyAlignment="1">
      <alignment horizontal="center" vertical="center" wrapText="1"/>
    </xf>
    <xf numFmtId="0" fontId="11" fillId="8" borderId="3" xfId="0" applyFont="1" applyFill="1" applyBorder="1" applyAlignment="1">
      <alignment horizontal="center" vertical="center" wrapText="1"/>
    </xf>
    <xf numFmtId="0" fontId="11" fillId="8" borderId="5" xfId="0" applyFont="1" applyFill="1" applyBorder="1" applyAlignment="1">
      <alignment horizontal="center" vertical="center" textRotation="90" wrapText="1"/>
    </xf>
    <xf numFmtId="0" fontId="11" fillId="8" borderId="3" xfId="0" applyFont="1" applyFill="1" applyBorder="1" applyAlignment="1">
      <alignment horizontal="center" vertical="center" textRotation="90" wrapText="1"/>
    </xf>
    <xf numFmtId="0" fontId="11" fillId="9" borderId="7" xfId="0" applyFont="1" applyFill="1" applyBorder="1" applyAlignment="1">
      <alignment horizontal="center" vertical="center"/>
    </xf>
    <xf numFmtId="0" fontId="11" fillId="9" borderId="9" xfId="0" applyFont="1" applyFill="1" applyBorder="1" applyAlignment="1">
      <alignment horizontal="center" vertical="center"/>
    </xf>
    <xf numFmtId="0" fontId="11" fillId="9" borderId="8" xfId="0" applyFont="1" applyFill="1" applyBorder="1" applyAlignment="1">
      <alignment horizontal="center" vertical="center"/>
    </xf>
    <xf numFmtId="0" fontId="11" fillId="9" borderId="5" xfId="0" applyFont="1" applyFill="1" applyBorder="1" applyAlignment="1">
      <alignment horizontal="center" vertical="center" wrapText="1"/>
    </xf>
    <xf numFmtId="0" fontId="11" fillId="9" borderId="3" xfId="0" applyFont="1" applyFill="1" applyBorder="1" applyAlignment="1">
      <alignment horizontal="center" vertical="center" wrapText="1"/>
    </xf>
    <xf numFmtId="0" fontId="0" fillId="7" borderId="0" xfId="0" applyFill="1" applyAlignment="1">
      <alignment horizontal="center"/>
    </xf>
    <xf numFmtId="0" fontId="0" fillId="4" borderId="0" xfId="0" applyFill="1" applyAlignment="1">
      <alignment horizontal="center"/>
    </xf>
    <xf numFmtId="0" fontId="16" fillId="7" borderId="0" xfId="0" applyFont="1" applyFill="1" applyBorder="1" applyAlignment="1">
      <alignment vertical="center"/>
    </xf>
    <xf numFmtId="0" fontId="16" fillId="6" borderId="0" xfId="0" applyFont="1" applyFill="1" applyBorder="1" applyAlignment="1">
      <alignment vertical="center"/>
    </xf>
  </cellXfs>
  <cellStyles count="16">
    <cellStyle name="Bad" xfId="14" builtinId="27"/>
    <cellStyle name="Comma 2" xfId="13" xr:uid="{00000000-0005-0000-0000-000001000000}"/>
    <cellStyle name="Followed Hyperlink" xfId="9" builtinId="9" hidden="1"/>
    <cellStyle name="Followed Hyperlink" xfId="10" builtinId="9" hidden="1"/>
    <cellStyle name="Followed Hyperlink" xfId="11" builtinId="9" hidden="1"/>
    <cellStyle name="Followed Hyperlink" xfId="12" builtinId="9" hidden="1"/>
    <cellStyle name="Hyperlink" xfId="1" builtinId="8"/>
    <cellStyle name="Hyperlink 2" xfId="8" xr:uid="{00000000-0005-0000-0000-000007000000}"/>
    <cellStyle name="Normal" xfId="0" builtinId="0"/>
    <cellStyle name="Normal 222" xfId="2" xr:uid="{00000000-0005-0000-0000-000009000000}"/>
    <cellStyle name="Normal 3" xfId="6" xr:uid="{00000000-0005-0000-0000-00000A000000}"/>
    <cellStyle name="Normal 3 2" xfId="15" xr:uid="{00000000-0005-0000-0000-00000B000000}"/>
    <cellStyle name="Normal 4" xfId="7" xr:uid="{00000000-0005-0000-0000-00000C000000}"/>
    <cellStyle name="Standaard 2" xfId="3" xr:uid="{00000000-0005-0000-0000-00000D000000}"/>
    <cellStyle name="Standaard 3" xfId="5" xr:uid="{00000000-0005-0000-0000-00000E000000}"/>
    <cellStyle name="Standaard 4" xfId="4" xr:uid="{00000000-0005-0000-0000-00000F000000}"/>
  </cellStyles>
  <dxfs count="242">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0"/>
        <name val="Corbel"/>
        <scheme val="none"/>
      </font>
      <fill>
        <patternFill patternType="solid">
          <fgColor indexed="64"/>
          <bgColor rgb="FF00B050"/>
        </patternFill>
      </fill>
      <alignment horizontal="general" vertical="center" textRotation="0" wrapText="1" indent="0" justifyLastLine="0" shrinkToFit="0" readingOrder="0"/>
      <border diagonalUp="0" diagonalDown="0" outline="0">
        <left style="thin">
          <color theme="0"/>
        </left>
        <right style="thin">
          <color theme="0"/>
        </right>
        <top/>
        <bottom/>
      </border>
    </dxf>
  </dxfs>
  <tableStyles count="0" defaultTableStyle="TableStyleMedium2" defaultPivotStyle="PivotStyleLight16"/>
  <colors>
    <mruColors>
      <color rgb="FF004BFF"/>
      <color rgb="FFFF6600"/>
      <color rgb="FF02889E"/>
      <color rgb="FFFFBD02"/>
      <color rgb="FF808080"/>
      <color rgb="FF999999"/>
      <color rgb="FF6448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590549</xdr:colOff>
      <xdr:row>3</xdr:row>
      <xdr:rowOff>190498</xdr:rowOff>
    </xdr:from>
    <xdr:to>
      <xdr:col>19</xdr:col>
      <xdr:colOff>9525</xdr:colOff>
      <xdr:row>29</xdr:row>
      <xdr:rowOff>169332</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90549" y="761998"/>
          <a:ext cx="11001376" cy="49508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Overview</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This dataset covers all projects worldwide that have been commissioned since 2000 for the production of hydrogen for energy or climate change mitigation purposes, i.e. their objective is either to reduce the emissions associated with the production of hydrogen for existing applications, or the introduction of hydrogen as an energy carrier or industrial feedstock in new applications where it is not currently widely used, and has the potential to be a low-carbon  technology option. Projects in planning or construction are also included.</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Projects are categorised by the production technology (electrolysis; fossil fuels with carbon capture, utilisation and storage; other technologies), the hydrogen-based fuel produced (hydrogen, methanol, ammonia, methane, synthetic hydrocarbons) and the use of the fuel produced</a:t>
          </a:r>
          <a:r>
            <a:rPr lang="en-GB" sz="950" b="0" i="0" baseline="0">
              <a:solidFill>
                <a:srgbClr val="808080"/>
              </a:solidFill>
              <a:effectLst/>
              <a:latin typeface="Corbel" panose="020B0503020204020204" pitchFamily="34" charset="0"/>
              <a:ea typeface="+mn-ea"/>
              <a:cs typeface="+mn-cs"/>
            </a:rPr>
            <a:t>. </a:t>
          </a:r>
        </a:p>
        <a:p>
          <a:pPr algn="just">
            <a:lnSpc>
              <a:spcPts val="1300"/>
            </a:lnSpc>
            <a:spcAft>
              <a:spcPts val="600"/>
            </a:spcAft>
          </a:pPr>
          <a:endParaRPr lang="en-GB" sz="950" b="0" i="0" baseline="0">
            <a:solidFill>
              <a:schemeClr val="dk1"/>
            </a:solidFill>
            <a:effectLst/>
            <a:latin typeface="Corbel" panose="020B0503020204020204" pitchFamily="34" charset="0"/>
            <a:ea typeface="+mn-ea"/>
            <a:cs typeface="+mn-cs"/>
          </a:endParaRPr>
        </a:p>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Data sources </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This database is an update from the first database published along with the report "The future of hydrogen. Seizing today’s opportunities".</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Data collection and processing by IEA. IEA wants to acknowledge the generous support from the IEA Hydrogen Technology Collaboration Programme and other different stakeholders that kindly provided information for the preparation of the database.</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We encourage and welcome contributions from all stakeholders where additions and changes are required. Please contact hydrogen@iea.org  </a:t>
          </a:r>
          <a:endParaRPr lang="en-GB" sz="1100" b="1" i="0" u="none" strike="noStrike">
            <a:solidFill>
              <a:srgbClr val="808080"/>
            </a:solidFill>
            <a:effectLst/>
            <a:latin typeface="Corbel" panose="020B0503020204020204" pitchFamily="34" charset="0"/>
            <a:ea typeface="Times New Roman"/>
            <a:cs typeface="Times New Roman"/>
          </a:endParaRP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chemeClr val="dk1"/>
              </a:solidFill>
              <a:effectLst/>
              <a:latin typeface="Corbel" panose="020B0503020204020204" pitchFamily="34" charset="0"/>
              <a:ea typeface="+mn-ea"/>
              <a:cs typeface="+mn-cs"/>
            </a:rPr>
            <a:t> </a:t>
          </a:r>
        </a:p>
        <a:p>
          <a:pPr marL="0" marR="0" lvl="0" indent="0" algn="just" defTabSz="914400" eaLnBrk="1" fontAlgn="auto" latinLnBrk="0" hangingPunct="1">
            <a:lnSpc>
              <a:spcPts val="1300"/>
            </a:lnSpc>
            <a:spcBef>
              <a:spcPts val="0"/>
            </a:spcBef>
            <a:spcAft>
              <a:spcPts val="600"/>
            </a:spcAft>
            <a:buClrTx/>
            <a:buSzTx/>
            <a:buFontTx/>
            <a:buNone/>
            <a:tabLst/>
            <a:defRPr/>
          </a:pPr>
          <a:r>
            <a:rPr lang="en-GB" sz="1100" b="1" i="0" u="none" strike="noStrike">
              <a:solidFill>
                <a:srgbClr val="004BFF"/>
              </a:solidFill>
              <a:effectLst/>
              <a:latin typeface="Corbel" panose="020B0503020204020204" pitchFamily="34" charset="0"/>
              <a:ea typeface="Times New Roman"/>
              <a:cs typeface="Times New Roman"/>
            </a:rPr>
            <a:t>IEA (2021). All rights reserved</a:t>
          </a:r>
        </a:p>
        <a:p>
          <a:pPr marL="0" marR="0" lvl="0" indent="0" algn="just" defTabSz="914400" eaLnBrk="1" fontAlgn="auto" latinLnBrk="0" hangingPunct="1">
            <a:lnSpc>
              <a:spcPts val="1300"/>
            </a:lnSpc>
            <a:spcBef>
              <a:spcPts val="0"/>
            </a:spcBef>
            <a:spcAft>
              <a:spcPts val="600"/>
            </a:spcAft>
            <a:buClrTx/>
            <a:buSzTx/>
            <a:buFontTx/>
            <a:buNone/>
            <a:tabLst/>
            <a:defRPr/>
          </a:pPr>
          <a:endParaRPr lang="en-GB" sz="1100" b="1" i="0" u="none" strike="noStrike">
            <a:solidFill>
              <a:srgbClr val="004BFF"/>
            </a:solidFill>
            <a:effectLst/>
            <a:latin typeface="Corbel" panose="020B0503020204020204" pitchFamily="34" charset="0"/>
            <a:ea typeface="Times New Roman"/>
            <a:cs typeface="Times New Roman"/>
          </a:endParaRPr>
        </a:p>
        <a:p>
          <a:r>
            <a:rPr lang="en-GB" sz="950" i="0" baseline="0">
              <a:solidFill>
                <a:srgbClr val="808080"/>
              </a:solidFill>
              <a:effectLst/>
              <a:latin typeface="Corbel" panose="020B0503020204020204" pitchFamily="34" charset="0"/>
              <a:ea typeface="Calibri"/>
              <a:cs typeface="Times New Roman"/>
            </a:rPr>
            <a:t>Please note that this publication is subject to specific restrictions that limit its use and distribution. The terms and conditions are available online at </a:t>
          </a:r>
          <a:r>
            <a:rPr lang="en-GB" sz="950" i="0" baseline="0">
              <a:solidFill>
                <a:srgbClr val="808080"/>
              </a:solidFill>
              <a:effectLst/>
              <a:latin typeface="Corbel" panose="020B0503020204020204" pitchFamily="34" charset="0"/>
              <a:ea typeface="Calibri"/>
              <a:cs typeface="Times New Roman"/>
              <a:hlinkClick xmlns:r="http://schemas.openxmlformats.org/officeDocument/2006/relationships" r:id=""/>
            </a:rPr>
            <a:t>www.iea.org/t&amp;c/</a:t>
          </a:r>
          <a:endParaRPr lang="en-GB" sz="950" i="0" baseline="0">
            <a:solidFill>
              <a:srgbClr val="808080"/>
            </a:solidFill>
            <a:effectLst/>
            <a:latin typeface="Corbel" panose="020B0503020204020204" pitchFamily="34" charset="0"/>
            <a:ea typeface="Calibri"/>
            <a:cs typeface="Times New Roman"/>
          </a:endParaRPr>
        </a:p>
        <a:p>
          <a:r>
            <a:rPr lang="en-GB" sz="950" i="0" baseline="0">
              <a:solidFill>
                <a:srgbClr val="808080"/>
              </a:solidFill>
              <a:effectLst/>
              <a:latin typeface="Corbel" panose="020B0503020204020204" pitchFamily="34" charset="0"/>
              <a:ea typeface="Calibri"/>
              <a:cs typeface="Times New Roman"/>
            </a:rPr>
            <a:t> </a:t>
          </a:r>
        </a:p>
        <a:p>
          <a:r>
            <a:rPr lang="en-GB" sz="950" i="0" baseline="0">
              <a:solidFill>
                <a:srgbClr val="808080"/>
              </a:solidFill>
              <a:effectLst/>
              <a:latin typeface="Corbel" panose="020B0503020204020204" pitchFamily="34" charset="0"/>
              <a:ea typeface="Calibri"/>
              <a:cs typeface="Times New Roman"/>
            </a:rPr>
            <a:t>This database may be cited as follows: </a:t>
          </a:r>
        </a:p>
        <a:p>
          <a:r>
            <a:rPr lang="en-GB" sz="950" i="0" baseline="0">
              <a:solidFill>
                <a:srgbClr val="808080"/>
              </a:solidFill>
              <a:effectLst/>
              <a:latin typeface="Corbel" panose="020B0503020204020204" pitchFamily="34" charset="0"/>
              <a:ea typeface="Calibri"/>
              <a:cs typeface="Times New Roman"/>
            </a:rPr>
            <a:t> </a:t>
          </a:r>
        </a:p>
        <a:p>
          <a:r>
            <a:rPr lang="en-GB" sz="950" i="0" baseline="0">
              <a:solidFill>
                <a:srgbClr val="808080"/>
              </a:solidFill>
              <a:effectLst/>
              <a:latin typeface="Corbel" panose="020B0503020204020204" pitchFamily="34" charset="0"/>
              <a:ea typeface="Calibri"/>
              <a:cs typeface="Times New Roman"/>
            </a:rPr>
            <a:t>Source: IEA (2021), Hydrogen Projects Database, </a:t>
          </a:r>
          <a:r>
            <a:rPr lang="en-GB" sz="950" i="0" baseline="0">
              <a:solidFill>
                <a:srgbClr val="808080"/>
              </a:solidFill>
              <a:effectLst/>
              <a:latin typeface="Corbel" panose="020B0503020204020204" pitchFamily="34" charset="0"/>
              <a:ea typeface="Calibri"/>
              <a:cs typeface="Times New Roman"/>
              <a:hlinkClick xmlns:r="http://schemas.openxmlformats.org/officeDocument/2006/relationships" r:id=""/>
            </a:rPr>
            <a:t>https://www.iea.org/reports/hydrogen-projects-database</a:t>
          </a:r>
          <a:r>
            <a:rPr lang="en-GB" sz="950" i="0" baseline="0">
              <a:solidFill>
                <a:srgbClr val="808080"/>
              </a:solidFill>
              <a:effectLst/>
              <a:latin typeface="Corbel" panose="020B0503020204020204" pitchFamily="34" charset="0"/>
              <a:ea typeface="Calibri"/>
              <a:cs typeface="Times New Roman"/>
            </a:rPr>
            <a:t>. All rights reserved. </a:t>
          </a:r>
        </a:p>
        <a:p>
          <a:pPr marL="0" marR="0" lvl="0" indent="0" algn="just" defTabSz="914400" eaLnBrk="1" fontAlgn="auto" latinLnBrk="0" hangingPunct="1">
            <a:lnSpc>
              <a:spcPts val="1300"/>
            </a:lnSpc>
            <a:spcBef>
              <a:spcPts val="0"/>
            </a:spcBef>
            <a:spcAft>
              <a:spcPts val="600"/>
            </a:spcAft>
            <a:buClrTx/>
            <a:buSzTx/>
            <a:buFontTx/>
            <a:buNone/>
            <a:tabLst/>
            <a:defRPr/>
          </a:pPr>
          <a:endParaRPr lang="en-GB" sz="1100" b="1" i="0" u="none" strike="noStrike">
            <a:solidFill>
              <a:srgbClr val="004BFF"/>
            </a:solidFill>
            <a:effectLst/>
            <a:latin typeface="Corbel" panose="020B0503020204020204" pitchFamily="34" charset="0"/>
            <a:ea typeface="Times New Roman"/>
            <a:cs typeface="Times New Roman"/>
          </a:endParaRPr>
        </a:p>
      </xdr:txBody>
    </xdr:sp>
    <xdr:clientData/>
  </xdr:twoCellAnchor>
  <xdr:twoCellAnchor editAs="oneCell">
    <xdr:from>
      <xdr:col>0</xdr:col>
      <xdr:colOff>0</xdr:colOff>
      <xdr:row>0</xdr:row>
      <xdr:rowOff>0</xdr:rowOff>
    </xdr:from>
    <xdr:to>
      <xdr:col>3</xdr:col>
      <xdr:colOff>306045</xdr:colOff>
      <xdr:row>1048576</xdr:row>
      <xdr:rowOff>708461</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34845"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590549</xdr:colOff>
      <xdr:row>4</xdr:row>
      <xdr:rowOff>4856</xdr:rowOff>
    </xdr:from>
    <xdr:to>
      <xdr:col>23</xdr:col>
      <xdr:colOff>190500</xdr:colOff>
      <xdr:row>89</xdr:row>
      <xdr:rowOff>11906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590549" y="766856"/>
          <a:ext cx="13620751" cy="162066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ts val="1300"/>
            </a:lnSpc>
            <a:spcAft>
              <a:spcPts val="600"/>
            </a:spcAft>
          </a:pPr>
          <a:r>
            <a:rPr lang="en-GB" sz="1100" b="1">
              <a:solidFill>
                <a:srgbClr val="004BFF"/>
              </a:solidFill>
              <a:effectLst/>
              <a:latin typeface="Corbel" panose="020B0503020204020204" pitchFamily="34" charset="0"/>
              <a:ea typeface="Times New Roman" panose="02020603050405020304" pitchFamily="18" charset="0"/>
            </a:rPr>
            <a:t>Hydrogen supply technologies</a:t>
          </a:r>
          <a:endParaRPr lang="en-GB" sz="1200">
            <a:solidFill>
              <a:srgbClr val="004BFF"/>
            </a:solidFill>
            <a:effectLst/>
            <a:latin typeface="Times New Roman" panose="02020603050405020304" pitchFamily="18" charset="0"/>
            <a:ea typeface="Times New Roman" panose="02020603050405020304" pitchFamily="18" charset="0"/>
          </a:endParaRPr>
        </a:p>
        <a:p>
          <a:pPr algn="just">
            <a:lnSpc>
              <a:spcPts val="1300"/>
            </a:lnSpc>
            <a:spcAft>
              <a:spcPts val="600"/>
            </a:spcAft>
          </a:pPr>
          <a:r>
            <a:rPr lang="en-GB" sz="1100">
              <a:solidFill>
                <a:srgbClr val="004BFF"/>
              </a:solidFill>
              <a:effectLst/>
              <a:latin typeface="Corbel" panose="020B0503020204020204" pitchFamily="34" charset="0"/>
              <a:ea typeface="Times New Roman" panose="02020603050405020304" pitchFamily="18" charset="0"/>
            </a:rPr>
            <a:t>Water electrolysis</a:t>
          </a:r>
          <a:endParaRPr lang="en-GB" sz="1200">
            <a:solidFill>
              <a:srgbClr val="004BFF"/>
            </a:solidFill>
            <a:effectLst/>
            <a:latin typeface="Times New Roman" panose="02020603050405020304" pitchFamily="18" charset="0"/>
            <a:ea typeface="Times New Roman" panose="02020603050405020304" pitchFamily="18" charset="0"/>
          </a:endParaRPr>
        </a:p>
        <a:p>
          <a:pPr>
            <a:spcAft>
              <a:spcPts val="0"/>
            </a:spcAft>
          </a:pPr>
          <a:r>
            <a:rPr lang="en-GB" sz="110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ALK			Alkaline electrolysis</a:t>
          </a:r>
          <a:endParaRPr lang="en-GB" sz="1200">
            <a:solidFill>
              <a:srgbClr val="808080"/>
            </a:solidFill>
            <a:effectLst/>
            <a:latin typeface="Times New Roman" panose="02020603050405020304" pitchFamily="18" charset="0"/>
            <a:ea typeface="Times New Roman" panose="02020603050405020304" pitchFamily="18" charset="0"/>
          </a:endParaRPr>
        </a:p>
        <a:p>
          <a:pPr>
            <a:spcAft>
              <a:spcPts val="0"/>
            </a:spcAft>
          </a:pPr>
          <a:r>
            <a:rPr lang="en-GB" sz="110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PEM			Proton exchange membrane electrolysis</a:t>
          </a:r>
          <a:endParaRPr lang="en-GB" sz="1200">
            <a:solidFill>
              <a:srgbClr val="808080"/>
            </a:solidFill>
            <a:effectLst/>
            <a:latin typeface="Times New Roman" panose="02020603050405020304" pitchFamily="18" charset="0"/>
            <a:ea typeface="Times New Roman" panose="02020603050405020304" pitchFamily="18" charset="0"/>
          </a:endParaRPr>
        </a:p>
        <a:p>
          <a:pPr>
            <a:spcAft>
              <a:spcPts val="0"/>
            </a:spcAft>
          </a:pPr>
          <a:r>
            <a:rPr lang="en-GB" sz="110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SOEC			Solid oxide electrolysis cells</a:t>
          </a:r>
          <a:endParaRPr lang="en-GB" sz="1200">
            <a:solidFill>
              <a:srgbClr val="808080"/>
            </a:solidFill>
            <a:effectLst/>
            <a:latin typeface="Times New Roman" panose="02020603050405020304" pitchFamily="18" charset="0"/>
            <a:ea typeface="Times New Roman" panose="02020603050405020304" pitchFamily="18" charset="0"/>
          </a:endParaRPr>
        </a:p>
        <a:p>
          <a:pPr>
            <a:spcAft>
              <a:spcPts val="0"/>
            </a:spcAft>
          </a:pPr>
          <a:r>
            <a:rPr lang="en-GB" sz="110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Unknown PtX			Undisclosed electrolysis type</a:t>
          </a:r>
          <a:endParaRPr lang="en-GB" sz="1200">
            <a:solidFill>
              <a:srgbClr val="808080"/>
            </a:solidFill>
            <a:effectLst/>
            <a:latin typeface="Times New Roman" panose="02020603050405020304" pitchFamily="18" charset="0"/>
            <a:ea typeface="Times New Roman" panose="02020603050405020304" pitchFamily="18" charset="0"/>
          </a:endParaRPr>
        </a:p>
        <a:p>
          <a:pPr>
            <a:spcAft>
              <a:spcPts val="0"/>
            </a:spcAft>
          </a:pPr>
          <a:r>
            <a:rPr lang="en-GB" sz="1100">
              <a:solidFill>
                <a:srgbClr val="000000"/>
              </a:solidFill>
              <a:effectLst/>
              <a:latin typeface="Corbel" panose="020B0503020204020204" pitchFamily="34" charset="0"/>
              <a:ea typeface="Times New Roman" panose="02020603050405020304" pitchFamily="18" charset="0"/>
              <a:cs typeface="Times New Roman" panose="02020603050405020304" pitchFamily="18" charset="0"/>
            </a:rPr>
            <a:t> </a:t>
          </a:r>
          <a:endParaRPr lang="en-GB" sz="1200">
            <a:effectLst/>
            <a:latin typeface="Times New Roman" panose="02020603050405020304" pitchFamily="18" charset="0"/>
            <a:ea typeface="Times New Roman" panose="02020603050405020304" pitchFamily="18" charset="0"/>
          </a:endParaRPr>
        </a:p>
        <a:p>
          <a:pPr>
            <a:spcAft>
              <a:spcPts val="0"/>
            </a:spcAft>
          </a:pPr>
          <a:r>
            <a:rPr lang="en-GB" sz="1100">
              <a:solidFill>
                <a:srgbClr val="004BFF"/>
              </a:solidFill>
              <a:effectLst/>
              <a:latin typeface="Corbel" panose="020B0503020204020204" pitchFamily="34" charset="0"/>
              <a:ea typeface="Times New Roman" panose="02020603050405020304" pitchFamily="18" charset="0"/>
            </a:rPr>
            <a:t>Fossil fuel with CO</a:t>
          </a:r>
          <a:r>
            <a:rPr lang="en-GB" sz="1100" baseline="-25000">
              <a:solidFill>
                <a:srgbClr val="004BFF"/>
              </a:solidFill>
              <a:effectLst/>
              <a:latin typeface="Corbel" panose="020B0503020204020204" pitchFamily="34" charset="0"/>
              <a:ea typeface="Times New Roman" panose="02020603050405020304" pitchFamily="18" charset="0"/>
            </a:rPr>
            <a:t>2</a:t>
          </a:r>
          <a:r>
            <a:rPr lang="en-GB" sz="1100">
              <a:solidFill>
                <a:srgbClr val="004BFF"/>
              </a:solidFill>
              <a:effectLst/>
              <a:latin typeface="Corbel" panose="020B0503020204020204" pitchFamily="34" charset="0"/>
              <a:ea typeface="Times New Roman" panose="02020603050405020304" pitchFamily="18" charset="0"/>
            </a:rPr>
            <a:t> capture </a:t>
          </a:r>
          <a:endParaRPr lang="en-GB" sz="1200">
            <a:solidFill>
              <a:srgbClr val="004BFF"/>
            </a:solidFill>
            <a:effectLst/>
            <a:latin typeface="Times New Roman" panose="02020603050405020304" pitchFamily="18" charset="0"/>
            <a:ea typeface="Times New Roman" panose="02020603050405020304" pitchFamily="18" charset="0"/>
          </a:endParaRPr>
        </a:p>
        <a:p>
          <a:pPr marL="914400" indent="-914400">
            <a:spcAft>
              <a:spcPts val="0"/>
            </a:spcAft>
          </a:pPr>
          <a:endParaRPr lang="en-GB" sz="1100">
            <a:solidFill>
              <a:srgbClr val="000000"/>
            </a:solidFill>
            <a:effectLst/>
            <a:latin typeface="Corbel" panose="020B0503020204020204" pitchFamily="34" charset="0"/>
            <a:ea typeface="Times New Roman" panose="02020603050405020304" pitchFamily="18" charset="0"/>
            <a:cs typeface="Times New Roman" panose="02020603050405020304" pitchFamily="18" charset="0"/>
          </a:endParaRPr>
        </a:p>
        <a:p>
          <a:pPr marL="914400" marR="0" lvl="0" indent="-914400" defTabSz="914400" eaLnBrk="1" fontAlgn="auto" latinLnBrk="0" hangingPunct="1">
            <a:lnSpc>
              <a:spcPct val="100000"/>
            </a:lnSpc>
            <a:spcBef>
              <a:spcPts val="0"/>
            </a:spcBef>
            <a:spcAft>
              <a:spcPts val="0"/>
            </a:spcAft>
            <a:buClrTx/>
            <a:buSzTx/>
            <a:buFontTx/>
            <a:buNone/>
            <a:tabLst/>
            <a:defRPr/>
          </a:pPr>
          <a:r>
            <a:rPr lang="en-GB" sz="1100">
              <a:solidFill>
                <a:srgbClr val="808080"/>
              </a:solidFill>
              <a:effectLst/>
              <a:latin typeface="+mn-lt"/>
              <a:ea typeface="+mn-ea"/>
              <a:cs typeface="+mn-cs"/>
            </a:rPr>
            <a:t>Coal</a:t>
          </a:r>
          <a:r>
            <a:rPr lang="en-GB" sz="1100" baseline="0">
              <a:solidFill>
                <a:srgbClr val="808080"/>
              </a:solidFill>
              <a:effectLst/>
              <a:latin typeface="+mn-lt"/>
              <a:ea typeface="+mn-ea"/>
              <a:cs typeface="+mn-cs"/>
            </a:rPr>
            <a:t> w </a:t>
          </a:r>
          <a:r>
            <a:rPr lang="en-GB" sz="1100">
              <a:solidFill>
                <a:srgbClr val="808080"/>
              </a:solidFill>
              <a:effectLst/>
              <a:latin typeface="+mn-lt"/>
              <a:ea typeface="+mn-ea"/>
              <a:cs typeface="+mn-cs"/>
            </a:rPr>
            <a:t>CCUS			Hydrogen production from coal gasification (all</a:t>
          </a:r>
          <a:r>
            <a:rPr lang="en-GB" sz="1100" baseline="0">
              <a:solidFill>
                <a:srgbClr val="808080"/>
              </a:solidFill>
              <a:effectLst/>
              <a:latin typeface="+mn-lt"/>
              <a:ea typeface="+mn-ea"/>
              <a:cs typeface="+mn-cs"/>
            </a:rPr>
            <a:t> types of coals and derivatives</a:t>
          </a:r>
          <a:r>
            <a:rPr lang="en-GB" sz="1100">
              <a:solidFill>
                <a:srgbClr val="808080"/>
              </a:solidFill>
              <a:effectLst/>
              <a:latin typeface="+mn-lt"/>
              <a:ea typeface="+mn-ea"/>
              <a:cs typeface="+mn-cs"/>
            </a:rPr>
            <a:t>) coupled with CO</a:t>
          </a:r>
          <a:r>
            <a:rPr lang="en-GB" sz="1100" baseline="-25000">
              <a:solidFill>
                <a:srgbClr val="808080"/>
              </a:solidFill>
              <a:effectLst/>
              <a:latin typeface="+mn-lt"/>
              <a:ea typeface="+mn-ea"/>
              <a:cs typeface="+mn-cs"/>
            </a:rPr>
            <a:t>2</a:t>
          </a:r>
          <a:r>
            <a:rPr lang="en-GB" sz="1100">
              <a:solidFill>
                <a:srgbClr val="808080"/>
              </a:solidFill>
              <a:effectLst/>
              <a:latin typeface="+mn-lt"/>
              <a:ea typeface="+mn-ea"/>
              <a:cs typeface="+mn-cs"/>
            </a:rPr>
            <a:t> capture, utilisation and storage</a:t>
          </a:r>
          <a:endParaRPr lang="en-GB">
            <a:solidFill>
              <a:srgbClr val="808080"/>
            </a:solidFill>
            <a:effectLst/>
          </a:endParaRPr>
        </a:p>
        <a:p>
          <a:pPr marL="914400" marR="0" lvl="0" indent="-914400" defTabSz="914400" eaLnBrk="1" fontAlgn="auto" latinLnBrk="0" hangingPunct="1">
            <a:lnSpc>
              <a:spcPct val="100000"/>
            </a:lnSpc>
            <a:spcBef>
              <a:spcPts val="0"/>
            </a:spcBef>
            <a:spcAft>
              <a:spcPts val="0"/>
            </a:spcAft>
            <a:buClrTx/>
            <a:buSzTx/>
            <a:buFontTx/>
            <a:buNone/>
            <a:tabLst/>
            <a:defRPr/>
          </a:pPr>
          <a:r>
            <a:rPr lang="en-GB" sz="110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NG w CCUS			</a:t>
          </a:r>
          <a:r>
            <a:rPr lang="en-GB" sz="1100">
              <a:solidFill>
                <a:srgbClr val="808080"/>
              </a:solidFill>
              <a:effectLst/>
              <a:latin typeface="+mn-lt"/>
              <a:ea typeface="+mn-ea"/>
              <a:cs typeface="+mn-cs"/>
            </a:rPr>
            <a:t>Hydrogen production from natural gas reforming (steam reforming, autothermal reforming or other advanced reforming technologies) coupled with CO</a:t>
          </a:r>
          <a:r>
            <a:rPr lang="en-GB" sz="1100" baseline="-25000">
              <a:solidFill>
                <a:srgbClr val="808080"/>
              </a:solidFill>
              <a:effectLst/>
              <a:latin typeface="+mn-lt"/>
              <a:ea typeface="+mn-ea"/>
              <a:cs typeface="+mn-cs"/>
            </a:rPr>
            <a:t>2</a:t>
          </a:r>
          <a:r>
            <a:rPr lang="en-GB" sz="1100">
              <a:solidFill>
                <a:srgbClr val="808080"/>
              </a:solidFill>
              <a:effectLst/>
              <a:latin typeface="+mn-lt"/>
              <a:ea typeface="+mn-ea"/>
              <a:cs typeface="+mn-cs"/>
            </a:rPr>
            <a:t> capture, utilisation and storage</a:t>
          </a:r>
        </a:p>
        <a:p>
          <a:pPr marL="914400" indent="-914400">
            <a:spcAft>
              <a:spcPts val="0"/>
            </a:spcAft>
          </a:pPr>
          <a:r>
            <a:rPr lang="en-GB" sz="1100">
              <a:solidFill>
                <a:srgbClr val="808080"/>
              </a:solidFill>
              <a:effectLst/>
              <a:latin typeface="+mn-lt"/>
              <a:ea typeface="+mn-ea"/>
              <a:cs typeface="+mn-cs"/>
            </a:rPr>
            <a:t>Oil w CCUS			Hydrogen production from oil-based processes (reforming, cracking or gasification of oil products) coupled with CO</a:t>
          </a:r>
          <a:r>
            <a:rPr lang="en-GB" sz="1100" baseline="-25000">
              <a:solidFill>
                <a:srgbClr val="808080"/>
              </a:solidFill>
              <a:effectLst/>
              <a:latin typeface="+mn-lt"/>
              <a:ea typeface="+mn-ea"/>
              <a:cs typeface="+mn-cs"/>
            </a:rPr>
            <a:t>2 </a:t>
          </a:r>
          <a:r>
            <a:rPr lang="en-GB" sz="1100">
              <a:solidFill>
                <a:srgbClr val="808080"/>
              </a:solidFill>
              <a:effectLst/>
              <a:latin typeface="+mn-lt"/>
              <a:ea typeface="+mn-ea"/>
              <a:cs typeface="+mn-cs"/>
            </a:rPr>
            <a:t>capture,</a:t>
          </a:r>
          <a:r>
            <a:rPr lang="en-GB" sz="1100" baseline="0">
              <a:solidFill>
                <a:srgbClr val="808080"/>
              </a:solidFill>
              <a:effectLst/>
              <a:latin typeface="+mn-lt"/>
              <a:ea typeface="+mn-ea"/>
              <a:cs typeface="+mn-cs"/>
            </a:rPr>
            <a:t> </a:t>
          </a:r>
          <a:r>
            <a:rPr lang="en-GB" sz="1100">
              <a:solidFill>
                <a:srgbClr val="808080"/>
              </a:solidFill>
              <a:effectLst/>
              <a:latin typeface="+mn-lt"/>
              <a:ea typeface="+mn-ea"/>
              <a:cs typeface="+mn-cs"/>
            </a:rPr>
            <a:t>utilisation and storage</a:t>
          </a:r>
        </a:p>
        <a:p>
          <a:endParaRPr lang="en-GB">
            <a:solidFill>
              <a:srgbClr val="808080"/>
            </a:solidFill>
            <a:effectLst/>
          </a:endParaRPr>
        </a:p>
        <a:p>
          <a:pPr marL="0" indent="0">
            <a:spcAft>
              <a:spcPts val="0"/>
            </a:spcAft>
          </a:pPr>
          <a:r>
            <a:rPr lang="en-GB" sz="1100">
              <a:solidFill>
                <a:srgbClr val="004BFF"/>
              </a:solidFill>
              <a:effectLst/>
              <a:latin typeface="Corbel" panose="020B0503020204020204" pitchFamily="34" charset="0"/>
              <a:ea typeface="Times New Roman" panose="02020603050405020304" pitchFamily="18" charset="0"/>
              <a:cs typeface="+mn-cs"/>
            </a:rPr>
            <a:t>Biomass</a:t>
          </a:r>
        </a:p>
        <a:p>
          <a:endParaRPr lang="en-GB" sz="1100">
            <a:solidFill>
              <a:schemeClr val="dk1"/>
            </a:solidFill>
            <a:effectLst/>
            <a:latin typeface="+mn-lt"/>
            <a:ea typeface="+mn-ea"/>
            <a:cs typeface="+mn-cs"/>
          </a:endParaRPr>
        </a:p>
        <a:p>
          <a:r>
            <a:rPr lang="en-GB" sz="1100">
              <a:solidFill>
                <a:srgbClr val="808080"/>
              </a:solidFill>
              <a:effectLst/>
              <a:latin typeface="+mn-lt"/>
              <a:ea typeface="+mn-ea"/>
              <a:cs typeface="+mn-cs"/>
            </a:rPr>
            <a:t>This category groups biomass-based technologies </a:t>
          </a:r>
          <a:r>
            <a:rPr lang="en-GB" sz="1100" baseline="0">
              <a:solidFill>
                <a:srgbClr val="808080"/>
              </a:solidFill>
              <a:effectLst/>
              <a:latin typeface="+mn-lt"/>
              <a:ea typeface="+mn-ea"/>
              <a:cs typeface="+mn-cs"/>
            </a:rPr>
            <a:t>such as biomass or waste gasification, biogas pyrolysis, biogas reforming or membrane separation</a:t>
          </a:r>
        </a:p>
        <a:p>
          <a:endParaRPr lang="en-GB" sz="1100" baseline="0">
            <a:solidFill>
              <a:srgbClr val="808080"/>
            </a:solidFill>
            <a:effectLst/>
            <a:latin typeface="+mn-lt"/>
            <a:ea typeface="+mn-ea"/>
            <a:cs typeface="+mn-cs"/>
          </a:endParaRPr>
        </a:p>
        <a:p>
          <a:r>
            <a:rPr lang="en-GB" sz="1100">
              <a:solidFill>
                <a:srgbClr val="004BFF"/>
              </a:solidFill>
              <a:effectLst/>
              <a:latin typeface="Corbel" panose="020B0503020204020204" pitchFamily="34" charset="0"/>
              <a:ea typeface="Times New Roman" panose="02020603050405020304" pitchFamily="18" charset="0"/>
              <a:cs typeface="+mn-cs"/>
            </a:rPr>
            <a:t>Other</a:t>
          </a:r>
        </a:p>
        <a:p>
          <a:endParaRPr lang="en-GB" sz="1100">
            <a:solidFill>
              <a:srgbClr val="808080"/>
            </a:solidFill>
            <a:effectLst/>
            <a:latin typeface="+mn-lt"/>
            <a:ea typeface="+mn-ea"/>
            <a:cs typeface="+mn-cs"/>
          </a:endParaRPr>
        </a:p>
        <a:p>
          <a:r>
            <a:rPr lang="en-GB" sz="1100">
              <a:solidFill>
                <a:srgbClr val="808080"/>
              </a:solidFill>
              <a:effectLst/>
              <a:latin typeface="+mn-lt"/>
              <a:ea typeface="+mn-ea"/>
              <a:cs typeface="+mn-cs"/>
            </a:rPr>
            <a:t>This category groups several different technologies different from those previously described, such as membrane separation from</a:t>
          </a:r>
          <a:r>
            <a:rPr lang="en-GB" sz="1100" baseline="0">
              <a:solidFill>
                <a:srgbClr val="808080"/>
              </a:solidFill>
              <a:effectLst/>
              <a:latin typeface="+mn-lt"/>
              <a:ea typeface="+mn-ea"/>
              <a:cs typeface="+mn-cs"/>
            </a:rPr>
            <a:t>  industrial residual gaseous streams</a:t>
          </a:r>
          <a:r>
            <a:rPr lang="en-GB" sz="110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	</a:t>
          </a:r>
          <a:r>
            <a:rPr lang="en-GB" sz="1100">
              <a:solidFill>
                <a:srgbClr val="000000"/>
              </a:solidFill>
              <a:effectLst/>
              <a:latin typeface="Corbel" panose="020B0503020204020204" pitchFamily="34" charset="0"/>
              <a:ea typeface="Times New Roman" panose="02020603050405020304" pitchFamily="18" charset="0"/>
              <a:cs typeface="Times New Roman" panose="02020603050405020304" pitchFamily="18" charset="0"/>
            </a:rPr>
            <a:t>	</a:t>
          </a:r>
          <a:endParaRPr lang="en-GB" sz="1200">
            <a:effectLst/>
            <a:latin typeface="Times New Roman" panose="02020603050405020304" pitchFamily="18" charset="0"/>
            <a:ea typeface="Times New Roman" panose="02020603050405020304" pitchFamily="18" charset="0"/>
          </a:endParaRPr>
        </a:p>
        <a:p>
          <a:pPr algn="just">
            <a:lnSpc>
              <a:spcPts val="1300"/>
            </a:lnSpc>
            <a:spcAft>
              <a:spcPts val="600"/>
            </a:spcAft>
          </a:pPr>
          <a:endParaRPr lang="en-GB" sz="1100" b="0" i="0" baseline="0">
            <a:solidFill>
              <a:schemeClr val="dk1"/>
            </a:solidFill>
            <a:effectLst/>
            <a:latin typeface="Corbel" panose="020B0503020204020204" pitchFamily="34" charset="0"/>
            <a:ea typeface="+mn-ea"/>
            <a:cs typeface="+mn-cs"/>
          </a:endParaRPr>
        </a:p>
        <a:p>
          <a:pPr algn="just">
            <a:lnSpc>
              <a:spcPts val="1300"/>
            </a:lnSpc>
            <a:spcAft>
              <a:spcPts val="600"/>
            </a:spcAft>
          </a:pPr>
          <a:r>
            <a:rPr lang="en-GB" sz="1100" b="1">
              <a:solidFill>
                <a:srgbClr val="004BFF"/>
              </a:solidFill>
              <a:effectLst/>
              <a:latin typeface="Corbel" panose="020B0503020204020204" pitchFamily="34" charset="0"/>
              <a:ea typeface="Times New Roman" panose="02020603050405020304" pitchFamily="18" charset="0"/>
            </a:rPr>
            <a:t>Hydrogen demand</a:t>
          </a:r>
          <a:endParaRPr lang="en-GB" sz="1200">
            <a:solidFill>
              <a:srgbClr val="004BFF"/>
            </a:solidFill>
            <a:effectLst/>
            <a:latin typeface="Times New Roman" panose="02020603050405020304" pitchFamily="18" charset="0"/>
            <a:ea typeface="Times New Roman" panose="02020603050405020304" pitchFamily="18" charset="0"/>
          </a:endParaRPr>
        </a:p>
        <a:p>
          <a:pPr algn="just">
            <a:lnSpc>
              <a:spcPts val="1300"/>
            </a:lnSpc>
            <a:spcAft>
              <a:spcPts val="600"/>
            </a:spcAft>
          </a:pPr>
          <a:r>
            <a:rPr lang="en-GB" sz="1100">
              <a:solidFill>
                <a:srgbClr val="004BFF"/>
              </a:solidFill>
              <a:effectLst/>
              <a:latin typeface="Corbel" panose="020B0503020204020204" pitchFamily="34" charset="0"/>
              <a:ea typeface="Times New Roman" panose="02020603050405020304" pitchFamily="18" charset="0"/>
            </a:rPr>
            <a:t>End-use product</a:t>
          </a:r>
          <a:endParaRPr lang="en-GB" sz="1200">
            <a:solidFill>
              <a:srgbClr val="004BFF"/>
            </a:solidFill>
            <a:effectLst/>
            <a:latin typeface="Times New Roman" panose="02020603050405020304" pitchFamily="18" charset="0"/>
            <a:ea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rgbClr val="808080"/>
              </a:solidFill>
              <a:effectLst/>
              <a:latin typeface="+mn-lt"/>
              <a:ea typeface="+mn-ea"/>
              <a:cs typeface="+mn-cs"/>
            </a:rPr>
            <a:t>CH</a:t>
          </a:r>
          <a:r>
            <a:rPr lang="en-GB" sz="1100" baseline="-25000">
              <a:solidFill>
                <a:srgbClr val="808080"/>
              </a:solidFill>
              <a:effectLst/>
              <a:latin typeface="+mn-lt"/>
              <a:ea typeface="+mn-ea"/>
              <a:cs typeface="+mn-cs"/>
            </a:rPr>
            <a:t>4</a:t>
          </a:r>
          <a:r>
            <a:rPr lang="en-GB" sz="1100">
              <a:solidFill>
                <a:srgbClr val="808080"/>
              </a:solidFill>
              <a:effectLst/>
              <a:latin typeface="+mn-lt"/>
              <a:ea typeface="+mn-ea"/>
              <a:cs typeface="+mn-cs"/>
            </a:rPr>
            <a:t> 			Synthetic methane</a:t>
          </a:r>
          <a:endParaRPr lang="en-GB">
            <a:solidFill>
              <a:srgbClr val="808080"/>
            </a:solidFill>
            <a:effectLst/>
          </a:endParaRPr>
        </a:p>
        <a:p>
          <a:pPr>
            <a:spcAft>
              <a:spcPts val="0"/>
            </a:spcAft>
          </a:pPr>
          <a:r>
            <a:rPr lang="en-GB" sz="110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H</a:t>
          </a:r>
          <a:r>
            <a:rPr lang="en-GB" sz="1100" baseline="-2500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2</a:t>
          </a:r>
          <a:r>
            <a:rPr lang="en-GB" sz="110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			Hydrogen in molecular form</a:t>
          </a:r>
        </a:p>
        <a:p>
          <a:pPr>
            <a:spcAft>
              <a:spcPts val="0"/>
            </a:spcAft>
          </a:pPr>
          <a:r>
            <a:rPr lang="en-GB" sz="110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LOHC			Liquid organic</a:t>
          </a:r>
          <a:r>
            <a:rPr lang="en-GB" sz="1100" baseline="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 hydrogen carriers</a:t>
          </a:r>
        </a:p>
        <a:p>
          <a:pPr>
            <a:spcAft>
              <a:spcPts val="0"/>
            </a:spcAft>
          </a:pPr>
          <a:r>
            <a:rPr lang="en-GB" sz="1100" baseline="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Methanol			</a:t>
          </a:r>
        </a:p>
        <a:p>
          <a:pPr>
            <a:spcAft>
              <a:spcPts val="0"/>
            </a:spcAft>
          </a:pPr>
          <a:r>
            <a:rPr lang="en-GB" sz="1100" baseline="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Ammonia</a:t>
          </a:r>
          <a:endParaRPr lang="en-GB" sz="1200" baseline="0">
            <a:solidFill>
              <a:srgbClr val="808080"/>
            </a:solidFill>
            <a:effectLst/>
            <a:latin typeface="Times New Roman" panose="02020603050405020304" pitchFamily="18" charset="0"/>
            <a:ea typeface="Times New Roman" panose="02020603050405020304" pitchFamily="18" charset="0"/>
          </a:endParaRPr>
        </a:p>
        <a:p>
          <a:pPr>
            <a:spcAft>
              <a:spcPts val="0"/>
            </a:spcAft>
          </a:pPr>
          <a:r>
            <a:rPr lang="en-GB" sz="110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Synfuels			Synthetic liquid fuels (e.g. gasoline, diesel, jetfuel equivalent)</a:t>
          </a:r>
        </a:p>
        <a:p>
          <a:pPr>
            <a:spcAft>
              <a:spcPts val="0"/>
            </a:spcAft>
          </a:pPr>
          <a:endParaRPr lang="en-GB" sz="1200">
            <a:effectLst/>
            <a:latin typeface="Times New Roman" panose="02020603050405020304" pitchFamily="18" charset="0"/>
            <a:ea typeface="Times New Roman" panose="02020603050405020304" pitchFamily="18" charset="0"/>
          </a:endParaRPr>
        </a:p>
        <a:p>
          <a:pPr>
            <a:spcAft>
              <a:spcPts val="0"/>
            </a:spcAft>
          </a:pPr>
          <a:r>
            <a:rPr lang="en-GB" sz="1100" i="0">
              <a:solidFill>
                <a:srgbClr val="004BFF"/>
              </a:solidFill>
              <a:effectLst/>
              <a:latin typeface="Corbel" panose="020B0503020204020204" pitchFamily="34" charset="0"/>
              <a:ea typeface="Times New Roman" panose="02020603050405020304" pitchFamily="18" charset="0"/>
            </a:rPr>
            <a:t>End-use</a:t>
          </a:r>
          <a:r>
            <a:rPr lang="en-GB" sz="1100" i="0" baseline="0">
              <a:solidFill>
                <a:srgbClr val="004BFF"/>
              </a:solidFill>
              <a:effectLst/>
              <a:latin typeface="Corbel" panose="020B0503020204020204" pitchFamily="34" charset="0"/>
              <a:ea typeface="Times New Roman" panose="02020603050405020304" pitchFamily="18" charset="0"/>
            </a:rPr>
            <a:t> s</a:t>
          </a:r>
          <a:r>
            <a:rPr lang="en-GB" sz="1100" i="0">
              <a:solidFill>
                <a:srgbClr val="004BFF"/>
              </a:solidFill>
              <a:effectLst/>
              <a:latin typeface="Corbel" panose="020B0503020204020204" pitchFamily="34" charset="0"/>
              <a:ea typeface="Times New Roman" panose="02020603050405020304" pitchFamily="18" charset="0"/>
            </a:rPr>
            <a:t>ector</a:t>
          </a:r>
          <a:endParaRPr lang="en-GB" sz="1200" i="0">
            <a:solidFill>
              <a:srgbClr val="004BFF"/>
            </a:solidFill>
            <a:effectLst/>
            <a:latin typeface="Times New Roman" panose="02020603050405020304" pitchFamily="18" charset="0"/>
            <a:ea typeface="Times New Roman" panose="02020603050405020304" pitchFamily="18" charset="0"/>
          </a:endParaRPr>
        </a:p>
        <a:p>
          <a:pPr>
            <a:spcAft>
              <a:spcPts val="0"/>
            </a:spcAft>
          </a:pPr>
          <a:r>
            <a:rPr lang="en-GB" sz="1100" i="0">
              <a:solidFill>
                <a:srgbClr val="808080"/>
              </a:solidFill>
              <a:effectLst/>
              <a:latin typeface="Corbel" panose="020B0503020204020204" pitchFamily="34" charset="0"/>
              <a:ea typeface="Times New Roman" panose="02020603050405020304" pitchFamily="18" charset="0"/>
            </a:rPr>
            <a:t>Refining			Use of hydrogen in refining</a:t>
          </a:r>
          <a:r>
            <a:rPr lang="en-GB" sz="1100" i="0" baseline="0">
              <a:solidFill>
                <a:srgbClr val="808080"/>
              </a:solidFill>
              <a:effectLst/>
              <a:latin typeface="Corbel" panose="020B0503020204020204" pitchFamily="34" charset="0"/>
              <a:ea typeface="Times New Roman" panose="02020603050405020304" pitchFamily="18" charset="0"/>
            </a:rPr>
            <a:t> of oil products.</a:t>
          </a:r>
          <a:endParaRPr lang="en-GB" sz="1100" i="0">
            <a:solidFill>
              <a:srgbClr val="808080"/>
            </a:solidFill>
            <a:effectLst/>
            <a:latin typeface="Corbel" panose="020B0503020204020204" pitchFamily="34" charset="0"/>
            <a:ea typeface="Times New Roman" panose="02020603050405020304" pitchFamily="18" charset="0"/>
          </a:endParaRPr>
        </a:p>
        <a:p>
          <a:pPr>
            <a:spcAft>
              <a:spcPts val="0"/>
            </a:spcAft>
          </a:pPr>
          <a:r>
            <a:rPr lang="en-GB" sz="1100" i="0">
              <a:solidFill>
                <a:srgbClr val="808080"/>
              </a:solidFill>
              <a:effectLst/>
              <a:latin typeface="Corbel" panose="020B0503020204020204" pitchFamily="34" charset="0"/>
              <a:ea typeface="Times New Roman" panose="02020603050405020304" pitchFamily="18" charset="0"/>
            </a:rPr>
            <a:t>Ammonia			Use of hydrogen in  ammonia production (includes</a:t>
          </a:r>
          <a:r>
            <a:rPr lang="en-GB" sz="1100" i="0" baseline="0">
              <a:solidFill>
                <a:srgbClr val="808080"/>
              </a:solidFill>
              <a:effectLst/>
              <a:latin typeface="Corbel" panose="020B0503020204020204" pitchFamily="34" charset="0"/>
              <a:ea typeface="Times New Roman" panose="02020603050405020304" pitchFamily="18" charset="0"/>
            </a:rPr>
            <a:t> ammonia as a chemical feedstock or as a fuel)</a:t>
          </a:r>
          <a:r>
            <a:rPr lang="en-GB" sz="1100" i="0">
              <a:solidFill>
                <a:srgbClr val="808080"/>
              </a:solidFill>
              <a:effectLst/>
              <a:latin typeface="Corbel" panose="020B0503020204020204" pitchFamily="34" charset="0"/>
              <a:ea typeface="Times New Roman" panose="02020603050405020304" pitchFamily="18" charset="0"/>
            </a:rPr>
            <a:t>.</a:t>
          </a:r>
        </a:p>
        <a:p>
          <a:pPr>
            <a:spcAft>
              <a:spcPts val="0"/>
            </a:spcAft>
          </a:pPr>
          <a:r>
            <a:rPr lang="en-GB" sz="1100" i="0">
              <a:solidFill>
                <a:srgbClr val="808080"/>
              </a:solidFill>
              <a:effectLst/>
              <a:latin typeface="Corbel" panose="020B0503020204020204" pitchFamily="34" charset="0"/>
              <a:ea typeface="Times New Roman" panose="02020603050405020304" pitchFamily="18" charset="0"/>
            </a:rPr>
            <a:t>Methanol			Use of hydrogen in methanol </a:t>
          </a:r>
          <a:r>
            <a:rPr lang="en-GB" sz="1100" i="0">
              <a:solidFill>
                <a:srgbClr val="808080"/>
              </a:solidFill>
              <a:effectLst/>
              <a:latin typeface="Corbel" panose="020B0503020204020204" pitchFamily="34" charset="0"/>
              <a:ea typeface="Times New Roman" panose="02020603050405020304" pitchFamily="18" charset="0"/>
              <a:cs typeface="+mn-cs"/>
            </a:rPr>
            <a:t>production (includes methanol as a chemical feedstock or as a fuel).</a:t>
          </a:r>
        </a:p>
        <a:p>
          <a:pPr>
            <a:spcAft>
              <a:spcPts val="0"/>
            </a:spcAft>
          </a:pPr>
          <a:r>
            <a:rPr lang="en-GB" sz="1100" i="0">
              <a:solidFill>
                <a:srgbClr val="808080"/>
              </a:solidFill>
              <a:effectLst/>
              <a:latin typeface="Corbel" panose="020B0503020204020204" pitchFamily="34" charset="0"/>
              <a:ea typeface="Times New Roman" panose="02020603050405020304" pitchFamily="18" charset="0"/>
            </a:rPr>
            <a:t>Iron &amp;Steel			Use of hydrogen in steelmaking</a:t>
          </a:r>
          <a:r>
            <a:rPr lang="en-GB" sz="1100" i="0" baseline="0">
              <a:solidFill>
                <a:srgbClr val="808080"/>
              </a:solidFill>
              <a:effectLst/>
              <a:latin typeface="Corbel" panose="020B0503020204020204" pitchFamily="34" charset="0"/>
              <a:ea typeface="Times New Roman" panose="02020603050405020304" pitchFamily="18" charset="0"/>
            </a:rPr>
            <a:t> (direct reduced iron, injection in balst furnaces, hot finishing and other high temperature processes).</a:t>
          </a:r>
          <a:endParaRPr lang="en-GB" sz="1100" i="0">
            <a:solidFill>
              <a:srgbClr val="808080"/>
            </a:solidFill>
            <a:effectLst/>
            <a:latin typeface="Corbel" panose="020B0503020204020204" pitchFamily="34" charset="0"/>
            <a:ea typeface="Times New Roman" panose="02020603050405020304" pitchFamily="18" charset="0"/>
          </a:endParaRPr>
        </a:p>
        <a:p>
          <a:pPr marL="0" indent="0">
            <a:spcAft>
              <a:spcPts val="0"/>
            </a:spcAft>
          </a:pPr>
          <a:r>
            <a:rPr lang="en-GB" sz="1100" i="0">
              <a:solidFill>
                <a:srgbClr val="808080"/>
              </a:solidFill>
              <a:effectLst/>
              <a:latin typeface="Corbel" panose="020B0503020204020204" pitchFamily="34" charset="0"/>
              <a:ea typeface="Times New Roman" panose="02020603050405020304" pitchFamily="18" charset="0"/>
              <a:cs typeface="+mn-cs"/>
            </a:rPr>
            <a:t>Other Ind			Use</a:t>
          </a:r>
          <a:r>
            <a:rPr lang="en-GB" sz="1100" i="0" baseline="0">
              <a:solidFill>
                <a:srgbClr val="808080"/>
              </a:solidFill>
              <a:effectLst/>
              <a:latin typeface="Corbel" panose="020B0503020204020204" pitchFamily="34" charset="0"/>
              <a:ea typeface="Times New Roman" panose="02020603050405020304" pitchFamily="18" charset="0"/>
              <a:cs typeface="+mn-cs"/>
            </a:rPr>
            <a:t> of hydrogen in high-temperature heat (excluding oil refining, ammonia production, methanol production and steelmaking).</a:t>
          </a:r>
          <a:endParaRPr lang="en-GB" sz="1100" i="0">
            <a:solidFill>
              <a:srgbClr val="808080"/>
            </a:solidFill>
            <a:effectLst/>
            <a:latin typeface="Corbel" panose="020B0503020204020204" pitchFamily="34" charset="0"/>
            <a:ea typeface="Times New Roman" panose="02020603050405020304" pitchFamily="18"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i="0">
              <a:solidFill>
                <a:srgbClr val="808080"/>
              </a:solidFill>
              <a:effectLst/>
              <a:latin typeface="Corbel" panose="020B0503020204020204" pitchFamily="34" charset="0"/>
              <a:ea typeface="Times New Roman" panose="02020603050405020304" pitchFamily="18" charset="0"/>
              <a:cs typeface="+mn-cs"/>
            </a:rPr>
            <a:t>Mobility			Use of hydrogen</a:t>
          </a:r>
          <a:r>
            <a:rPr lang="en-GB" sz="1100" i="0" baseline="0">
              <a:solidFill>
                <a:srgbClr val="808080"/>
              </a:solidFill>
              <a:effectLst/>
              <a:latin typeface="Corbel" panose="020B0503020204020204" pitchFamily="34" charset="0"/>
              <a:ea typeface="Times New Roman" panose="02020603050405020304" pitchFamily="18" charset="0"/>
              <a:cs typeface="+mn-cs"/>
            </a:rPr>
            <a:t> in</a:t>
          </a:r>
          <a:r>
            <a:rPr lang="en-GB" sz="1100" i="0">
              <a:solidFill>
                <a:srgbClr val="808080"/>
              </a:solidFill>
              <a:effectLst/>
              <a:latin typeface="Corbel" panose="020B0503020204020204" pitchFamily="34" charset="0"/>
              <a:ea typeface="Times New Roman" panose="02020603050405020304" pitchFamily="18" charset="0"/>
              <a:cs typeface="+mn-cs"/>
            </a:rPr>
            <a:t> vehicles (road, off-road, rail, maritime or aviation).</a:t>
          </a:r>
        </a:p>
        <a:p>
          <a:pPr marL="0" indent="0">
            <a:spcAft>
              <a:spcPts val="0"/>
            </a:spcAft>
          </a:pPr>
          <a:r>
            <a:rPr lang="en-GB" sz="1100" i="0">
              <a:solidFill>
                <a:srgbClr val="808080"/>
              </a:solidFill>
              <a:effectLst/>
              <a:latin typeface="Corbel" panose="020B0503020204020204" pitchFamily="34" charset="0"/>
              <a:ea typeface="Times New Roman" panose="02020603050405020304" pitchFamily="18" charset="0"/>
              <a:cs typeface="+mn-cs"/>
            </a:rPr>
            <a:t>Power			Use of hydrogen in the supply of electricity to the electricity grid with gas turbines, reciprocating engines</a:t>
          </a:r>
          <a:r>
            <a:rPr lang="en-GB" sz="1100" i="0" baseline="0">
              <a:solidFill>
                <a:srgbClr val="808080"/>
              </a:solidFill>
              <a:effectLst/>
              <a:latin typeface="Corbel" panose="020B0503020204020204" pitchFamily="34" charset="0"/>
              <a:ea typeface="Times New Roman" panose="02020603050405020304" pitchFamily="18" charset="0"/>
              <a:cs typeface="+mn-cs"/>
            </a:rPr>
            <a:t> or</a:t>
          </a:r>
          <a:r>
            <a:rPr lang="en-GB" sz="1100" i="0">
              <a:solidFill>
                <a:srgbClr val="808080"/>
              </a:solidFill>
              <a:effectLst/>
              <a:latin typeface="Corbel" panose="020B0503020204020204" pitchFamily="34" charset="0"/>
              <a:ea typeface="Times New Roman" panose="02020603050405020304" pitchFamily="18" charset="0"/>
              <a:cs typeface="+mn-cs"/>
            </a:rPr>
            <a:t> fuel cells.</a:t>
          </a:r>
        </a:p>
        <a:p>
          <a:pPr marL="0" indent="0">
            <a:spcAft>
              <a:spcPts val="0"/>
            </a:spcAft>
          </a:pPr>
          <a:r>
            <a:rPr lang="en-GB" sz="1100" i="0">
              <a:solidFill>
                <a:srgbClr val="808080"/>
              </a:solidFill>
              <a:effectLst/>
              <a:latin typeface="Corbel" panose="020B0503020204020204" pitchFamily="34" charset="0"/>
              <a:ea typeface="Times New Roman" panose="02020603050405020304" pitchFamily="18" charset="0"/>
              <a:cs typeface="+mn-cs"/>
            </a:rPr>
            <a:t>Grid </a:t>
          </a:r>
          <a:r>
            <a:rPr lang="en-GB" sz="1100" i="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inj.			Injection of hydrogen</a:t>
          </a:r>
          <a:r>
            <a:rPr lang="en-GB" sz="1100" i="0" baseline="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 </a:t>
          </a:r>
          <a:r>
            <a:rPr lang="en-GB" sz="1100" i="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in the natural gas grid.</a:t>
          </a:r>
          <a:r>
            <a:rPr lang="en-GB" sz="800" i="0">
              <a:solidFill>
                <a:srgbClr val="808080"/>
              </a:solidFill>
              <a:effectLst/>
              <a:latin typeface="Calibri" panose="020F0502020204030204" pitchFamily="34" charset="0"/>
              <a:ea typeface="Calibri" panose="020F0502020204030204" pitchFamily="34" charset="0"/>
              <a:cs typeface="Times New Roman" panose="02020603050405020304" pitchFamily="18" charset="0"/>
            </a:rPr>
            <a:t> </a:t>
          </a:r>
          <a:endParaRPr lang="en-GB" sz="1200" i="0">
            <a:solidFill>
              <a:srgbClr val="808080"/>
            </a:solidFill>
            <a:effectLst/>
            <a:latin typeface="Times New Roman" panose="02020603050405020304" pitchFamily="18" charset="0"/>
            <a:ea typeface="Times New Roman" panose="02020603050405020304" pitchFamily="18" charset="0"/>
          </a:endParaRPr>
        </a:p>
        <a:p>
          <a:pPr>
            <a:spcAft>
              <a:spcPts val="0"/>
            </a:spcAft>
          </a:pPr>
          <a:r>
            <a:rPr lang="en-GB" sz="1100" i="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CHP			Use of hydrogen in h</a:t>
          </a:r>
          <a:r>
            <a:rPr lang="en-GB" sz="1100" i="0">
              <a:solidFill>
                <a:srgbClr val="808080"/>
              </a:solidFill>
              <a:effectLst/>
              <a:latin typeface="+mn-lt"/>
              <a:ea typeface="+mn-ea"/>
              <a:cs typeface="+mn-cs"/>
            </a:rPr>
            <a:t>eat and power via CHPs, for example in fuel cells or turbines.</a:t>
          </a:r>
        </a:p>
        <a:p>
          <a:pPr>
            <a:spcAft>
              <a:spcPts val="0"/>
            </a:spcAft>
          </a:pPr>
          <a:r>
            <a:rPr lang="en-GB" sz="1100" i="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Domestic heat			Direct use of hydrogen in</a:t>
          </a:r>
          <a:r>
            <a:rPr lang="en-GB" sz="1100" i="0" baseline="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 building for water and space heating.</a:t>
          </a:r>
        </a:p>
        <a:p>
          <a:pPr>
            <a:spcAft>
              <a:spcPts val="0"/>
            </a:spcAft>
          </a:pPr>
          <a:r>
            <a:rPr lang="en-GB" sz="1100" i="0" baseline="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Biofuels			Use of hydrogen in biofuels production.</a:t>
          </a:r>
        </a:p>
        <a:p>
          <a:pPr>
            <a:spcAft>
              <a:spcPts val="0"/>
            </a:spcAft>
          </a:pPr>
          <a:r>
            <a:rPr lang="en-GB" sz="1100" i="0" baseline="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Synfuels			Production of synthetic liquid fuels (excluding methanol).</a:t>
          </a:r>
        </a:p>
        <a:p>
          <a:pPr>
            <a:spcAft>
              <a:spcPts val="0"/>
            </a:spcAft>
          </a:pPr>
          <a:r>
            <a:rPr lang="en-GB" sz="1100" i="0" baseline="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CH4 grid inj.			Injection of synthetic methane in the natural gas grid.</a:t>
          </a:r>
        </a:p>
        <a:p>
          <a:pPr>
            <a:spcAft>
              <a:spcPts val="0"/>
            </a:spcAft>
          </a:pPr>
          <a:r>
            <a:rPr lang="en-GB" sz="1100" i="0" baseline="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CH4 mobility</a:t>
          </a:r>
          <a:r>
            <a:rPr lang="en-GB" sz="1100" i="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		.	Use of synthetic methane in</a:t>
          </a:r>
          <a:r>
            <a:rPr lang="en-GB" sz="1100" i="0" baseline="0">
              <a:solidFill>
                <a:srgbClr val="808080"/>
              </a:solidFill>
              <a:effectLst/>
              <a:latin typeface="Corbel" panose="020B0503020204020204" pitchFamily="34" charset="0"/>
              <a:ea typeface="Times New Roman" panose="02020603050405020304" pitchFamily="18" charset="0"/>
              <a:cs typeface="Times New Roman" panose="02020603050405020304" pitchFamily="18" charset="0"/>
            </a:rPr>
            <a:t> vehicles.</a:t>
          </a:r>
          <a:endParaRPr lang="en-GB" sz="1200" i="0">
            <a:solidFill>
              <a:srgbClr val="808080"/>
            </a:solidFill>
            <a:effectLst/>
            <a:latin typeface="Times New Roman" panose="02020603050405020304" pitchFamily="18" charset="0"/>
            <a:ea typeface="Times New Roman" panose="02020603050405020304" pitchFamily="18" charset="0"/>
          </a:endParaRPr>
        </a:p>
        <a:p>
          <a:pPr marL="914400" indent="-914400">
            <a:lnSpc>
              <a:spcPct val="107000"/>
            </a:lnSpc>
            <a:spcAft>
              <a:spcPts val="800"/>
            </a:spcAft>
          </a:pPr>
          <a:endParaRPr lang="en-GB" sz="1100">
            <a:solidFill>
              <a:srgbClr val="000000"/>
            </a:solidFill>
            <a:effectLst/>
            <a:latin typeface="Corbel" panose="020B0503020204020204" pitchFamily="34" charset="0"/>
            <a:ea typeface="Times New Roman" panose="02020603050405020304" pitchFamily="18" charset="0"/>
            <a:cs typeface="Times New Roman" panose="02020603050405020304" pitchFamily="18" charset="0"/>
          </a:endParaRPr>
        </a:p>
        <a:p>
          <a:pPr marL="0" marR="0" lvl="0" indent="0" algn="just" defTabSz="914400" eaLnBrk="1" fontAlgn="auto" latinLnBrk="0" hangingPunct="1">
            <a:lnSpc>
              <a:spcPts val="1300"/>
            </a:lnSpc>
            <a:spcBef>
              <a:spcPts val="0"/>
            </a:spcBef>
            <a:spcAft>
              <a:spcPts val="600"/>
            </a:spcAft>
            <a:buClrTx/>
            <a:buSzTx/>
            <a:buFontTx/>
            <a:buNone/>
            <a:tabLst/>
            <a:defRPr/>
          </a:pPr>
          <a:r>
            <a:rPr kumimoji="0" lang="en-GB" sz="1100" b="1" i="0" u="none" strike="noStrike" kern="0" cap="none" spc="0" normalizeH="0" baseline="0" noProof="0">
              <a:ln>
                <a:noFill/>
              </a:ln>
              <a:solidFill>
                <a:srgbClr val="004BFF"/>
              </a:solidFill>
              <a:effectLst/>
              <a:uLnTx/>
              <a:uFillTx/>
              <a:latin typeface="Corbel" panose="020B0503020204020204" pitchFamily="34" charset="0"/>
              <a:ea typeface="Times New Roman"/>
              <a:cs typeface="Times New Roman"/>
            </a:rPr>
            <a:t>Estimated normalised capacity</a:t>
          </a:r>
        </a:p>
        <a:p>
          <a:pPr marL="914400" indent="-914400">
            <a:lnSpc>
              <a:spcPct val="107000"/>
            </a:lnSpc>
            <a:spcAft>
              <a:spcPts val="800"/>
            </a:spcAft>
          </a:pPr>
          <a:r>
            <a:rPr kumimoji="0" lang="en-GB" sz="1100" b="0" i="0" u="none" strike="noStrike" kern="0" cap="none" spc="0" normalizeH="0" baseline="0" noProof="0">
              <a:ln>
                <a:noFill/>
              </a:ln>
              <a:solidFill>
                <a:srgbClr val="808080"/>
              </a:solidFill>
              <a:effectLst/>
              <a:uLnTx/>
              <a:uFillTx/>
              <a:latin typeface="Corbel" panose="020B0503020204020204" pitchFamily="34" charset="0"/>
              <a:ea typeface="Times New Roman"/>
              <a:cs typeface="Times New Roman"/>
            </a:rPr>
            <a:t>For ease of comparison, estimated normalised hydrogen production capacity in MW H₂ output (LHV) is included for all Power-to-X (PtX) projects. </a:t>
          </a:r>
        </a:p>
        <a:p>
          <a:pPr>
            <a:lnSpc>
              <a:spcPct val="107000"/>
            </a:lnSpc>
            <a:spcAft>
              <a:spcPts val="800"/>
            </a:spcAft>
          </a:pPr>
          <a:r>
            <a:rPr lang="en-GB" sz="110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Where available, production capacity in </a:t>
          </a:r>
          <a:r>
            <a:rPr lang="en-GB" sz="1100">
              <a:solidFill>
                <a:srgbClr val="808080"/>
              </a:solidFill>
              <a:effectLst/>
              <a:latin typeface="+mn-lt"/>
              <a:ea typeface="+mn-ea"/>
              <a:cs typeface="+mn-cs"/>
            </a:rPr>
            <a:t>nm³ H₂/hour </a:t>
          </a:r>
          <a:r>
            <a:rPr lang="en-GB" sz="110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as quoted by the project is used. If not specified, for PtX projects this is estimated using electrolyser power ratings. The assumed conversion factors are:</a:t>
          </a:r>
        </a:p>
        <a:p>
          <a:pPr>
            <a:lnSpc>
              <a:spcPct val="107000"/>
            </a:lnSpc>
            <a:spcAft>
              <a:spcPts val="800"/>
            </a:spcAft>
          </a:pPr>
          <a:r>
            <a:rPr lang="en-GB" sz="110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	ALK: 0.0046 </a:t>
          </a:r>
          <a:r>
            <a:rPr lang="en-GB" sz="1100">
              <a:solidFill>
                <a:srgbClr val="808080"/>
              </a:solidFill>
              <a:effectLst/>
              <a:latin typeface="+mn-lt"/>
              <a:ea typeface="+mn-ea"/>
              <a:cs typeface="+mn-cs"/>
            </a:rPr>
            <a:t>MW/nm³ H₂/hour</a:t>
          </a:r>
          <a:endParaRPr lang="en-GB" sz="1100">
            <a:solidFill>
              <a:srgbClr val="808080"/>
            </a:solidFill>
            <a:effectLst/>
            <a:latin typeface="Corbel" panose="020B050302020402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	PEM: 0.0052 </a:t>
          </a:r>
          <a:r>
            <a:rPr lang="en-GB" sz="1100">
              <a:solidFill>
                <a:srgbClr val="808080"/>
              </a:solidFill>
              <a:effectLst/>
              <a:latin typeface="+mn-lt"/>
              <a:ea typeface="+mn-ea"/>
              <a:cs typeface="+mn-cs"/>
            </a:rPr>
            <a:t>MW/nm³ H₂/hour</a:t>
          </a:r>
          <a:endParaRPr lang="en-GB" sz="1100">
            <a:solidFill>
              <a:srgbClr val="808080"/>
            </a:solidFill>
            <a:effectLst/>
            <a:latin typeface="Corbel" panose="020B050302020402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	SOEC: 0.0038 MW/nm³ H₂/hour</a:t>
          </a:r>
        </a:p>
        <a:p>
          <a:pPr>
            <a:lnSpc>
              <a:spcPct val="107000"/>
            </a:lnSpc>
            <a:spcAft>
              <a:spcPts val="800"/>
            </a:spcAft>
          </a:pPr>
          <a:r>
            <a:rPr lang="en-GB" sz="110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	Unknown PtX:  0.0045 MW/nm³ H₂/hour  (equivalent to 50 kWh/kg H₂). </a:t>
          </a:r>
        </a:p>
        <a:p>
          <a:pPr>
            <a:lnSpc>
              <a:spcPct val="107000"/>
            </a:lnSpc>
            <a:spcAft>
              <a:spcPts val="800"/>
            </a:spcAft>
          </a:pPr>
          <a:r>
            <a:rPr lang="en-GB" sz="110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For production from fossil fuels with CO₂ capture, an estimate of the amount of "zero carbon"</a:t>
          </a:r>
          <a:r>
            <a:rPr lang="en-GB" sz="1100" baseline="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 hydrogen capacity is derived for simplicity. This is </a:t>
          </a:r>
          <a:r>
            <a:rPr lang="en-GB" sz="110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equivalent to the hydrogen production capacity</a:t>
          </a:r>
          <a:r>
            <a:rPr lang="en-GB" sz="1100" baseline="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 multiplied by the CO</a:t>
          </a:r>
          <a:r>
            <a:rPr lang="en-GB" sz="1100" baseline="-2500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2</a:t>
          </a:r>
          <a:r>
            <a:rPr lang="en-GB" sz="1100" baseline="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 capture rate for the whole facility. For example, a steam methane reformer (SMR) with a capacity of 100 ktH</a:t>
          </a:r>
          <a:r>
            <a:rPr lang="en-GB" sz="1100" baseline="-2500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2</a:t>
          </a:r>
          <a:r>
            <a:rPr lang="en-GB" sz="1100" baseline="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/yr and CO</a:t>
          </a:r>
          <a:r>
            <a:rPr lang="en-GB" sz="1100" baseline="-2500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2</a:t>
          </a:r>
          <a:r>
            <a:rPr lang="en-GB" sz="1100" baseline="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 capture capacity equal to 60% of the CO</a:t>
          </a:r>
          <a:r>
            <a:rPr lang="en-GB" sz="1100" baseline="-2500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2</a:t>
          </a:r>
          <a:r>
            <a:rPr lang="en-GB" sz="1100" baseline="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 output of the SMR would be considered to have capacity to produce 60 ktH</a:t>
          </a:r>
          <a:r>
            <a:rPr lang="en-GB" sz="1100" baseline="-2500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2</a:t>
          </a:r>
          <a:r>
            <a:rPr lang="en-GB" sz="1100" baseline="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/yr of zero carbon hydrogen and 40 ktH</a:t>
          </a:r>
          <a:r>
            <a:rPr lang="en-GB" sz="1100" baseline="-2500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2</a:t>
          </a:r>
          <a:r>
            <a:rPr lang="en-GB" sz="1100" baseline="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/yr of hydrogen with the CO</a:t>
          </a:r>
          <a:r>
            <a:rPr lang="en-GB" sz="1100" baseline="-2500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2</a:t>
          </a:r>
          <a:r>
            <a:rPr lang="en-GB" sz="1100" baseline="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 intensity of the SMR without CO</a:t>
          </a:r>
          <a:r>
            <a:rPr lang="en-GB" sz="1100" baseline="-2500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2</a:t>
          </a:r>
          <a:r>
            <a:rPr lang="en-GB" sz="1100" baseline="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 capture.The assumptions for specific emissions are:</a:t>
          </a:r>
        </a:p>
        <a:p>
          <a:pPr>
            <a:lnSpc>
              <a:spcPct val="107000"/>
            </a:lnSpc>
            <a:spcAft>
              <a:spcPts val="800"/>
            </a:spcAft>
          </a:pPr>
          <a:r>
            <a:rPr lang="en-GB" sz="1100" baseline="0">
              <a:solidFill>
                <a:srgbClr val="808080"/>
              </a:solidFill>
              <a:effectLst/>
              <a:latin typeface="Corbel" panose="020B0503020204020204" pitchFamily="34" charset="0"/>
              <a:ea typeface="Calibri" panose="020F0502020204030204" pitchFamily="34" charset="0"/>
              <a:cs typeface="Times New Roman" panose="02020603050405020304" pitchFamily="18" charset="0"/>
            </a:rPr>
            <a:t>	a) Natural gas fuelled plants: 0.9105 </a:t>
          </a:r>
          <a:r>
            <a:rPr lang="en-GB" sz="1100">
              <a:solidFill>
                <a:srgbClr val="808080"/>
              </a:solidFill>
              <a:effectLst/>
              <a:latin typeface="+mn-lt"/>
              <a:ea typeface="+mn-ea"/>
              <a:cs typeface="+mn-cs"/>
            </a:rPr>
            <a:t>kg CO₂/nm³ H₂</a:t>
          </a:r>
          <a:r>
            <a:rPr lang="en-GB" sz="1100" baseline="0">
              <a:solidFill>
                <a:srgbClr val="808080"/>
              </a:solidFill>
              <a:effectLst/>
              <a:latin typeface="+mn-lt"/>
              <a:ea typeface="+mn-ea"/>
              <a:cs typeface="+mn-cs"/>
            </a:rPr>
            <a:t>  </a:t>
          </a:r>
          <a:r>
            <a:rPr lang="en-GB" sz="1100">
              <a:solidFill>
                <a:srgbClr val="808080"/>
              </a:solidFill>
              <a:effectLst/>
              <a:latin typeface="+mn-lt"/>
              <a:ea typeface="+mn-ea"/>
              <a:cs typeface="+mn-cs"/>
            </a:rPr>
            <a:t>and continuous operation (capacity </a:t>
          </a:r>
          <a:r>
            <a:rPr lang="en-GB" sz="1100" baseline="0">
              <a:solidFill>
                <a:srgbClr val="808080"/>
              </a:solidFill>
              <a:effectLst/>
              <a:latin typeface="+mn-lt"/>
              <a:ea typeface="+mn-ea"/>
              <a:cs typeface="+mn-cs"/>
            </a:rPr>
            <a:t>factor</a:t>
          </a:r>
          <a:r>
            <a:rPr lang="en-GB" sz="1100">
              <a:solidFill>
                <a:srgbClr val="808080"/>
              </a:solidFill>
              <a:effectLst/>
              <a:latin typeface="+mn-lt"/>
              <a:ea typeface="+mn-ea"/>
              <a:cs typeface="+mn-cs"/>
            </a:rPr>
            <a:t> of 1). S</a:t>
          </a:r>
          <a:r>
            <a:rPr lang="en-GB" sz="1100" baseline="0">
              <a:solidFill>
                <a:srgbClr val="808080"/>
              </a:solidFill>
              <a:effectLst/>
              <a:latin typeface="+mn-lt"/>
              <a:ea typeface="+mn-ea"/>
              <a:cs typeface="+mn-cs"/>
            </a:rPr>
            <a:t>ource: California Air Resources Board, 2018.</a:t>
          </a:r>
        </a:p>
        <a:p>
          <a:pPr>
            <a:lnSpc>
              <a:spcPct val="107000"/>
            </a:lnSpc>
            <a:spcAft>
              <a:spcPts val="800"/>
            </a:spcAft>
          </a:pPr>
          <a:r>
            <a:rPr lang="en-GB" sz="1100" baseline="0">
              <a:solidFill>
                <a:srgbClr val="808080"/>
              </a:solidFill>
              <a:effectLst/>
              <a:latin typeface="+mn-lt"/>
              <a:ea typeface="+mn-ea"/>
              <a:cs typeface="+mn-cs"/>
            </a:rPr>
            <a:t>	b) Coal fuelled plants: 1.9075 kg </a:t>
          </a:r>
          <a:r>
            <a:rPr lang="en-GB" sz="1100">
              <a:solidFill>
                <a:srgbClr val="808080"/>
              </a:solidFill>
              <a:effectLst/>
              <a:latin typeface="+mn-lt"/>
              <a:ea typeface="+mn-ea"/>
              <a:cs typeface="+mn-cs"/>
            </a:rPr>
            <a:t>CO₂/nm³ H₂</a:t>
          </a:r>
          <a:r>
            <a:rPr lang="en-GB" sz="1100" baseline="0">
              <a:solidFill>
                <a:srgbClr val="808080"/>
              </a:solidFill>
              <a:effectLst/>
              <a:latin typeface="+mn-lt"/>
              <a:ea typeface="+mn-ea"/>
              <a:cs typeface="+mn-cs"/>
            </a:rPr>
            <a:t> </a:t>
          </a:r>
          <a:r>
            <a:rPr lang="en-GB" sz="1100">
              <a:solidFill>
                <a:srgbClr val="808080"/>
              </a:solidFill>
              <a:effectLst/>
              <a:latin typeface="+mn-lt"/>
              <a:ea typeface="+mn-ea"/>
              <a:cs typeface="+mn-cs"/>
            </a:rPr>
            <a:t>and continuous operation (capacity factor of 1). S</a:t>
          </a:r>
          <a:r>
            <a:rPr lang="en-GB" sz="1100" baseline="0">
              <a:solidFill>
                <a:srgbClr val="808080"/>
              </a:solidFill>
              <a:effectLst/>
              <a:latin typeface="+mn-lt"/>
              <a:ea typeface="+mn-ea"/>
              <a:cs typeface="+mn-cs"/>
            </a:rPr>
            <a:t>ource: Orhan and Alper, 2014; adjusted for hydrogen production only</a:t>
          </a:r>
          <a:r>
            <a:rPr lang="en-GB" sz="1100" b="0" baseline="0">
              <a:solidFill>
                <a:srgbClr val="808080"/>
              </a:solidFill>
              <a:effectLst/>
              <a:latin typeface="+mn-lt"/>
              <a:ea typeface="+mn-ea"/>
              <a:cs typeface="+mn-cs"/>
            </a:rPr>
            <a:t>.</a:t>
          </a:r>
        </a:p>
        <a:p>
          <a:pPr>
            <a:lnSpc>
              <a:spcPct val="107000"/>
            </a:lnSpc>
            <a:spcAft>
              <a:spcPts val="800"/>
            </a:spcAft>
          </a:pPr>
          <a:r>
            <a:rPr lang="en-GB" sz="1100" b="0" i="0" u="none" strike="noStrike" baseline="0">
              <a:solidFill>
                <a:srgbClr val="808080"/>
              </a:solidFill>
              <a:effectLst/>
              <a:latin typeface="+mn-lt"/>
              <a:ea typeface="+mn-ea"/>
              <a:cs typeface="+mn-cs"/>
            </a:rPr>
            <a:t>It has not been possible to make definitive judgements of the sources of electricity or the fate of captured CO</a:t>
          </a:r>
          <a:r>
            <a:rPr lang="en-GB" sz="1100" b="0" i="0" u="none" strike="noStrike" baseline="-25000">
              <a:solidFill>
                <a:srgbClr val="808080"/>
              </a:solidFill>
              <a:effectLst/>
              <a:latin typeface="+mn-lt"/>
              <a:ea typeface="+mn-ea"/>
              <a:cs typeface="+mn-cs"/>
            </a:rPr>
            <a:t>2</a:t>
          </a:r>
          <a:r>
            <a:rPr lang="en-GB" sz="1100" b="0" i="0" u="none" strike="noStrike" baseline="0">
              <a:solidFill>
                <a:srgbClr val="808080"/>
              </a:solidFill>
              <a:effectLst/>
              <a:latin typeface="+mn-lt"/>
              <a:ea typeface="+mn-ea"/>
              <a:cs typeface="+mn-cs"/>
            </a:rPr>
            <a:t> for all of the projects (i.e. whether or not it is all permanently geologically stored or equivalent). While they are likely to have widely varying CO</a:t>
          </a:r>
          <a:r>
            <a:rPr lang="en-GB" sz="1100" b="0" i="0" u="none" strike="noStrike" baseline="-25000">
              <a:solidFill>
                <a:srgbClr val="808080"/>
              </a:solidFill>
              <a:effectLst/>
              <a:latin typeface="+mn-lt"/>
              <a:ea typeface="+mn-ea"/>
              <a:cs typeface="+mn-cs"/>
            </a:rPr>
            <a:t>2</a:t>
          </a:r>
          <a:r>
            <a:rPr lang="en-GB" sz="1100" b="0" i="0" u="none" strike="noStrike" baseline="0">
              <a:solidFill>
                <a:srgbClr val="808080"/>
              </a:solidFill>
              <a:effectLst/>
              <a:latin typeface="+mn-lt"/>
              <a:ea typeface="+mn-ea"/>
              <a:cs typeface="+mn-cs"/>
            </a:rPr>
            <a:t> intensities across their supply chains in practice, all have the potential to be low-carbon.</a:t>
          </a:r>
          <a:r>
            <a:rPr lang="en-GB"/>
            <a:t> </a:t>
          </a:r>
        </a:p>
        <a:p>
          <a:pPr>
            <a:lnSpc>
              <a:spcPct val="107000"/>
            </a:lnSpc>
            <a:spcAft>
              <a:spcPts val="800"/>
            </a:spcAft>
          </a:pPr>
          <a:endParaRPr lang="en-GB" sz="1100" baseline="0">
            <a:solidFill>
              <a:srgbClr val="808080"/>
            </a:solidFill>
            <a:effectLst/>
            <a:latin typeface="+mn-lt"/>
            <a:ea typeface="+mn-ea"/>
            <a:cs typeface="+mn-cs"/>
          </a:endParaRPr>
        </a:p>
        <a:p>
          <a:pPr>
            <a:lnSpc>
              <a:spcPct val="107000"/>
            </a:lnSpc>
            <a:spcAft>
              <a:spcPts val="800"/>
            </a:spcAft>
          </a:pPr>
          <a:r>
            <a:rPr kumimoji="0" lang="en-GB" sz="1100" b="1" i="0" u="none" strike="noStrike" kern="0" cap="none" spc="0" normalizeH="0" baseline="0">
              <a:ln>
                <a:noFill/>
              </a:ln>
              <a:solidFill>
                <a:srgbClr val="004BFF"/>
              </a:solidFill>
              <a:effectLst/>
              <a:uLnTx/>
              <a:uFillTx/>
              <a:latin typeface="Corbel" panose="020B0503020204020204" pitchFamily="34" charset="0"/>
              <a:ea typeface="Times New Roman"/>
              <a:cs typeface="Times New Roman"/>
            </a:rPr>
            <a:t>Conversions</a:t>
          </a:r>
        </a:p>
        <a:p>
          <a:pPr>
            <a:lnSpc>
              <a:spcPct val="107000"/>
            </a:lnSpc>
            <a:spcAft>
              <a:spcPts val="800"/>
            </a:spcAft>
          </a:pPr>
          <a:r>
            <a:rPr lang="en-GB" sz="1100" b="0" i="0" u="none" strike="noStrike" baseline="0">
              <a:solidFill>
                <a:srgbClr val="808080"/>
              </a:solidFill>
              <a:effectLst/>
              <a:latin typeface="Corbel" panose="020B0503020204020204" pitchFamily="34" charset="0"/>
              <a:ea typeface="+mn-ea"/>
              <a:cs typeface="+mn-cs"/>
            </a:rPr>
            <a:t>Specific H2 requirement for NH</a:t>
          </a:r>
          <a:r>
            <a:rPr lang="en-GB" sz="1100" b="0" i="0" u="none" strike="noStrike" baseline="-25000">
              <a:solidFill>
                <a:srgbClr val="808080"/>
              </a:solidFill>
              <a:effectLst/>
              <a:latin typeface="Corbel" panose="020B0503020204020204" pitchFamily="34" charset="0"/>
              <a:ea typeface="+mn-ea"/>
              <a:cs typeface="+mn-cs"/>
            </a:rPr>
            <a:t>3</a:t>
          </a:r>
          <a:r>
            <a:rPr lang="en-GB" sz="1100" b="0" i="0" u="none" strike="noStrike" baseline="0">
              <a:solidFill>
                <a:srgbClr val="808080"/>
              </a:solidFill>
              <a:effectLst/>
              <a:latin typeface="Corbel" panose="020B0503020204020204" pitchFamily="34" charset="0"/>
              <a:ea typeface="+mn-ea"/>
              <a:cs typeface="+mn-cs"/>
            </a:rPr>
            <a:t> (t/t): 0.180072; Conversion losses 2%;</a:t>
          </a:r>
        </a:p>
        <a:p>
          <a:pPr>
            <a:lnSpc>
              <a:spcPct val="107000"/>
            </a:lnSpc>
            <a:spcAft>
              <a:spcPts val="800"/>
            </a:spcAft>
          </a:pPr>
          <a:r>
            <a:rPr lang="en-GB" sz="1100" b="0" i="0" u="none" strike="noStrike" baseline="0">
              <a:solidFill>
                <a:srgbClr val="808080"/>
              </a:solidFill>
              <a:effectLst/>
              <a:latin typeface="Corbel" panose="020B0503020204020204" pitchFamily="34" charset="0"/>
              <a:ea typeface="+mn-ea"/>
              <a:cs typeface="+mn-cs"/>
            </a:rPr>
            <a:t>Specific H2 requirement for synthetic MeOH (t/t) 0.191327; Conversion losses 2% </a:t>
          </a:r>
        </a:p>
        <a:p>
          <a:pPr>
            <a:lnSpc>
              <a:spcPct val="107000"/>
            </a:lnSpc>
            <a:spcAft>
              <a:spcPts val="800"/>
            </a:spcAft>
          </a:pPr>
          <a:r>
            <a:rPr lang="en-GB" sz="1100" b="0" i="0" u="none" strike="noStrike" baseline="0">
              <a:solidFill>
                <a:srgbClr val="808080"/>
              </a:solidFill>
              <a:effectLst/>
              <a:latin typeface="Corbel" panose="020B0503020204020204" pitchFamily="34" charset="0"/>
              <a:ea typeface="+mn-ea"/>
              <a:cs typeface="+mn-cs"/>
            </a:rPr>
            <a:t>Specific H2 requirement for fossil MeOH (t/t) 0.127551; Conversion losses 2%; </a:t>
          </a:r>
        </a:p>
        <a:p>
          <a:pPr>
            <a:lnSpc>
              <a:spcPct val="107000"/>
            </a:lnSpc>
            <a:spcAft>
              <a:spcPts val="800"/>
            </a:spcAft>
          </a:pPr>
          <a:r>
            <a:rPr lang="en-GB" sz="1100" b="0" i="0" u="none" strike="noStrike" baseline="0">
              <a:solidFill>
                <a:srgbClr val="808080"/>
              </a:solidFill>
              <a:effectLst/>
              <a:latin typeface="Corbel" panose="020B0503020204020204" pitchFamily="34" charset="0"/>
              <a:ea typeface="+mn-ea"/>
              <a:cs typeface="+mn-cs"/>
            </a:rPr>
            <a:t>Fischer-Tropsch efficiency for liquid fuels: 73%</a:t>
          </a:r>
        </a:p>
        <a:p>
          <a:pPr>
            <a:lnSpc>
              <a:spcPct val="107000"/>
            </a:lnSpc>
            <a:spcAft>
              <a:spcPts val="800"/>
            </a:spcAft>
          </a:pPr>
          <a:r>
            <a:rPr lang="en-GB" sz="1100" b="0" i="0" u="none" strike="noStrike" baseline="0">
              <a:solidFill>
                <a:srgbClr val="808080"/>
              </a:solidFill>
              <a:effectLst/>
              <a:latin typeface="Corbel" panose="020B0503020204020204" pitchFamily="34" charset="0"/>
              <a:ea typeface="+mn-ea"/>
              <a:cs typeface="+mn-cs"/>
            </a:rPr>
            <a:t>Methanation efficiecny: 77%</a:t>
          </a:r>
        </a:p>
        <a:p>
          <a:pPr>
            <a:lnSpc>
              <a:spcPct val="107000"/>
            </a:lnSpc>
            <a:spcAft>
              <a:spcPts val="800"/>
            </a:spcAft>
          </a:pPr>
          <a:r>
            <a:rPr lang="en-GB" sz="1100" b="0" i="0" u="none" strike="noStrike" baseline="0">
              <a:solidFill>
                <a:srgbClr val="808080"/>
              </a:solidFill>
              <a:effectLst/>
              <a:latin typeface="Corbel" panose="020B0503020204020204" pitchFamily="34" charset="0"/>
              <a:ea typeface="+mn-ea"/>
              <a:cs typeface="+mn-cs"/>
            </a:rPr>
            <a:t>Specific H2 requirement for  HVO diesel: 12.4 MJ H</a:t>
          </a:r>
          <a:r>
            <a:rPr lang="en-GB" sz="1100" b="0" i="0" u="none" strike="noStrike" baseline="-25000">
              <a:solidFill>
                <a:srgbClr val="808080"/>
              </a:solidFill>
              <a:effectLst/>
              <a:latin typeface="Corbel" panose="020B0503020204020204" pitchFamily="34" charset="0"/>
              <a:ea typeface="+mn-ea"/>
              <a:cs typeface="+mn-cs"/>
            </a:rPr>
            <a:t>2</a:t>
          </a:r>
          <a:r>
            <a:rPr lang="en-GB" sz="1100" b="0" i="0" u="none" strike="noStrike" baseline="0">
              <a:solidFill>
                <a:srgbClr val="808080"/>
              </a:solidFill>
              <a:effectLst/>
              <a:latin typeface="Corbel" panose="020B0503020204020204" pitchFamily="34" charset="0"/>
              <a:ea typeface="+mn-ea"/>
              <a:cs typeface="+mn-cs"/>
            </a:rPr>
            <a:t>/MJ HVO</a:t>
          </a:r>
        </a:p>
        <a:p>
          <a:pPr>
            <a:lnSpc>
              <a:spcPct val="107000"/>
            </a:lnSpc>
            <a:spcAft>
              <a:spcPts val="800"/>
            </a:spcAft>
          </a:pPr>
          <a:r>
            <a:rPr lang="en-GB" sz="1100" b="0" i="0" u="none" strike="noStrike" baseline="0">
              <a:solidFill>
                <a:srgbClr val="808080"/>
              </a:solidFill>
              <a:effectLst/>
              <a:latin typeface="Corbel" panose="020B0503020204020204" pitchFamily="34" charset="0"/>
              <a:ea typeface="+mn-ea"/>
              <a:cs typeface="+mn-cs"/>
            </a:rPr>
            <a:t>Specific H2 requirement for HEFA jet: 15.0 MJ H</a:t>
          </a:r>
          <a:r>
            <a:rPr lang="en-GB" sz="1100" b="0" i="0" u="none" strike="noStrike" baseline="-25000">
              <a:solidFill>
                <a:srgbClr val="808080"/>
              </a:solidFill>
              <a:effectLst/>
              <a:latin typeface="Corbel" panose="020B0503020204020204" pitchFamily="34" charset="0"/>
              <a:ea typeface="+mn-ea"/>
              <a:cs typeface="+mn-cs"/>
            </a:rPr>
            <a:t>2</a:t>
          </a:r>
          <a:r>
            <a:rPr lang="en-GB" sz="1100" b="0" i="0" u="none" strike="noStrike" baseline="0">
              <a:solidFill>
                <a:srgbClr val="808080"/>
              </a:solidFill>
              <a:effectLst/>
              <a:latin typeface="Corbel" panose="020B0503020204020204" pitchFamily="34" charset="0"/>
              <a:ea typeface="+mn-ea"/>
              <a:cs typeface="+mn-cs"/>
            </a:rPr>
            <a:t>/MJ HEFA</a:t>
          </a:r>
        </a:p>
        <a:p>
          <a:pPr>
            <a:lnSpc>
              <a:spcPct val="107000"/>
            </a:lnSpc>
            <a:spcAft>
              <a:spcPts val="800"/>
            </a:spcAft>
          </a:pPr>
          <a:r>
            <a:rPr lang="en-GB" sz="1100" b="0" i="0" u="none" strike="noStrike" baseline="0">
              <a:solidFill>
                <a:srgbClr val="808080"/>
              </a:solidFill>
              <a:effectLst/>
              <a:latin typeface="Corbel" panose="020B0503020204020204" pitchFamily="34" charset="0"/>
              <a:ea typeface="+mn-ea"/>
              <a:cs typeface="+mn-cs"/>
            </a:rPr>
            <a:t>H</a:t>
          </a:r>
          <a:r>
            <a:rPr lang="en-GB" sz="1100" b="0" i="0" u="none" strike="noStrike" baseline="-25000">
              <a:solidFill>
                <a:srgbClr val="808080"/>
              </a:solidFill>
              <a:effectLst/>
              <a:latin typeface="Corbel" panose="020B0503020204020204" pitchFamily="34" charset="0"/>
              <a:ea typeface="+mn-ea"/>
              <a:cs typeface="+mn-cs"/>
            </a:rPr>
            <a:t>2</a:t>
          </a:r>
          <a:r>
            <a:rPr lang="en-GB" sz="1100" b="0" i="0" u="none" strike="noStrike" baseline="0">
              <a:solidFill>
                <a:srgbClr val="808080"/>
              </a:solidFill>
              <a:effectLst/>
              <a:latin typeface="Corbel" panose="020B0503020204020204" pitchFamily="34" charset="0"/>
              <a:ea typeface="+mn-ea"/>
              <a:cs typeface="+mn-cs"/>
            </a:rPr>
            <a:t> LHV: 0.1201 PJ/kt</a:t>
          </a:r>
        </a:p>
        <a:p>
          <a:pPr marL="0" marR="0" lvl="0" indent="0" defTabSz="914400" eaLnBrk="1" fontAlgn="auto" latinLnBrk="0" hangingPunct="1">
            <a:lnSpc>
              <a:spcPct val="107000"/>
            </a:lnSpc>
            <a:spcBef>
              <a:spcPts val="0"/>
            </a:spcBef>
            <a:spcAft>
              <a:spcPts val="800"/>
            </a:spcAft>
            <a:buClrTx/>
            <a:buSzTx/>
            <a:buFontTx/>
            <a:buNone/>
            <a:tabLst/>
            <a:defRPr/>
          </a:pPr>
          <a:r>
            <a:rPr lang="en-GB" sz="1100" b="0" i="0" u="none" strike="noStrike" baseline="0">
              <a:solidFill>
                <a:srgbClr val="808080"/>
              </a:solidFill>
              <a:effectLst/>
              <a:latin typeface="Corbel" panose="020B0503020204020204" pitchFamily="34" charset="0"/>
              <a:ea typeface="+mn-ea"/>
              <a:cs typeface="+mn-cs"/>
            </a:rPr>
            <a:t>H</a:t>
          </a:r>
          <a:r>
            <a:rPr lang="en-GB" sz="1100" b="0" i="0" u="none" strike="noStrike" baseline="-25000">
              <a:solidFill>
                <a:srgbClr val="808080"/>
              </a:solidFill>
              <a:effectLst/>
              <a:latin typeface="Corbel" panose="020B0503020204020204" pitchFamily="34" charset="0"/>
              <a:ea typeface="+mn-ea"/>
              <a:cs typeface="+mn-cs"/>
            </a:rPr>
            <a:t>2</a:t>
          </a:r>
          <a:r>
            <a:rPr lang="en-GB" sz="1100" b="0" i="0" u="none" strike="noStrike" baseline="0">
              <a:solidFill>
                <a:srgbClr val="808080"/>
              </a:solidFill>
              <a:effectLst/>
              <a:latin typeface="Corbel" panose="020B0503020204020204" pitchFamily="34" charset="0"/>
              <a:ea typeface="+mn-ea"/>
              <a:cs typeface="+mn-cs"/>
            </a:rPr>
            <a:t> density in normal conditions: 0.089 kg/m</a:t>
          </a:r>
          <a:r>
            <a:rPr lang="en-GB" sz="1100" b="0" i="0" u="none" strike="noStrike" baseline="30000">
              <a:solidFill>
                <a:srgbClr val="808080"/>
              </a:solidFill>
              <a:effectLst/>
              <a:latin typeface="Corbel" panose="020B0503020204020204" pitchFamily="34" charset="0"/>
              <a:ea typeface="+mn-ea"/>
              <a:cs typeface="+mn-cs"/>
            </a:rPr>
            <a:t>3</a:t>
          </a:r>
        </a:p>
        <a:p>
          <a:pPr>
            <a:lnSpc>
              <a:spcPct val="107000"/>
            </a:lnSpc>
            <a:spcAft>
              <a:spcPts val="800"/>
            </a:spcAft>
          </a:pPr>
          <a:r>
            <a:rPr lang="en-GB" sz="1100" b="0" i="0" u="none" strike="noStrike" baseline="0">
              <a:solidFill>
                <a:srgbClr val="808080"/>
              </a:solidFill>
              <a:effectLst/>
              <a:latin typeface="Corbel" panose="020B0503020204020204" pitchFamily="34" charset="0"/>
              <a:ea typeface="+mn-ea"/>
              <a:cs typeface="+mn-cs"/>
            </a:rPr>
            <a:t>When projects are divided in several phases, the total announced capacity is cited. However, for calculating  the normalised capacity, the installed capacity of each phase is reduced by the capacity of the precedent phase to avoid double counting</a:t>
          </a:r>
        </a:p>
        <a:p>
          <a:pPr>
            <a:lnSpc>
              <a:spcPct val="107000"/>
            </a:lnSpc>
            <a:spcAft>
              <a:spcPts val="800"/>
            </a:spcAft>
          </a:pPr>
          <a:endParaRPr lang="en-GB" sz="1100" b="0" i="0" u="none" strike="noStrike" baseline="0">
            <a:solidFill>
              <a:srgbClr val="808080"/>
            </a:solidFill>
            <a:effectLst/>
            <a:latin typeface="Corbel" panose="020B0503020204020204" pitchFamily="34" charset="0"/>
            <a:ea typeface="+mn-ea"/>
            <a:cs typeface="+mn-cs"/>
          </a:endParaRPr>
        </a:p>
      </xdr:txBody>
    </xdr:sp>
    <xdr:clientData/>
  </xdr:twoCellAnchor>
  <xdr:twoCellAnchor editAs="oneCell">
    <xdr:from>
      <xdr:col>3</xdr:col>
      <xdr:colOff>0</xdr:colOff>
      <xdr:row>0</xdr:row>
      <xdr:rowOff>0</xdr:rowOff>
    </xdr:from>
    <xdr:to>
      <xdr:col>3</xdr:col>
      <xdr:colOff>304800</xdr:colOff>
      <xdr:row>1048576</xdr:row>
      <xdr:rowOff>303530</xdr:rowOff>
    </xdr:to>
    <xdr:sp macro="" textlink="">
      <xdr:nvSpPr>
        <xdr:cNvPr id="3" name="AutoShape 1" descr="Icon">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18288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1048576</xdr:row>
      <xdr:rowOff>303530</xdr:rowOff>
    </xdr:to>
    <xdr:sp macro="" textlink="">
      <xdr:nvSpPr>
        <xdr:cNvPr id="4" name="AutoShape 2" descr="Wordmark">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12192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304800</xdr:colOff>
      <xdr:row>1048576</xdr:row>
      <xdr:rowOff>694690</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33600"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base%20for%20publishing%20-%20liv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Bermudez_J/Desktop/Offline/New%2520IEA%2520Hydrogen%2520Project%2520Databas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S/Hydrogen/Global%2520Hydrogen%2520Review%25202021/4.%2520Analysis/Low-C%2520deployment/New%2520IEA%2520Hydrogen%2520Project%2520Databa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Definitions and assumptions"/>
      <sheetName val="Projects"/>
      <sheetName val="Lists"/>
      <sheetName val="Countries"/>
      <sheetName val="References"/>
    </sheetNames>
    <sheetDataSet>
      <sheetData sheetId="0"/>
      <sheetData sheetId="1"/>
      <sheetData sheetId="2"/>
      <sheetData sheetId="3">
        <row r="3">
          <cell r="D3" t="str">
            <v>ALK</v>
          </cell>
          <cell r="F3">
            <v>4.5999999999999999E-3</v>
          </cell>
        </row>
        <row r="4">
          <cell r="D4" t="str">
            <v>PEM</v>
          </cell>
          <cell r="F4">
            <v>5.1999999999999998E-3</v>
          </cell>
        </row>
        <row r="5">
          <cell r="D5" t="str">
            <v>SOEC</v>
          </cell>
          <cell r="F5">
            <v>3.8E-3</v>
          </cell>
        </row>
        <row r="6">
          <cell r="D6" t="str">
            <v>Other Electrolysis</v>
          </cell>
          <cell r="F6">
            <v>4.4999999999999997E-3</v>
          </cell>
        </row>
      </sheetData>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Countries"/>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ries"/>
      <sheetName val="Lists"/>
    </sheetNames>
    <sheetDataSet>
      <sheetData sheetId="0" refreshError="1"/>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H2ProjectDB4" displayName="H2ProjectDB4" ref="A4:AG993" totalsRowShown="0" headerRowDxfId="241" dataDxfId="240">
  <autoFilter ref="A4:AG993" xr:uid="{00000000-0009-0000-0100-000003000000}"/>
  <sortState xmlns:xlrd2="http://schemas.microsoft.com/office/spreadsheetml/2017/richdata2" ref="A5:AG993">
    <sortCondition ref="A4:A993"/>
  </sortState>
  <tableColumns count="33">
    <tableColumn id="1" xr3:uid="{00000000-0010-0000-0000-000001000000}" name="Ref" dataDxfId="239"/>
    <tableColumn id="2" xr3:uid="{00000000-0010-0000-0000-000002000000}" name="Project name" dataDxfId="238"/>
    <tableColumn id="3" xr3:uid="{00000000-0010-0000-0000-000003000000}" name="Country" dataDxfId="237"/>
    <tableColumn id="6" xr3:uid="{00000000-0010-0000-0000-000006000000}" name="Date online" dataDxfId="236"/>
    <tableColumn id="7" xr3:uid="{00000000-0010-0000-0000-000007000000}" name="Decomission date" dataDxfId="235"/>
    <tableColumn id="8" xr3:uid="{00000000-0010-0000-0000-000008000000}" name="Status" dataDxfId="234"/>
    <tableColumn id="9" xr3:uid="{00000000-0010-0000-0000-000009000000}" name="Technology" dataDxfId="233"/>
    <tableColumn id="10" xr3:uid="{00000000-0010-0000-0000-00000A000000}" name="Technology_details" dataDxfId="232"/>
    <tableColumn id="11" xr3:uid="{00000000-0010-0000-0000-00000B000000}" name="Technology_electricity" dataDxfId="231">
      <calculatedColumnFormula>IF(AND(G5&lt;&gt;"ALK",G5&lt;&gt;"PEM",G5&lt;&gt;"SOEC",G5&lt;&gt;"Other electrolysis"),"N/A","")</calculatedColumnFormula>
    </tableColumn>
    <tableColumn id="12" xr3:uid="{00000000-0010-0000-0000-00000C000000}" name="Technology_electricity_details" dataDxfId="230">
      <calculatedColumnFormula>IF(I5&lt;&gt;"Dedicated renewable","N/A",)</calculatedColumnFormula>
    </tableColumn>
    <tableColumn id="13" xr3:uid="{00000000-0010-0000-0000-00000D000000}" name="Product" dataDxfId="229"/>
    <tableColumn id="14" xr3:uid="{00000000-0010-0000-0000-00000E000000}" name="EndUse_Refining" dataDxfId="228"/>
    <tableColumn id="15" xr3:uid="{00000000-0010-0000-0000-00000F000000}" name="EndUse_Ammonia" dataDxfId="227"/>
    <tableColumn id="16" xr3:uid="{00000000-0010-0000-0000-000010000000}" name="EndUse_Methanol" dataDxfId="226"/>
    <tableColumn id="17" xr3:uid="{00000000-0010-0000-0000-000011000000}" name="EndUse_Iron&amp;Steel" dataDxfId="225"/>
    <tableColumn id="18" xr3:uid="{00000000-0010-0000-0000-000012000000}" name="EndUse_Other Ind" dataDxfId="224"/>
    <tableColumn id="19" xr3:uid="{00000000-0010-0000-0000-000013000000}" name="EndUse_Mobility" dataDxfId="223"/>
    <tableColumn id="20" xr3:uid="{00000000-0010-0000-0000-000014000000}" name="EndUse_Power" dataDxfId="222"/>
    <tableColumn id="21" xr3:uid="{00000000-0010-0000-0000-000015000000}" name="EndUse_Grid inj." dataDxfId="221"/>
    <tableColumn id="22" xr3:uid="{00000000-0010-0000-0000-000016000000}" name="EndUse_CHP" dataDxfId="220"/>
    <tableColumn id="23" xr3:uid="{00000000-0010-0000-0000-000017000000}" name="EndUse_Domestic heat" dataDxfId="219"/>
    <tableColumn id="24" xr3:uid="{00000000-0010-0000-0000-000018000000}" name="EndUse_Biofuels" dataDxfId="218"/>
    <tableColumn id="25" xr3:uid="{00000000-0010-0000-0000-000019000000}" name="EndUse_Synfuels" dataDxfId="217"/>
    <tableColumn id="26" xr3:uid="{00000000-0010-0000-0000-00001A000000}" name="EndUse_CH4 grid inj." dataDxfId="216"/>
    <tableColumn id="27" xr3:uid="{00000000-0010-0000-0000-00001B000000}" name="EndUse_CH4 mobility" dataDxfId="215"/>
    <tableColumn id="28" xr3:uid="{00000000-0010-0000-0000-00001C000000}" name="Announced Size" dataDxfId="214"/>
    <tableColumn id="29" xr3:uid="{00000000-0010-0000-0000-00001D000000}" name="Capacity_MWel" dataDxfId="213">
      <calculatedColumnFormula>IF(OR(G5="ALK",G5="PEM",G5="SOEC",G5="Other Electrolysis"),
AB5*VLOOKUP(G5,ElectrolysisConvF,3,FALSE),
"")</calculatedColumnFormula>
    </tableColumn>
    <tableColumn id="30" xr3:uid="{00000000-0010-0000-0000-00001E000000}" name="Capacity_Nm³ H₂/h" dataDxfId="212">
      <calculatedColumnFormula>IF(OR(G5="ALK",G5="PEM",G5="SOEC",G5="Other Electrolysis"),
AA5/VLOOKUP(G5,ElectrolysisConvF,3,FALSE),
AC5*10^6/(H2dens*HoursInYear))</calculatedColumnFormula>
    </tableColumn>
    <tableColumn id="31" xr3:uid="{00000000-0010-0000-0000-00001F000000}" name="Capacity_kt H2/y" dataDxfId="211">
      <calculatedColumnFormula>AB5*H2dens*HoursInYear/10^6</calculatedColumnFormula>
    </tableColumn>
    <tableColumn id="32" xr3:uid="{00000000-0010-0000-0000-000020000000}" name="Capacity_t CO₂ captured/y" dataDxfId="210"/>
    <tableColumn id="33" xr3:uid="{00000000-0010-0000-0000-000021000000}" name="IEA zero-carbon estimated normalized capacity_x000a_[Nm³ H₂/hour]" dataDxfId="209">
      <calculatedColumnFormula>IF(AND(G5&lt;&gt;"NG w CCUS",G5&lt;&gt;"Oil w CCUS",G5&lt;&gt;"Coal w CCUS"),AB5,AD5*10^3/(HoursInYear*IF(G5="NG w CCUS",0.9105,1.9075)))</calculatedColumnFormula>
    </tableColumn>
    <tableColumn id="5" xr3:uid="{4BD4D221-F9B4-4E8E-A38D-A0ABD1BDA4B2}" name="References" dataDxfId="208"/>
    <tableColumn id="35" xr3:uid="{00000000-0010-0000-0000-000023000000}" name="Column33" dataDxfId="20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ountriesTable" displayName="CountriesTable" ref="A1:B215" totalsRowShown="0" headerRowDxfId="206">
  <autoFilter ref="A1:B215" xr:uid="{00000000-0009-0000-0100-000001000000}"/>
  <sortState xmlns:xlrd2="http://schemas.microsoft.com/office/spreadsheetml/2017/richdata2" ref="A2:F215">
    <sortCondition ref="A1:A215"/>
  </sortState>
  <tableColumns count="2">
    <tableColumn id="2" xr3:uid="{00000000-0010-0000-0100-000002000000}" name="ISO-3 Code"/>
    <tableColumn id="1" xr3:uid="{00000000-0010-0000-0100-000001000000}" name="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tennet.eu/news/detail/gasunie-tennet-and-thyssengas-reveal-detailed-green-sector-coupling-plans-using-power-to-gas-tec/" TargetMode="External"/><Relationship Id="rId299" Type="http://schemas.openxmlformats.org/officeDocument/2006/relationships/hyperlink" Target="http://www.ptg-bw.de/presse/aktuelles/detailansicht.html?tx_news_pi1%5Bnews%5D=58&amp;tx_news_pi1%5Bcontroller%5D=News&amp;tx_news_pi1%5Baction%5D=detail&amp;cHash=37b9fda8cd1d5bfae6899a13f7064801" TargetMode="External"/><Relationship Id="rId21" Type="http://schemas.openxmlformats.org/officeDocument/2006/relationships/hyperlink" Target="https://www.sciencedirect.com/science/article/pii/S1464285919300227" TargetMode="External"/><Relationship Id="rId63" Type="http://schemas.openxmlformats.org/officeDocument/2006/relationships/hyperlink" Target="https://www.sciencedirect.com/science/article/pii/S1464285918303328" TargetMode="External"/><Relationship Id="rId159" Type="http://schemas.openxmlformats.org/officeDocument/2006/relationships/hyperlink" Target="https://www.underground-sun-storage.at/en.html" TargetMode="External"/><Relationship Id="rId324" Type="http://schemas.openxmlformats.org/officeDocument/2006/relationships/hyperlink" Target="https://fuelcellsworks.com/news/mcphy-selected-to-equip-a-new-zero-carbon-hydrogen-station/" TargetMode="External"/><Relationship Id="rId366" Type="http://schemas.openxmlformats.org/officeDocument/2006/relationships/hyperlink" Target="https://www.methquest.de/ueber-methquest/methfuel/" TargetMode="External"/><Relationship Id="rId170" Type="http://schemas.openxmlformats.org/officeDocument/2006/relationships/hyperlink" Target="https://www.hydrogenics.com/2016/11/01/hydrogenics-enters-into-strategic-collaboration-with-stratosfuel-for-2-5-mw-power-to-gas-project-in-california/" TargetMode="External"/><Relationship Id="rId226" Type="http://schemas.openxmlformats.org/officeDocument/2006/relationships/hyperlink" Target="https://ife.no/en/laboratory/n-fch-systems-laboratory/" TargetMode="External"/><Relationship Id="rId268" Type="http://schemas.openxmlformats.org/officeDocument/2006/relationships/hyperlink" Target="https://www.environmentalleader.com/2020/05/lancaster-renewable-hydrogen-project/" TargetMode="External"/><Relationship Id="rId32" Type="http://schemas.openxmlformats.org/officeDocument/2006/relationships/hyperlink" Target="https://arena.gov.au/projects/atco-hydrogen-microgrid/" TargetMode="External"/><Relationship Id="rId74" Type="http://schemas.openxmlformats.org/officeDocument/2006/relationships/hyperlink" Target="https://www.green-industrial-hydrogen.com/" TargetMode="External"/><Relationship Id="rId128" Type="http://schemas.openxmlformats.org/officeDocument/2006/relationships/hyperlink" Target="https://www.demo4grid.eu/project/" TargetMode="External"/><Relationship Id="rId335" Type="http://schemas.openxmlformats.org/officeDocument/2006/relationships/hyperlink" Target="https://fuelcellsworks.com/news/siemens-to-build-large-co2-free-hydrogen-production-plant-in-southern-germany/" TargetMode="External"/><Relationship Id="rId377" Type="http://schemas.openxmlformats.org/officeDocument/2006/relationships/hyperlink" Target="http://www.automotores-rev.com/estrategias-de-cummins-para-producir-hidrogeno-y-celdas-de-combustible/" TargetMode="External"/><Relationship Id="rId5" Type="http://schemas.openxmlformats.org/officeDocument/2006/relationships/hyperlink" Target="https://www.wvresc.com/" TargetMode="External"/><Relationship Id="rId181" Type="http://schemas.openxmlformats.org/officeDocument/2006/relationships/hyperlink" Target="https://www.dena.de/fileadmin/dena/Dokumente/Veranstaltungen/PtG-Dialogforum_III/Praesentationen/6_Karl_Hauptmeier_sunfire_GmbH.pdf" TargetMode="External"/><Relationship Id="rId237" Type="http://schemas.openxmlformats.org/officeDocument/2006/relationships/hyperlink" Target="https://www.sciencedirect.com/science/article/pii/S1464285915301243" TargetMode="External"/><Relationship Id="rId402" Type="http://schemas.openxmlformats.org/officeDocument/2006/relationships/hyperlink" Target="https://www.h2-view.com/story/leading-us-carbon-capture-project-set-to-produce-clean-hydrogen/" TargetMode="External"/><Relationship Id="rId279" Type="http://schemas.openxmlformats.org/officeDocument/2006/relationships/hyperlink" Target="https://fuelcellsworks.com/news/canada-macquarie-capital-to-finance-new-200-plus-million-renewable-hydrogen-plant-in-chetwynd/" TargetMode="External"/><Relationship Id="rId43" Type="http://schemas.openxmlformats.org/officeDocument/2006/relationships/hyperlink" Target="https://hydrogentoday.info/news/4350" TargetMode="External"/><Relationship Id="rId139" Type="http://schemas.openxmlformats.org/officeDocument/2006/relationships/hyperlink" Target="http://www.surfnturf.org.uk/page/hydrogen" TargetMode="External"/><Relationship Id="rId290" Type="http://schemas.openxmlformats.org/officeDocument/2006/relationships/hyperlink" Target="https://participa.pt/contents/consultationdocument/Estrate%CC%81gia%20Nacional%20para%20o%20Hidroge%CC%81nio%20DRAFT%20publicac%CC%A7ao.pdf" TargetMode="External"/><Relationship Id="rId304" Type="http://schemas.openxmlformats.org/officeDocument/2006/relationships/hyperlink" Target="https://www.toshiba-energy.com/en/info/info2019_1226.htm" TargetMode="External"/><Relationship Id="rId346" Type="http://schemas.openxmlformats.org/officeDocument/2006/relationships/hyperlink" Target="https://www.h2-view.com/story/construction-begins-on-antwerps-first-hydrogen-station/" TargetMode="External"/><Relationship Id="rId388" Type="http://schemas.openxmlformats.org/officeDocument/2006/relationships/hyperlink" Target="https://hynet.co.uk/app/uploads/2020/10/HyNet_NW-Vision-Document-2020_FINAL.pdf" TargetMode="External"/><Relationship Id="rId85" Type="http://schemas.openxmlformats.org/officeDocument/2006/relationships/hyperlink" Target="https://netl.doe.gov/sites/default/files/netl-file/1130-Wabash-CarbonSAFE-Christopher-Korose-Weds-1130am.pdf" TargetMode="External"/><Relationship Id="rId150" Type="http://schemas.openxmlformats.org/officeDocument/2006/relationships/hyperlink" Target="https://www.engie.com/wp-content/uploads/2018/05/tap_engie.pdf" TargetMode="External"/><Relationship Id="rId192" Type="http://schemas.openxmlformats.org/officeDocument/2006/relationships/hyperlink" Target="https://www.erneuerbareenergien.de/1-spatenstich-fuer-buergerwindpark-mit-speicherloesung" TargetMode="External"/><Relationship Id="rId206" Type="http://schemas.openxmlformats.org/officeDocument/2006/relationships/hyperlink" Target="https://opwegmetwaterstof.nl/wp-content/uploads/2019/12/NEC_Hydrogen-Valley-Noord-Nederland.pdf" TargetMode="External"/><Relationship Id="rId413" Type="http://schemas.openxmlformats.org/officeDocument/2006/relationships/hyperlink" Target="https://www.cfindustries.com/newsroom/2021/donaldsonville-electrolyzer" TargetMode="External"/><Relationship Id="rId248" Type="http://schemas.openxmlformats.org/officeDocument/2006/relationships/hyperlink" Target="https://futuregas.dk/wp-content/uploads/2018/06/FutureGas-WP1-Deliverable-1.1.1.-Technologies-and-status-of-methanation-of-biogas-2017_Final.pdf" TargetMode="External"/><Relationship Id="rId12" Type="http://schemas.openxmlformats.org/officeDocument/2006/relationships/hyperlink" Target="https://fuelcellsworks.com/news/prefecture-firms-tie-up-on-solar-derived-hydrogen" TargetMode="External"/><Relationship Id="rId108" Type="http://schemas.openxmlformats.org/officeDocument/2006/relationships/hyperlink" Target="https://www.sarawakenergy.com/media-info/media-releases/2019/sarawak-launches-south-east-asias-first-integrated-hydrogen-production-plant-and-refueling-station-unveils-hydrogen-buses" TargetMode="External"/><Relationship Id="rId315" Type="http://schemas.openxmlformats.org/officeDocument/2006/relationships/hyperlink" Target="https://www.airliquide.com/united-states-america/air-liquide-committed-producing-renewable-hydrogen-west-coast-mobility-market" TargetMode="External"/><Relationship Id="rId357" Type="http://schemas.openxmlformats.org/officeDocument/2006/relationships/hyperlink" Target="https://www.itm-power.com/news/first-project-to-deliver-a-10mw-electrolyser-to-glasgow-facility" TargetMode="External"/><Relationship Id="rId54" Type="http://schemas.openxmlformats.org/officeDocument/2006/relationships/hyperlink" Target="https://energiepark-bad-lauchstaedt.de/" TargetMode="External"/><Relationship Id="rId96" Type="http://schemas.openxmlformats.org/officeDocument/2006/relationships/hyperlink" Target="https://www.moreland.vic.gov.au/about-us/projects/environmental-projects/renewable-hydrogen-waste-truck/" TargetMode="External"/><Relationship Id="rId161" Type="http://schemas.openxmlformats.org/officeDocument/2006/relationships/hyperlink" Target="https://www.reflex-energy.eu/" TargetMode="External"/><Relationship Id="rId217" Type="http://schemas.openxmlformats.org/officeDocument/2006/relationships/hyperlink" Target="https://www.hydrogenics.com/2017/04/06/hydrogenics-awarded-funding-to-build-two-hydrogen-fueling-stations-for-the-greater-toronto-area-gta/" TargetMode="External"/><Relationship Id="rId399" Type="http://schemas.openxmlformats.org/officeDocument/2006/relationships/hyperlink" Target="https://www.energyvoice.com/renewables-energy-transition/314698/origin-signs-pact-for-australian-green-hydrogen-export-project/" TargetMode="External"/><Relationship Id="rId259" Type="http://schemas.openxmlformats.org/officeDocument/2006/relationships/hyperlink" Target="https://douglaspud.org/Pages/Bid-Document.aspx?biddocumentnumber=20-08-D" TargetMode="External"/><Relationship Id="rId23" Type="http://schemas.openxmlformats.org/officeDocument/2006/relationships/hyperlink" Target="http://www.renewablessa.sa.gov.au/topic/hydrogen/hydrogen-projects/hydrogen-park-south-australia" TargetMode="External"/><Relationship Id="rId119" Type="http://schemas.openxmlformats.org/officeDocument/2006/relationships/hyperlink" Target="https://www.deme-group.com/news/hyportr-green-hydrogen-plant-ostend" TargetMode="External"/><Relationship Id="rId270" Type="http://schemas.openxmlformats.org/officeDocument/2006/relationships/hyperlink" Target="https://www.greentechmedia.com/articles/read/orsted-to-power-decarbonization-hub-for-land-sea-and-air-transport?utm_medium=email&amp;utm_source=Daily&amp;utm_campaign=GTMDaily" TargetMode="External"/><Relationship Id="rId326" Type="http://schemas.openxmlformats.org/officeDocument/2006/relationships/hyperlink" Target="https://renews.biz/61966/iberdrola-unveils-green-hydrogen-partnership/" TargetMode="External"/><Relationship Id="rId65" Type="http://schemas.openxmlformats.org/officeDocument/2006/relationships/hyperlink" Target="https://nelhydrogen.com/press-release/nel-asa-awarded-multi-billion-nok-electrolyzer-and-fueling-station-contract-by-nikola/" TargetMode="External"/><Relationship Id="rId130" Type="http://schemas.openxmlformats.org/officeDocument/2006/relationships/hyperlink" Target="https://arena.gov.au/news/renewable-hydrogen-could-power-moranbah-ammonia-facility/" TargetMode="External"/><Relationship Id="rId368" Type="http://schemas.openxmlformats.org/officeDocument/2006/relationships/hyperlink" Target="https://www.spglobal.com/platts/en/market-insights/latest-news/metals/061120-n-china-hydrogen-push-led-by-hydrogen-as-by-product-renewables" TargetMode="External"/><Relationship Id="rId172" Type="http://schemas.openxmlformats.org/officeDocument/2006/relationships/hyperlink" Target="http://www.mefco2.eu/mefco2.php" TargetMode="External"/><Relationship Id="rId228" Type="http://schemas.openxmlformats.org/officeDocument/2006/relationships/hyperlink" Target="http://www.afhypac.org/documents/tout-savoir/Fiche%209.5%20-%20Power-to-gas%20-%20rev%20mars2017%20ThA.pdf" TargetMode="External"/><Relationship Id="rId281" Type="http://schemas.openxmlformats.org/officeDocument/2006/relationships/hyperlink" Target="https://www.linkedin.com/pulse/swedish-public-housing-project-goes-off-grid-solar-h2-michael-jensen/" TargetMode="External"/><Relationship Id="rId337" Type="http://schemas.openxmlformats.org/officeDocument/2006/relationships/hyperlink" Target="https://www.greentechmedia.com/articles/read/shell-jv-wins-dutch-offshore-wind-tender-with-continuous-power-hybrid-project?utm_medium=email&amp;utm_source=Daily&amp;utm_campaign=GTMDaily" TargetMode="External"/><Relationship Id="rId34" Type="http://schemas.openxmlformats.org/officeDocument/2006/relationships/hyperlink" Target="https://jemena.com.au/about/innovation/power-to-gas-trial" TargetMode="External"/><Relationship Id="rId76" Type="http://schemas.openxmlformats.org/officeDocument/2006/relationships/hyperlink" Target="https://www.supergen-bioenergy.net/wp-content/uploads/2019/06/Bioenergy-and-waste-gasification-report-2019.pdf" TargetMode="External"/><Relationship Id="rId141" Type="http://schemas.openxmlformats.org/officeDocument/2006/relationships/hyperlink" Target="http://www.renewableenergyfocus.com/view/42805/rwe-starts-up-power-to-gas-plant-in-germany-featuring-itm-power-electrolyser/" TargetMode="External"/><Relationship Id="rId379" Type="http://schemas.openxmlformats.org/officeDocument/2006/relationships/hyperlink" Target="https://open.alberta.ca/dataset/f74375f3-3c73-4b9c-af2b-ef44e59b7890/resource/ff260985-e616-4d2e-92e0-9b91f5590136/download/energy-quest-annual-summary-alberta-department-of-energy-2019.pdf" TargetMode="External"/><Relationship Id="rId7" Type="http://schemas.openxmlformats.org/officeDocument/2006/relationships/hyperlink" Target="https://www.toyota-tsusho.com/english/press/detail/170929_004155.html" TargetMode="External"/><Relationship Id="rId183" Type="http://schemas.openxmlformats.org/officeDocument/2006/relationships/hyperlink" Target="https://static1.squarespace.com/static/5d3f0387728026000121b2a2/t/5e2061aff0b63e06cfe3bfa5/1579180467000/13_200115_GreenFlamingo_IPCEI+Workshop+15+Jan20+V7.1.pdf" TargetMode="External"/><Relationship Id="rId239" Type="http://schemas.openxmlformats.org/officeDocument/2006/relationships/hyperlink" Target="https://www.zerocarbonhumber.co.uk/wp-content/uploads/2019/11/HUMBER-DIGITAL-V4.6-reduced.pdf" TargetMode="External"/><Relationship Id="rId390" Type="http://schemas.openxmlformats.org/officeDocument/2006/relationships/hyperlink" Target="https://www.smartenergy.net/100mw-green-hydrogen-project-to-decarbonize-the-full-value-chain-of-one-of-the-major-european-ceramic-clusters/" TargetMode="External"/><Relationship Id="rId404" Type="http://schemas.openxmlformats.org/officeDocument/2006/relationships/hyperlink" Target="https://www.spglobal.com/marketintelligence/en/news-insights/latest-news-headlines/fortescue-seeks-to-build-green-hydrogen-plant-in-brazil-8211-reuters-63181918" TargetMode="External"/><Relationship Id="rId250" Type="http://schemas.openxmlformats.org/officeDocument/2006/relationships/hyperlink" Target="https://asianrehub.com/about/" TargetMode="External"/><Relationship Id="rId292" Type="http://schemas.openxmlformats.org/officeDocument/2006/relationships/hyperlink" Target="https://www.engie.cl/enaex-engie-la-transicion-hacia-el-cero-carbono-en-la-mineria-chilena/" TargetMode="External"/><Relationship Id="rId306" Type="http://schemas.openxmlformats.org/officeDocument/2006/relationships/hyperlink" Target="https://www.toshiba.co.jp/about/press/2016_04/pr2101.htm" TargetMode="External"/><Relationship Id="rId45" Type="http://schemas.openxmlformats.org/officeDocument/2006/relationships/hyperlink" Target="https://www.thechemicalengineer.com/news/world-s-largest-dynamic-hydrogen-electrolysis-plant-inaugurated/" TargetMode="External"/><Relationship Id="rId87" Type="http://schemas.openxmlformats.org/officeDocument/2006/relationships/hyperlink" Target="https://www.ocap.nl/nl/" TargetMode="External"/><Relationship Id="rId110" Type="http://schemas.openxmlformats.org/officeDocument/2006/relationships/hyperlink" Target="https://www.deme-group.com/news/deme-and-partners-present-hyportrduqm-large-scale-green-hydrogen-project-oman-1" TargetMode="External"/><Relationship Id="rId348" Type="http://schemas.openxmlformats.org/officeDocument/2006/relationships/hyperlink" Target="https://www.sunfire.de/de/unternehmen/news/detail/naechste-generation-der-hochtemperatur-elektrolyse-gestartet" TargetMode="External"/><Relationship Id="rId152" Type="http://schemas.openxmlformats.org/officeDocument/2006/relationships/hyperlink" Target="https://www.businesswire.com/news/home/20161220005202/en/Proton-OnSite-Awarded-13-Megawatt-Electrolyzers" TargetMode="External"/><Relationship Id="rId194" Type="http://schemas.openxmlformats.org/officeDocument/2006/relationships/hyperlink" Target="https://www.portofantwerp.com/en/news/port-antwerp-brings-different-players-together-produce-sustainable-methanol" TargetMode="External"/><Relationship Id="rId208" Type="http://schemas.openxmlformats.org/officeDocument/2006/relationships/hyperlink" Target="https://meltwater.pressify.io/publication/5e79bf403083780004d7cb4c/5df7589de3f2f21000aa4852?&amp;sh=false" TargetMode="External"/><Relationship Id="rId415" Type="http://schemas.openxmlformats.org/officeDocument/2006/relationships/hyperlink" Target="https://ijglobal.com/articles/157261/india-to-pilot-green-hydrogen-at-hospital" TargetMode="External"/><Relationship Id="rId261" Type="http://schemas.openxmlformats.org/officeDocument/2006/relationships/hyperlink" Target="https://www.h2-view.com/story/shell-wants-to-create-a-green-hydrogen-hub-in-the-port-of-rotterdam/" TargetMode="External"/><Relationship Id="rId14" Type="http://schemas.openxmlformats.org/officeDocument/2006/relationships/hyperlink" Target="https://www.open-grid-europe.com/cps/rde/oge-internet/hs.xsl/H2morrow-3571.htm" TargetMode="External"/><Relationship Id="rId56" Type="http://schemas.openxmlformats.org/officeDocument/2006/relationships/hyperlink" Target="https://investor.fce.com/press-releases/press-release-details/2020/Development-of-the-FuelCell-Energy-Project-at-Toyotas-Port-of-Long-Beach-Facility-to-Proceed---California-Public-Utilities-Commission-Reaffirms-that-the-Use-of-Directed-Biogas-under-the-Bioenergy-Market-Adjusting-Tariff-BioMAT-Program-is-Permissible/default.aspx" TargetMode="External"/><Relationship Id="rId317" Type="http://schemas.openxmlformats.org/officeDocument/2006/relationships/hyperlink" Target="https://www.electrive.com/2020/06/17/barcelona-releases-tender-for-8-hydrogen-buses/" TargetMode="External"/><Relationship Id="rId359" Type="http://schemas.openxmlformats.org/officeDocument/2006/relationships/hyperlink" Target="https://www.hydrogendays.cz/2016/admin/scripts/source/presentations/PL%2005_%20Denis%20Thomas_HDs2016.pdf" TargetMode="External"/><Relationship Id="rId98" Type="http://schemas.openxmlformats.org/officeDocument/2006/relationships/hyperlink" Target="https://hy-gro.net/en/newsitem/stadsdistributie-op-waterstof-stap-dichterbij-door-bouw-tankstation-in-alkmaar" TargetMode="External"/><Relationship Id="rId121" Type="http://schemas.openxmlformats.org/officeDocument/2006/relationships/hyperlink" Target="http://www.haeolus.eu/?page_id=553" TargetMode="External"/><Relationship Id="rId163" Type="http://schemas.openxmlformats.org/officeDocument/2006/relationships/hyperlink" Target="https://www.vtt.fi/sites/bioeconomyplus/en/contacts" TargetMode="External"/><Relationship Id="rId219" Type="http://schemas.openxmlformats.org/officeDocument/2006/relationships/hyperlink" Target="https://www.sciencedirect.com/science/article/pii/S0360319908007027" TargetMode="External"/><Relationship Id="rId370" Type="http://schemas.openxmlformats.org/officeDocument/2006/relationships/hyperlink" Target="https://monolithmaterials.com/news/monolith-materials-carbon-free-ammonia-plant" TargetMode="External"/><Relationship Id="rId230" Type="http://schemas.openxmlformats.org/officeDocument/2006/relationships/hyperlink" Target="http://www.labtech-hydrogen.com/index.php?page=IHAVU" TargetMode="External"/><Relationship Id="rId25" Type="http://schemas.openxmlformats.org/officeDocument/2006/relationships/hyperlink" Target="https://www.green-industrial-hydrogen.com/" TargetMode="External"/><Relationship Id="rId67" Type="http://schemas.openxmlformats.org/officeDocument/2006/relationships/hyperlink" Target="https://nelhydrogen.com/press-release/nel-asa-receives-purchase-order-for-h2station-fueling-station-solution-for-taxis-in-copenhagen/" TargetMode="External"/><Relationship Id="rId272" Type="http://schemas.openxmlformats.org/officeDocument/2006/relationships/hyperlink" Target="https://www.prnewswire.co.uk/news-releases/launch-of-sweden-s-largest-carbon-capture-and-storage-plant-801623131.html" TargetMode="External"/><Relationship Id="rId328" Type="http://schemas.openxmlformats.org/officeDocument/2006/relationships/hyperlink" Target="https://www.rechargenews.com/transition/world-s-first-carbon-negative-hydrogen-project-gets-green-light/2-1-850916" TargetMode="External"/><Relationship Id="rId132" Type="http://schemas.openxmlformats.org/officeDocument/2006/relationships/hyperlink" Target="https://new.siemens.com/au/en/company/press-centre/2019/murchison-renewable-hydrogen-project.html" TargetMode="External"/><Relationship Id="rId174" Type="http://schemas.openxmlformats.org/officeDocument/2006/relationships/hyperlink" Target="https://energyandmines.com/2017/06/worlds-first-247-solar-hydrogen-lithium-energy-storage-microgrid-comes-online/" TargetMode="External"/><Relationship Id="rId381" Type="http://schemas.openxmlformats.org/officeDocument/2006/relationships/hyperlink" Target="https://www.poerner.at/en/media/pressemitteilung/news/e-crude-klimaneutraler-erdoelersatz-aus-co2-wasser-und-oekostrom/?tx_news_pi1%5Bcontroller%5D=News&amp;tx_news_pi1%5Baction%5D=detail&amp;cHash=685eb0b65e1ede82f72fca3fd907fe90" TargetMode="External"/><Relationship Id="rId241" Type="http://schemas.openxmlformats.org/officeDocument/2006/relationships/hyperlink" Target="https://www.greencarcongress.com/2016/03/20160304-h2logic.html" TargetMode="External"/><Relationship Id="rId36" Type="http://schemas.openxmlformats.org/officeDocument/2006/relationships/hyperlink" Target="https://www.hysyngas.de/" TargetMode="External"/><Relationship Id="rId283" Type="http://schemas.openxmlformats.org/officeDocument/2006/relationships/hyperlink" Target="https://www.statkraft.com/newsroom/news-and-stories/archive/2020/hydrogen-og-stal/" TargetMode="External"/><Relationship Id="rId339" Type="http://schemas.openxmlformats.org/officeDocument/2006/relationships/hyperlink" Target="https://www.green-industrial-hydrogen.com/project/news/sunfire-delivers-the-worlds-largest-high-temperatur-electrolyzer-to-salzgitter-flachstahl" TargetMode="External"/><Relationship Id="rId78" Type="http://schemas.openxmlformats.org/officeDocument/2006/relationships/hyperlink" Target="https://www.certifhy.eu/project-description/pilot-projects.html" TargetMode="External"/><Relationship Id="rId101" Type="http://schemas.openxmlformats.org/officeDocument/2006/relationships/hyperlink" Target="https://hydrospider.ch/en/production_niedergoesgen/" TargetMode="External"/><Relationship Id="rId143" Type="http://schemas.openxmlformats.org/officeDocument/2006/relationships/hyperlink" Target="https://www.sciencedaily.com/releases/2015/01/150109045544.htm" TargetMode="External"/><Relationship Id="rId185" Type="http://schemas.openxmlformats.org/officeDocument/2006/relationships/hyperlink" Target="https://cordis.europa.eu/project/id/875123/pl" TargetMode="External"/><Relationship Id="rId350" Type="http://schemas.openxmlformats.org/officeDocument/2006/relationships/hyperlink" Target="http://www.powertogas.info/power-to-gas/pilotprojekte-im-ueberblick/co2rrect/" TargetMode="External"/><Relationship Id="rId406" Type="http://schemas.openxmlformats.org/officeDocument/2006/relationships/hyperlink" Target="https://www.energiaestrategica.com/estos-son-los-siete-proyectos-clave-en-hidrogeno-verde-del-sector-privado-en-chile/" TargetMode="External"/><Relationship Id="rId9" Type="http://schemas.openxmlformats.org/officeDocument/2006/relationships/hyperlink" Target="https://www.toshiba.co.jp/about/press/2015_04/pr2001.htm" TargetMode="External"/><Relationship Id="rId210" Type="http://schemas.openxmlformats.org/officeDocument/2006/relationships/hyperlink" Target="https://www.fluxys.com/en/press-releases/fluxys-group/2020/200227_press_hyoffwind_installation" TargetMode="External"/><Relationship Id="rId392" Type="http://schemas.openxmlformats.org/officeDocument/2006/relationships/hyperlink" Target="https://www.lavanguardia.com/vida/20201210/6109974/comunidad-madrid-construira-planta-hidrogeno-verde.html" TargetMode="External"/><Relationship Id="rId252" Type="http://schemas.openxmlformats.org/officeDocument/2006/relationships/hyperlink" Target="https://www.rechargenews.com/transition/portugal-plans-5bn-green-hydrogen-plant-to-lead-covid-fightback-report/2-1-801284" TargetMode="External"/><Relationship Id="rId294" Type="http://schemas.openxmlformats.org/officeDocument/2006/relationships/hyperlink" Target="https://www.h2-view.com/story/plans-unveiled-for-north-queenslands-first-renewable-hydrogen-facility/" TargetMode="External"/><Relationship Id="rId308" Type="http://schemas.openxmlformats.org/officeDocument/2006/relationships/hyperlink" Target="https://www.toshiba-energy.com/en/info/info2019_0322.htm" TargetMode="External"/><Relationship Id="rId47" Type="http://schemas.openxmlformats.org/officeDocument/2006/relationships/hyperlink" Target="https://reneweconomy.com.au/s-a-to-host-australias-first-green-hydrogen-power-plant-89447/" TargetMode="External"/><Relationship Id="rId89" Type="http://schemas.openxmlformats.org/officeDocument/2006/relationships/hyperlink" Target="http://documents.ieaghg.org/index.php/s/4hyafrmhu2bobOs/download" TargetMode="External"/><Relationship Id="rId112" Type="http://schemas.openxmlformats.org/officeDocument/2006/relationships/hyperlink" Target="https://www.cenews.com.cn/company/201912/t20191227_923699.html" TargetMode="External"/><Relationship Id="rId154" Type="http://schemas.openxmlformats.org/officeDocument/2006/relationships/hyperlink" Target="https://www.nvnom.com/homepage/power-gas-plant-delfzijl/" TargetMode="External"/><Relationship Id="rId361" Type="http://schemas.openxmlformats.org/officeDocument/2006/relationships/hyperlink" Target="https://www.nrel.gov/aries/" TargetMode="External"/><Relationship Id="rId196" Type="http://schemas.openxmlformats.org/officeDocument/2006/relationships/hyperlink" Target="https://www.portofoostende.be/sites/default/files/PPT-Facts%26Myths-2019_09_17-02_Dennis-Thomas_Hydrogenics.pdf" TargetMode="External"/><Relationship Id="rId417" Type="http://schemas.openxmlformats.org/officeDocument/2006/relationships/hyperlink" Target="https://fuelcellsworks.com/news/linde-signs-long-term-agreement-with-infineon-technologies-for-on-site-green-hydrogen-production/?mc_cid=e5c7eff1d8&amp;mc_eid=da4624d261" TargetMode="External"/><Relationship Id="rId16" Type="http://schemas.openxmlformats.org/officeDocument/2006/relationships/hyperlink" Target="https://www.refiningandpetrochemicalsme.com/products-services/26715-air-liquide-signs-long-term-deal-to-provide-hydrogen-to-pilipinas-shells-tabangao-refinery" TargetMode="External"/><Relationship Id="rId221" Type="http://schemas.openxmlformats.org/officeDocument/2006/relationships/hyperlink" Target="https://www.dnvgl.com/oilgas/perspectives/heating-dutch-homes-with-hydrogen.html" TargetMode="External"/><Relationship Id="rId263" Type="http://schemas.openxmlformats.org/officeDocument/2006/relationships/hyperlink" Target="https://hy-gro.net/en/newsitem/press-release-hydrogen-turbine-construction-starts?" TargetMode="External"/><Relationship Id="rId319" Type="http://schemas.openxmlformats.org/officeDocument/2006/relationships/hyperlink" Target="https://www.idag.dk/article/view/726710/fra_ptxide_til_virkelighed_danmarks_forste_emethanolanlaeg_producerer_flydende_el" TargetMode="External"/><Relationship Id="rId58" Type="http://schemas.openxmlformats.org/officeDocument/2006/relationships/hyperlink" Target="https://crystalbrookenergypark.com.au/" TargetMode="External"/><Relationship Id="rId123" Type="http://schemas.openxmlformats.org/officeDocument/2006/relationships/hyperlink" Target="https://cordis.europa.eu/project/id/700092" TargetMode="External"/><Relationship Id="rId330" Type="http://schemas.openxmlformats.org/officeDocument/2006/relationships/hyperlink" Target="https://www.reuters.com/article/us-sweden-steel-hydrogen/swedens-hybrit-starts-operations-at-pilot-plant-for-fossil-free-steel-idUSKBN25R1PI" TargetMode="External"/><Relationship Id="rId165" Type="http://schemas.openxmlformats.org/officeDocument/2006/relationships/hyperlink" Target="https://www.postauto.ch/en/news/five-years-hydrogen-powered-travel" TargetMode="External"/><Relationship Id="rId372" Type="http://schemas.openxmlformats.org/officeDocument/2006/relationships/hyperlink" Target="http://www.kit.edu/kit/pi_2019_107_kohlendioxidneutrale-kraftstoffe-aus-luft-und-strom.php" TargetMode="External"/><Relationship Id="rId232" Type="http://schemas.openxmlformats.org/officeDocument/2006/relationships/hyperlink" Target="https://pale-blu.com/acorn/" TargetMode="External"/><Relationship Id="rId274" Type="http://schemas.openxmlformats.org/officeDocument/2006/relationships/hyperlink" Target="https://cordis.europa.eu/project/id/884229/es" TargetMode="External"/><Relationship Id="rId27" Type="http://schemas.openxmlformats.org/officeDocument/2006/relationships/hyperlink" Target="https://hynet.co.uk/" TargetMode="External"/><Relationship Id="rId69" Type="http://schemas.openxmlformats.org/officeDocument/2006/relationships/hyperlink" Target="https://industry.airliquide.ca/air-liquide-invests-worlds-largest-membrane-based-electrolyzer-develop-its-carbon-free-hydrogen" TargetMode="External"/><Relationship Id="rId134" Type="http://schemas.openxmlformats.org/officeDocument/2006/relationships/hyperlink" Target="https://www.gasunie.nl/en/news/europes-largest-green-hydrogen-project-starts-in-groningen" TargetMode="External"/><Relationship Id="rId80" Type="http://schemas.openxmlformats.org/officeDocument/2006/relationships/hyperlink" Target="https://www.smart-energy.com/renewable-energy/engie-signs-cooperation-deal-to-participate-in-hygreen-provence-project-air-liquede/" TargetMode="External"/><Relationship Id="rId176" Type="http://schemas.openxmlformats.org/officeDocument/2006/relationships/hyperlink" Target="https://www.engie-cofely.fr/publications/hydrogene-renouvelable-cea-grenoble/" TargetMode="External"/><Relationship Id="rId341" Type="http://schemas.openxmlformats.org/officeDocument/2006/relationships/hyperlink" Target="https://m.solarbe.com/21-0-330298-1.html?utm_campaign=China%20Clean%20Energy%20Syndicate%20&amp;utm_medium=email&amp;utm_source=Revue%20newsletter" TargetMode="External"/><Relationship Id="rId383" Type="http://schemas.openxmlformats.org/officeDocument/2006/relationships/hyperlink" Target="https://fuelcellsworks.com/news/zsw-green-hydrogen-production-at-power-to-gas-plant-in-grenzach-wyhlen-working-reliably/" TargetMode="External"/><Relationship Id="rId201" Type="http://schemas.openxmlformats.org/officeDocument/2006/relationships/hyperlink" Target="https://www.lemvigbiogas.com/MeGa-stoREfinalreport.pdf" TargetMode="External"/><Relationship Id="rId222" Type="http://schemas.openxmlformats.org/officeDocument/2006/relationships/hyperlink" Target="https://www.actaspa.com/projects/hydrogen-generator-demonstrated-by-abengoa/" TargetMode="External"/><Relationship Id="rId243" Type="http://schemas.openxmlformats.org/officeDocument/2006/relationships/hyperlink" Target="https://www.worldenergy.org/assets/downloads/1Hydrogen-an-enabler-of-the-Grand-Transition_FEL_WEC_2018_Final.pdf" TargetMode="External"/><Relationship Id="rId264" Type="http://schemas.openxmlformats.org/officeDocument/2006/relationships/hyperlink" Target="https://fuelcellsworks.com/news/poland-pgnig-launches-new-hydrogen-program/" TargetMode="External"/><Relationship Id="rId285" Type="http://schemas.openxmlformats.org/officeDocument/2006/relationships/hyperlink" Target="https://www.hydrogenics.com/2019/04/09/hydrogenics-to-deliver-first-green-hydrogen-production-station-to-new-zealand/" TargetMode="External"/><Relationship Id="rId17" Type="http://schemas.openxmlformats.org/officeDocument/2006/relationships/hyperlink" Target="http://www.carboncapturejournal.com/ViewNews.aspx?NewsID=4220" TargetMode="External"/><Relationship Id="rId38" Type="http://schemas.openxmlformats.org/officeDocument/2006/relationships/hyperlink" Target="https://www.yara.com/news-and-media/news/archive/2019/yara-and-engie-to-test-green-hydrogen-technology-in-fertilizer-production/" TargetMode="External"/><Relationship Id="rId59" Type="http://schemas.openxmlformats.org/officeDocument/2006/relationships/hyperlink" Target="http://www.renewablessa.sa.gov.au/content/uploads/2019/01/hydrogen-rd-in-sa-report-nov2018.pdf" TargetMode="External"/><Relationship Id="rId103" Type="http://schemas.openxmlformats.org/officeDocument/2006/relationships/hyperlink" Target="https://www.hydrogenics.com/2018/10/15/hydrogenics-to-supply-large-scale-pem-electrolyzer-for-hydrogen-fueling-station-in-europe/" TargetMode="External"/><Relationship Id="rId124" Type="http://schemas.openxmlformats.org/officeDocument/2006/relationships/hyperlink" Target="https://www.storeandgo.info/about-the-project/" TargetMode="External"/><Relationship Id="rId310" Type="http://schemas.openxmlformats.org/officeDocument/2006/relationships/hyperlink" Target="https://www.toshiba-energy.com/en/info/info2019_1030.htm" TargetMode="External"/><Relationship Id="rId70" Type="http://schemas.openxmlformats.org/officeDocument/2006/relationships/hyperlink" Target="https://www.sunfire.de/en/company/news/detail/first-commercial-plant-for-the-production-of-blue-crude-planned-in-norway" TargetMode="External"/><Relationship Id="rId91" Type="http://schemas.openxmlformats.org/officeDocument/2006/relationships/hyperlink" Target="https://actl.ca/" TargetMode="External"/><Relationship Id="rId145" Type="http://schemas.openxmlformats.org/officeDocument/2006/relationships/hyperlink" Target="https://www.sciencedirect.com/science/article/pii/S1464285919300239" TargetMode="External"/><Relationship Id="rId166" Type="http://schemas.openxmlformats.org/officeDocument/2006/relationships/hyperlink" Target="http://www.hydrogenics.com/2016/12/29/hydrogenics-chosen-for-fuel-cell-award-in-china/" TargetMode="External"/><Relationship Id="rId187" Type="http://schemas.openxmlformats.org/officeDocument/2006/relationships/hyperlink" Target="https://www.hydrogen4climateaction.eu/programme" TargetMode="External"/><Relationship Id="rId331" Type="http://schemas.openxmlformats.org/officeDocument/2006/relationships/hyperlink" Target="https://cadenaser.com/ser/2020/09/02/ciencia/1599038500_420120.html" TargetMode="External"/><Relationship Id="rId352" Type="http://schemas.openxmlformats.org/officeDocument/2006/relationships/hyperlink" Target="https://news.cision.com/nel-asa/r/nel-signs-loi-with-statkraft-for-a-green-hydrogen-project-with-up-to-50mw-of-electrolyser-capacity,c3228323" TargetMode="External"/><Relationship Id="rId373" Type="http://schemas.openxmlformats.org/officeDocument/2006/relationships/hyperlink" Target="https://www.umweltfoerderung.at/fileadmin/user_upload/pics/allgemein/News/Innovation_Fund_092019/7_Langhammer_D_OMV_UpHy.pdf" TargetMode="External"/><Relationship Id="rId394" Type="http://schemas.openxmlformats.org/officeDocument/2006/relationships/hyperlink" Target="https://www.snam.it/en/Media/Press-releases/2021/Tenaris_Edison_Snam_trial_steelmaking_green_hydrogen_Dalmine_Italy.html" TargetMode="External"/><Relationship Id="rId408" Type="http://schemas.openxmlformats.org/officeDocument/2006/relationships/hyperlink" Target="https://www.ssme.gov.py/vmme/index.php?option=com_content&amp;view=article&amp;id=2020:proyecto-qla-ruta-del-hidrogeno-h2-en-paraguay&amp;catid=96:sample-news&amp;Itemid=552" TargetMode="External"/><Relationship Id="rId1" Type="http://schemas.openxmlformats.org/officeDocument/2006/relationships/hyperlink" Target="https://www.energate-messenger.de/news/186936/reallabor-fuer-wasserstoff-grossprojekt" TargetMode="External"/><Relationship Id="rId212" Type="http://schemas.openxmlformats.org/officeDocument/2006/relationships/hyperlink" Target="https://oge.net/en/us/projects/westkueste-100" TargetMode="External"/><Relationship Id="rId233" Type="http://schemas.openxmlformats.org/officeDocument/2006/relationships/hyperlink" Target="https://nelhydrogen.com/press-release/nel-asa-awarded-contract-with-asko-for-hydrogen-production-and-fueling-solution-in-trondheim/" TargetMode="External"/><Relationship Id="rId254" Type="http://schemas.openxmlformats.org/officeDocument/2006/relationships/hyperlink" Target="https://ijglobal.com/articles/147180/western-australia-green-hydrogen-project-progressing" TargetMode="External"/><Relationship Id="rId28" Type="http://schemas.openxmlformats.org/officeDocument/2006/relationships/hyperlink" Target="https://fuelcellsworks.com/news/hydrogen-pilot-project-h2morrow-to-support-deep-decarbonization-of-german-industry/" TargetMode="External"/><Relationship Id="rId49" Type="http://schemas.openxmlformats.org/officeDocument/2006/relationships/hyperlink" Target="http://www.renewablessa.sa.gov.au/content/uploads/2019/01/hydrogen-rd-in-sa-report-nov2018.pdf" TargetMode="External"/><Relationship Id="rId114" Type="http://schemas.openxmlformats.org/officeDocument/2006/relationships/hyperlink" Target="https://www.eqmagpro.com/wp-content/uploads/2016/10/Annexure-IV-Report-on-Hydrogen-Production.pdf" TargetMode="External"/><Relationship Id="rId275" Type="http://schemas.openxmlformats.org/officeDocument/2006/relationships/hyperlink" Target="https://reneweconomy.com.au/massive-1000mw-baseload-wind-solar-and-hydrogen-plant-pitched-for-nsw-16049/" TargetMode="External"/><Relationship Id="rId296" Type="http://schemas.openxmlformats.org/officeDocument/2006/relationships/hyperlink" Target="https://en.media.airliquide.com/news/air-liquide-will-build-the-first-high-pressure-hydrogen-refueling-station-for-long-haul-trucks-in-europe-803c-56033.html" TargetMode="External"/><Relationship Id="rId300" Type="http://schemas.openxmlformats.org/officeDocument/2006/relationships/hyperlink" Target="https://www.spglobal.com/platts/en/market-insights/latest-news/electric-power/062620-swiss-based-hydrospider-goes-operational-for-mobility-sector" TargetMode="External"/><Relationship Id="rId60" Type="http://schemas.openxmlformats.org/officeDocument/2006/relationships/hyperlink" Target="https://thewest.com.au/business/energy/hazer-group-wants-to-make-clean-hydrogen-from-perth-sewerage-ng-b881217005z" TargetMode="External"/><Relationship Id="rId81" Type="http://schemas.openxmlformats.org/officeDocument/2006/relationships/hyperlink" Target="https://www.engie.com/business-case/engie-x-hygreen" TargetMode="External"/><Relationship Id="rId135" Type="http://schemas.openxmlformats.org/officeDocument/2006/relationships/hyperlink" Target="https://www.next-kraftwerke.com/company/case-studies/electrolysis-hydrogen-with-excess-renewables" TargetMode="External"/><Relationship Id="rId156" Type="http://schemas.openxmlformats.org/officeDocument/2006/relationships/hyperlink" Target="https://www.proactiveinvestors.co.uk/companies/news/222913/itm-power-announces-opening-of-gasunies-hystock-green-hydrogen-plant-222913.html" TargetMode="External"/><Relationship Id="rId177" Type="http://schemas.openxmlformats.org/officeDocument/2006/relationships/hyperlink" Target="http://www.energy-observer.org/en/" TargetMode="External"/><Relationship Id="rId198" Type="http://schemas.openxmlformats.org/officeDocument/2006/relationships/hyperlink" Target="http://www.ptg-bw.de/" TargetMode="External"/><Relationship Id="rId321" Type="http://schemas.openxmlformats.org/officeDocument/2006/relationships/hyperlink" Target="https://www.ft.com/content/19d3e1ff-748b-4e86-957a-8fe018f64b9b" TargetMode="External"/><Relationship Id="rId342" Type="http://schemas.openxmlformats.org/officeDocument/2006/relationships/hyperlink" Target="https://www.energias-renovables.com/eolica/como-producir-hidrogeno-con-energia-eolica-20200417" TargetMode="External"/><Relationship Id="rId363" Type="http://schemas.openxmlformats.org/officeDocument/2006/relationships/hyperlink" Target="https://cordis.europa.eu/project/rcn/94279_fr.html" TargetMode="External"/><Relationship Id="rId384" Type="http://schemas.openxmlformats.org/officeDocument/2006/relationships/hyperlink" Target="http://energystorageexchange.org/projects/2349" TargetMode="External"/><Relationship Id="rId419" Type="http://schemas.openxmlformats.org/officeDocument/2006/relationships/hyperlink" Target="https://www.greencarcongress.com/2021/08/20210819-bakken.html" TargetMode="External"/><Relationship Id="rId202" Type="http://schemas.openxmlformats.org/officeDocument/2006/relationships/hyperlink" Target="https://oge.net/en/us/projects/westkueste-100" TargetMode="External"/><Relationship Id="rId223" Type="http://schemas.openxmlformats.org/officeDocument/2006/relationships/hyperlink" Target="https://www.universita.corsica/en/research/myrte/" TargetMode="External"/><Relationship Id="rId244" Type="http://schemas.openxmlformats.org/officeDocument/2006/relationships/hyperlink" Target="http://www.amm-mcrc.org/Download/source/MCRCBrouchure.pdf" TargetMode="External"/><Relationship Id="rId18" Type="http://schemas.openxmlformats.org/officeDocument/2006/relationships/hyperlink" Target="https://hydeploy.co.uk/" TargetMode="External"/><Relationship Id="rId39" Type="http://schemas.openxmlformats.org/officeDocument/2006/relationships/hyperlink" Target="https://www.agig.com.au/pioneering-sa-hydrogen-facility" TargetMode="External"/><Relationship Id="rId265" Type="http://schemas.openxmlformats.org/officeDocument/2006/relationships/hyperlink" Target="http://ely4off.eu/wp-content/uploads/2019/12/prd20191_ely4off.pdf" TargetMode="External"/><Relationship Id="rId286" Type="http://schemas.openxmlformats.org/officeDocument/2006/relationships/hyperlink" Target="https://www.lavenir.net/cnt/dmf20200529_01478987/feu-vert-de-l-executif-regional-pour-une-station-d-hydrogene" TargetMode="External"/><Relationship Id="rId50" Type="http://schemas.openxmlformats.org/officeDocument/2006/relationships/hyperlink" Target="http://www.abc.net.au/news/2017-08-08/trial-to-inject-hydrogen-into-gas-lines/8782956" TargetMode="External"/><Relationship Id="rId104" Type="http://schemas.openxmlformats.org/officeDocument/2006/relationships/hyperlink" Target="https://fuelcellsworks.com/news/first-hydrogen-bus-arrives-in-wuppertal-hydrogen-plant-completed-in-february-2020/" TargetMode="External"/><Relationship Id="rId125" Type="http://schemas.openxmlformats.org/officeDocument/2006/relationships/hyperlink" Target="http://www.powertogas.info/power-to-gas/pilotprojekte-im-ueberblick/exytron-demonstrationsanlage/" TargetMode="External"/><Relationship Id="rId146" Type="http://schemas.openxmlformats.org/officeDocument/2006/relationships/hyperlink" Target="http://h2b2.es/h2b2-has-finished-the-delivery-and-commissioning-of-an-electrolyser-system-to-vtt-technical-research-centre-of-finland-ltd/" TargetMode="External"/><Relationship Id="rId167" Type="http://schemas.openxmlformats.org/officeDocument/2006/relationships/hyperlink" Target="https://www.engie.com/en/news/using-hydrogen-to-reach-self-sufficiency/" TargetMode="External"/><Relationship Id="rId188" Type="http://schemas.openxmlformats.org/officeDocument/2006/relationships/hyperlink" Target="https://newenergycoalition.org/en/gzi-next-plan-for-construction-of-hydrogen-plant-in-emmen-parties-sign-letter-of-intent/" TargetMode="External"/><Relationship Id="rId311" Type="http://schemas.openxmlformats.org/officeDocument/2006/relationships/hyperlink" Target="https://www.powermag.com/worlds-first-integrated-hydrogen-power-to-power-demonstration-launched/" TargetMode="External"/><Relationship Id="rId332" Type="http://schemas.openxmlformats.org/officeDocument/2006/relationships/hyperlink" Target="https://www.reuters.com/article/germany-hydrogen-apex/germanys-apex-energy-launches-hydrogen-plant-near-rostock-idUSL8N2DP3WV" TargetMode="External"/><Relationship Id="rId353" Type="http://schemas.openxmlformats.org/officeDocument/2006/relationships/hyperlink" Target="https://bioenergyinternational.com/storage-logistics/everfuel-and-shell-enter-into-strategic-collaboration-on-a-large-scale-hydrogen-plant" TargetMode="External"/><Relationship Id="rId374" Type="http://schemas.openxmlformats.org/officeDocument/2006/relationships/hyperlink" Target="https://www.deltalinqs.nl/h-vision-en" TargetMode="External"/><Relationship Id="rId395" Type="http://schemas.openxmlformats.org/officeDocument/2006/relationships/hyperlink" Target="https://renewablesnow.com/news/plug-power-to-produce-green-hydrogen-with-power-from-brookfield-renewable-715248/" TargetMode="External"/><Relationship Id="rId409" Type="http://schemas.openxmlformats.org/officeDocument/2006/relationships/hyperlink" Target="https://www.northerngasnetworks.co.uk/event/h21-launches-national/" TargetMode="External"/><Relationship Id="rId71" Type="http://schemas.openxmlformats.org/officeDocument/2006/relationships/hyperlink" Target="https://www.toshiba-energy.com/en/info/info2018_0809.htm" TargetMode="External"/><Relationship Id="rId92" Type="http://schemas.openxmlformats.org/officeDocument/2006/relationships/hyperlink" Target="https://nwrsturgeonrefinery.com/" TargetMode="External"/><Relationship Id="rId213" Type="http://schemas.openxmlformats.org/officeDocument/2006/relationships/hyperlink" Target="http://www.westkueste100.de/" TargetMode="External"/><Relationship Id="rId234" Type="http://schemas.openxmlformats.org/officeDocument/2006/relationships/hyperlink" Target="https://www.navy.mil/submit/display.asp?story_id=92948" TargetMode="External"/><Relationship Id="rId420" Type="http://schemas.openxmlformats.org/officeDocument/2006/relationships/printerSettings" Target="../printerSettings/printerSettings4.bin"/><Relationship Id="rId2" Type="http://schemas.openxmlformats.org/officeDocument/2006/relationships/hyperlink" Target="https://skynrg.com/press-releases/klm-skynrg-and-shv-energy-announce-project-first-european-plant-for-sustainable-aviation-fuel/" TargetMode="External"/><Relationship Id="rId29" Type="http://schemas.openxmlformats.org/officeDocument/2006/relationships/hyperlink" Target="https://www.h21.green/projects/h21-north-of-england/" TargetMode="External"/><Relationship Id="rId255" Type="http://schemas.openxmlformats.org/officeDocument/2006/relationships/hyperlink" Target="https://www.pv-magazine.com/2020/04/30/chinese-coal-miner-starts-work-on-worlds-biggest-green-hydrogen-facility/" TargetMode="External"/><Relationship Id="rId276" Type="http://schemas.openxmlformats.org/officeDocument/2006/relationships/hyperlink" Target="https://www.bp.com/en/global/corporate/news-and-insights/press-releases/bp-australia-announces-feasibility-study-into-hydrogen-energy-production-facility.html" TargetMode="External"/><Relationship Id="rId297" Type="http://schemas.openxmlformats.org/officeDocument/2006/relationships/hyperlink" Target="https://www.toshiba-energy.com/en/hydrogen/results/index.htm" TargetMode="External"/><Relationship Id="rId40" Type="http://schemas.openxmlformats.org/officeDocument/2006/relationships/hyperlink" Target="https://fuelcellsworks.com/news/arcadis-hoogeveen-and-livefree-realize-the-first-hydrogen-based-residential-area-in-the-netherlands/" TargetMode="External"/><Relationship Id="rId115" Type="http://schemas.openxmlformats.org/officeDocument/2006/relationships/hyperlink" Target="https://www.cpuc.ca.gov/uploadedFiles/CPUC_Website/Content/Utilities_and_Industries/Energy/Energy_Programs/Gas/Natural_Gas_Market/Nov13LADWP.pdf" TargetMode="External"/><Relationship Id="rId136" Type="http://schemas.openxmlformats.org/officeDocument/2006/relationships/hyperlink" Target="https://www.energiepark-mainz.de/artikel-detailseite/article/langfristige-zukunft-fuer-den-energiepark-mainz/" TargetMode="External"/><Relationship Id="rId157" Type="http://schemas.openxmlformats.org/officeDocument/2006/relationships/hyperlink" Target="https://www.spglobal.com/platts/es/market-insights/latest-news/electric-power/012420-dutch-20-mw-green-hydrogen-electrolyzer-project-secures-eu-funding" TargetMode="External"/><Relationship Id="rId178" Type="http://schemas.openxmlformats.org/officeDocument/2006/relationships/hyperlink" Target="https://www.businesswire.com/news/home/20161220005202/en/Proton-OnSite-Awarded-13-Megawatt-Electrolyzers" TargetMode="External"/><Relationship Id="rId301" Type="http://schemas.openxmlformats.org/officeDocument/2006/relationships/hyperlink" Target="https://www.h2-view.com/story/itm-power-provides-trading-update/" TargetMode="External"/><Relationship Id="rId322" Type="http://schemas.openxmlformats.org/officeDocument/2006/relationships/hyperlink" Target="https://www.theguardian.com/environment/2020/jul/19/can-a-hydrogen-boom-fuel-a-green-recovery-for-britain" TargetMode="External"/><Relationship Id="rId343" Type="http://schemas.openxmlformats.org/officeDocument/2006/relationships/hyperlink" Target="https://participa.pt/pt/consulta/en-h2-estrategia-nacional-para-o-hidrogenio" TargetMode="External"/><Relationship Id="rId364" Type="http://schemas.openxmlformats.org/officeDocument/2006/relationships/hyperlink" Target="https://www.cfindustries.com/newsroom/2020/commitment-to-clean-energy-economy" TargetMode="External"/><Relationship Id="rId61" Type="http://schemas.openxmlformats.org/officeDocument/2006/relationships/hyperlink" Target="https://www.csiro.au/en/Do-business/Futures/Reports/Hydrogen-Roadmap" TargetMode="External"/><Relationship Id="rId82" Type="http://schemas.openxmlformats.org/officeDocument/2006/relationships/hyperlink" Target="https://new.siemens.com/mea/en/company/stories/energy/a-trailblazer-of-green-hydrogen.html" TargetMode="External"/><Relationship Id="rId199" Type="http://schemas.openxmlformats.org/officeDocument/2006/relationships/hyperlink" Target="http://www.ieabioenergy.com/wp-content/uploads/2017/10/4_Hybridwerk_Aarmatt_A.Lochbrunner.pdf" TargetMode="External"/><Relationship Id="rId203" Type="http://schemas.openxmlformats.org/officeDocument/2006/relationships/hyperlink" Target="https://www.hzwei.info/blog/2019/04/15/energiewende-als-gemeinschaftsprojekt/" TargetMode="External"/><Relationship Id="rId385" Type="http://schemas.openxmlformats.org/officeDocument/2006/relationships/hyperlink" Target="http://www.electropowersystems.com/portfolio-item/1mwh-with-h2-microgrid-in-the-atacama-desert-chile/" TargetMode="External"/><Relationship Id="rId19" Type="http://schemas.openxmlformats.org/officeDocument/2006/relationships/hyperlink" Target="https://www.powerengineeringint.com/2020/01/28/hyport-ostend-green-hydrogen-to-advance-belgian-energy-transition/" TargetMode="External"/><Relationship Id="rId224" Type="http://schemas.openxmlformats.org/officeDocument/2006/relationships/hyperlink" Target="https://www.lemoniteur.fr/article/un-demonstrateur-power-to-gas-en-service-a-nantes.1949184" TargetMode="External"/><Relationship Id="rId245" Type="http://schemas.openxmlformats.org/officeDocument/2006/relationships/hyperlink" Target="https://www.arci.res.in/facilities-cfct" TargetMode="External"/><Relationship Id="rId266" Type="http://schemas.openxmlformats.org/officeDocument/2006/relationships/hyperlink" Target="http://www.seafuel.eu/es/inicio/" TargetMode="External"/><Relationship Id="rId287" Type="http://schemas.openxmlformats.org/officeDocument/2006/relationships/hyperlink" Target="https://www.h2-view.com/story/repsol-unveils-green-hydrogen-project/" TargetMode="External"/><Relationship Id="rId410" Type="http://schemas.openxmlformats.org/officeDocument/2006/relationships/hyperlink" Target="https://globalnews.ca/news/7714950/proposed-alberta-methanol-project-carbon-capture/" TargetMode="External"/><Relationship Id="rId30" Type="http://schemas.openxmlformats.org/officeDocument/2006/relationships/hyperlink" Target="http://h2vnormandy-concertation.net/comprendre-projet/" TargetMode="External"/><Relationship Id="rId105" Type="http://schemas.openxmlformats.org/officeDocument/2006/relationships/hyperlink" Target="https://www.gasworld.com/toyota-to-build-74m-hydrogen-hub/2016842.article" TargetMode="External"/><Relationship Id="rId126" Type="http://schemas.openxmlformats.org/officeDocument/2006/relationships/hyperlink" Target="https://exytron.online/en/news/" TargetMode="External"/><Relationship Id="rId147" Type="http://schemas.openxmlformats.org/officeDocument/2006/relationships/hyperlink" Target="https://www.hytep.cz/projects/visegrad/images/news/hydrogen-mobility-in-visegrad-countries/H2nodes_Riga_transport_CZ_workshop_23_september_2019.pdf" TargetMode="External"/><Relationship Id="rId168" Type="http://schemas.openxmlformats.org/officeDocument/2006/relationships/hyperlink" Target="https://www.sciencedirect.com/science/article/pii/S1464285918300506" TargetMode="External"/><Relationship Id="rId312" Type="http://schemas.openxmlformats.org/officeDocument/2006/relationships/hyperlink" Target="https://www.engie-solutions.com/fr/actualites/hydrogene-michelin-morbihan" TargetMode="External"/><Relationship Id="rId333" Type="http://schemas.openxmlformats.org/officeDocument/2006/relationships/hyperlink" Target="https://www.eugcc-cleanergy.net/sites/default/files/3._session_1_damien_sage_engie.pdf" TargetMode="External"/><Relationship Id="rId354" Type="http://schemas.openxmlformats.org/officeDocument/2006/relationships/hyperlink" Target="https://reneweconomy.com.au/neoen-plans-worlds-biggest-solar-wind-powered-hydrogen-hub-in-s-a-53674/" TargetMode="External"/><Relationship Id="rId51" Type="http://schemas.openxmlformats.org/officeDocument/2006/relationships/hyperlink" Target="https://fuelcellsworks.com/news/1-28m-arena-backing-for-agn-to-establish-the-australian-hydrogen-centre/" TargetMode="External"/><Relationship Id="rId72" Type="http://schemas.openxmlformats.org/officeDocument/2006/relationships/hyperlink" Target="https://www.hamburg-news.hamburg/en/renewable-energy/hydrogen-becoming-technology-future/" TargetMode="External"/><Relationship Id="rId93" Type="http://schemas.openxmlformats.org/officeDocument/2006/relationships/hyperlink" Target="https://sequestration.mit.edu/tools/projects/quest.html" TargetMode="External"/><Relationship Id="rId189" Type="http://schemas.openxmlformats.org/officeDocument/2006/relationships/hyperlink" Target="https://cordis.europa.eu/project/id/826089" TargetMode="External"/><Relationship Id="rId375" Type="http://schemas.openxmlformats.org/officeDocument/2006/relationships/hyperlink" Target="https://www.topsectorenergie.nl/sites/default/files/uploads/TKI%20Gas/nieuws/Overview%20of%20Hydrogen%20project%20in%20the%20Netherlands.pdf" TargetMode="External"/><Relationship Id="rId396" Type="http://schemas.openxmlformats.org/officeDocument/2006/relationships/hyperlink" Target="https://www.liquidwind.se/flagships" TargetMode="External"/><Relationship Id="rId3" Type="http://schemas.openxmlformats.org/officeDocument/2006/relationships/hyperlink" Target="https://www.e-bridge.com/wp-content/uploads/2019/04/reNEWS_April-2019.pdf" TargetMode="External"/><Relationship Id="rId214" Type="http://schemas.openxmlformats.org/officeDocument/2006/relationships/hyperlink" Target="https://www.uniper.energy/storage/what-we-do/power-to-gas" TargetMode="External"/><Relationship Id="rId235" Type="http://schemas.openxmlformats.org/officeDocument/2006/relationships/hyperlink" Target="https://www.lemvigbiogas.com/MeGa-stoREfinalreport.pdf" TargetMode="External"/><Relationship Id="rId256" Type="http://schemas.openxmlformats.org/officeDocument/2006/relationships/hyperlink" Target="https://allesoverwaterstof.nl/mega-waterstofproject-opgestart-in-nieuwegein/" TargetMode="External"/><Relationship Id="rId277" Type="http://schemas.openxmlformats.org/officeDocument/2006/relationships/hyperlink" Target="https://www.norsk-e-fuel.com/en/" TargetMode="External"/><Relationship Id="rId298" Type="http://schemas.openxmlformats.org/officeDocument/2006/relationships/hyperlink" Target="https://www.thechemicalengineer.com/news/two-new-large-scale-ccus-facilities-now-in-operation/" TargetMode="External"/><Relationship Id="rId400" Type="http://schemas.openxmlformats.org/officeDocument/2006/relationships/hyperlink" Target="https://www.topsectorenergie.nl/sites/default/files/uploads/TKI%20Gas/publicaties/Overview%20Hydrogen%20projects%20in%20the%20Netherlands%20-%20version%2018%20May%202021.pdf" TargetMode="External"/><Relationship Id="rId116" Type="http://schemas.openxmlformats.org/officeDocument/2006/relationships/hyperlink" Target="https://www.spglobal.com/platts/en/market-insights/latest-news/coal/031020-cea-led-consortium-launches-26-mw-rotterdam-green-h2-project" TargetMode="External"/><Relationship Id="rId137" Type="http://schemas.openxmlformats.org/officeDocument/2006/relationships/hyperlink" Target="https://www.nouryon.com/news-and-events/news-overview/2019/bp-nouryon-and-port-of-rotterdam-partner-on-green-hydrogen-study/" TargetMode="External"/><Relationship Id="rId158" Type="http://schemas.openxmlformats.org/officeDocument/2006/relationships/hyperlink" Target="https://bioenergyinternational.com/storage-logistics/gasunie-invest-first-1-mw-power-gas-installation-netherlands" TargetMode="External"/><Relationship Id="rId302" Type="http://schemas.openxmlformats.org/officeDocument/2006/relationships/hyperlink" Target="https://www.toshiba-energy.com/en/info/info2020_0610.htm" TargetMode="External"/><Relationship Id="rId323" Type="http://schemas.openxmlformats.org/officeDocument/2006/relationships/hyperlink" Target="https://fuelcellsworks.com/news/enagas-receives-eu-support-for-the-development-of-hydrogen-station-in-madrid/" TargetMode="External"/><Relationship Id="rId344" Type="http://schemas.openxmlformats.org/officeDocument/2006/relationships/hyperlink" Target="https://www.foederal-erneuerbar.de/best-practice-detailseite/items/power-to-gas-anlage-speist-biomethan-ins-erdgasnetz" TargetMode="External"/><Relationship Id="rId20" Type="http://schemas.openxmlformats.org/officeDocument/2006/relationships/hyperlink" Target="https://press.siemens.com/global/en/pressrelease/siemens-delivers-pem-electrolyzer-salzgitter-ag" TargetMode="External"/><Relationship Id="rId41" Type="http://schemas.openxmlformats.org/officeDocument/2006/relationships/hyperlink" Target="https://ramboll.com/media/rgr/carbon-capture-and-e-fuel-production-in-greenland" TargetMode="External"/><Relationship Id="rId62" Type="http://schemas.openxmlformats.org/officeDocument/2006/relationships/hyperlink" Target="https://www.greencarcongress.com/2020/03/20200308-fh2r.html" TargetMode="External"/><Relationship Id="rId83" Type="http://schemas.openxmlformats.org/officeDocument/2006/relationships/hyperlink" Target="https://www.focus.de/wissen/technik/mobilitaet/antriebe/tid-23218/wunderkraftstoff-schadstofffrei-in-die-zukunft_aid_652598.html" TargetMode="External"/><Relationship Id="rId179" Type="http://schemas.openxmlformats.org/officeDocument/2006/relationships/hyperlink" Target="https://mnre.gov.in/sites/default/files/uploads/Shrinet-ERDA.pdf" TargetMode="External"/><Relationship Id="rId365" Type="http://schemas.openxmlformats.org/officeDocument/2006/relationships/hyperlink" Target="https://www.h2-view.com/story/cf-industries-to-construct-green-hydrogen-based-ammonia-facility-in-louisiana/" TargetMode="External"/><Relationship Id="rId386" Type="http://schemas.openxmlformats.org/officeDocument/2006/relationships/hyperlink" Target="https://www.eqmagpro.com/wp-content/uploads/2016/10/Annexure-IV-Report-on-Hydrogen-Production.pdf" TargetMode="External"/><Relationship Id="rId190" Type="http://schemas.openxmlformats.org/officeDocument/2006/relationships/hyperlink" Target="https://www.remote-euproject.eu/remote-project/" TargetMode="External"/><Relationship Id="rId204" Type="http://schemas.openxmlformats.org/officeDocument/2006/relationships/hyperlink" Target="https://cordis.europa.eu/project/id/875090/pl" TargetMode="External"/><Relationship Id="rId225" Type="http://schemas.openxmlformats.org/officeDocument/2006/relationships/hyperlink" Target="https://polytech.univ-nantes.fr/une-ecole-sur-3-campus/actualites/le-demonstrateur-power-to-gas-entre-en-service-sur-le-site-de-la-chantrerie--2180311.kjsp" TargetMode="External"/><Relationship Id="rId246" Type="http://schemas.openxmlformats.org/officeDocument/2006/relationships/hyperlink" Target="https://www.hitachizosen.co.jp/english/news/2019/10/003405.html" TargetMode="External"/><Relationship Id="rId267" Type="http://schemas.openxmlformats.org/officeDocument/2006/relationships/hyperlink" Target="https://www.ft.com/content/6d2c8d8a-a767-4e41-b0f9-3237dd711597?accessToken=zwAAAXJQhZAwkc9tLI2Kp2dOQdOw-TI33XEVlw.MEQCIFbbu4ednBgMr7ty8-leTb2ABXr6ZWZO8f7qIQdh2DBuAiArmcOs7I_iwQsuldRZyPtKHW3QuEPTIdd6OeJ-6prMfQ&amp;sharetype=gift?token=ceb073f4-fef6-4d9f-8f7c-555db5cefb96" TargetMode="External"/><Relationship Id="rId288" Type="http://schemas.openxmlformats.org/officeDocument/2006/relationships/hyperlink" Target="https://www.caranddriver.com/es/coches/planeta-motor/a32864845/combustible-sintetico-repsol/" TargetMode="External"/><Relationship Id="rId411" Type="http://schemas.openxmlformats.org/officeDocument/2006/relationships/hyperlink" Target="https://www.airproducts.com/news-center/2021/06/0609-air-products-net-zero-hydrogen-energy-complex-in-edmonton-alberta-canada" TargetMode="External"/><Relationship Id="rId106" Type="http://schemas.openxmlformats.org/officeDocument/2006/relationships/hyperlink" Target="https://www.sharecast.com/news/aim-bulletin/itm-power-sells-electrolyser-to-toyota-australia--3798013.html" TargetMode="External"/><Relationship Id="rId127" Type="http://schemas.openxmlformats.org/officeDocument/2006/relationships/hyperlink" Target="https://www.balance-project.org/projects" TargetMode="External"/><Relationship Id="rId313" Type="http://schemas.openxmlformats.org/officeDocument/2006/relationships/hyperlink" Target="https://www.heraldo.es/noticias/aragon/2020/07/05/tren-hidrogeno-plasencia-del-monte-planta-energias-renivables-1384258.html?utm_source=twitter.com&amp;utm_medium=socialshare&amp;utm_campaign=desktop" TargetMode="External"/><Relationship Id="rId10" Type="http://schemas.openxmlformats.org/officeDocument/2006/relationships/hyperlink" Target="https://www.toshiba.co.jp/about/press/2016_07/pr1401.htm" TargetMode="External"/><Relationship Id="rId31" Type="http://schemas.openxmlformats.org/officeDocument/2006/relationships/hyperlink" Target="http://h2v59-concertation.net/comprendre-projet/" TargetMode="External"/><Relationship Id="rId52" Type="http://schemas.openxmlformats.org/officeDocument/2006/relationships/hyperlink" Target="https://www.pv-magazine.com/2020/03/02/hydrogen-production-coupled-to-solar-and-storage-to-debut-in-spain/" TargetMode="External"/><Relationship Id="rId73" Type="http://schemas.openxmlformats.org/officeDocument/2006/relationships/hyperlink" Target="https://new4-0.erneuerbare-energien-hamburg.de/de/new-40-blog/details/wind-to-gas-energy-bau-der-power-to-heat-anlage-ist-gestartet.html" TargetMode="External"/><Relationship Id="rId94" Type="http://schemas.openxmlformats.org/officeDocument/2006/relationships/hyperlink" Target="https://www.lakecharlesmethanol.com/" TargetMode="External"/><Relationship Id="rId148" Type="http://schemas.openxmlformats.org/officeDocument/2006/relationships/hyperlink" Target="https://www.h2nodes.eu/" TargetMode="External"/><Relationship Id="rId169" Type="http://schemas.openxmlformats.org/officeDocument/2006/relationships/hyperlink" Target="https://www.hydrogenics.com/2017/04/21/hydrogenics-selected-as-technology-provider-for-sunline-transit-agency/" TargetMode="External"/><Relationship Id="rId334" Type="http://schemas.openxmlformats.org/officeDocument/2006/relationships/hyperlink" Target="../../AppData/Local/Microsoft/Windows/INetCache/group4/sto/etp/ETP2020/Projects/ETP2020/Numbers%20and%20analysis/SUPPLY/HYDROGEN/References/Thyssenkrupp%20presentation.pdf" TargetMode="External"/><Relationship Id="rId355" Type="http://schemas.openxmlformats.org/officeDocument/2006/relationships/hyperlink" Target="https://www.brightgreenhydrogen.org.uk/levenmouth-community-energy-project/" TargetMode="External"/><Relationship Id="rId376" Type="http://schemas.openxmlformats.org/officeDocument/2006/relationships/hyperlink" Target="https://thecanadian.news/2020/12/08/air-liquide-has-started-industrial-production-of-green-hydrogen-in-becancour/" TargetMode="External"/><Relationship Id="rId397" Type="http://schemas.openxmlformats.org/officeDocument/2006/relationships/hyperlink" Target="https://www.h2-mobile.fr/actus/hygo-station-hydrogene-vannes-ouvrira-octobre-2021/" TargetMode="External"/><Relationship Id="rId4" Type="http://schemas.openxmlformats.org/officeDocument/2006/relationships/hyperlink" Target="https://www.drax.com/press_release/energy-companies-announce-new-zero-carbon-uk-partnership-ccus-hydrogen-beccs-humber-equinor-national-grid/" TargetMode="External"/><Relationship Id="rId180" Type="http://schemas.openxmlformats.org/officeDocument/2006/relationships/hyperlink" Target="https://www.co2value.eu/wp-content/uploads/2019/09/2.-CRI.pdf" TargetMode="External"/><Relationship Id="rId215" Type="http://schemas.openxmlformats.org/officeDocument/2006/relationships/hyperlink" Target="https://zenodo.org/record/3464775" TargetMode="External"/><Relationship Id="rId236" Type="http://schemas.openxmlformats.org/officeDocument/2006/relationships/hyperlink" Target="https://news.bloombergenvironment.com/environment-and-energy/chinas-ningxia-plans-198-million-solar-hydrogen-project" TargetMode="External"/><Relationship Id="rId257" Type="http://schemas.openxmlformats.org/officeDocument/2006/relationships/hyperlink" Target="https://allesoverwaterstof.nl/film-nederlands-offshore-waterstofinstallatie-poshydon/" TargetMode="External"/><Relationship Id="rId278" Type="http://schemas.openxmlformats.org/officeDocument/2006/relationships/hyperlink" Target="http://www.renewableh2canada.ca/" TargetMode="External"/><Relationship Id="rId401" Type="http://schemas.openxmlformats.org/officeDocument/2006/relationships/hyperlink" Target="https://fuelcellsworks.com/news/danish-company-greenlab-to-create-worlds-largest-scale-production-facility-for-green-hydrogen/" TargetMode="External"/><Relationship Id="rId303" Type="http://schemas.openxmlformats.org/officeDocument/2006/relationships/hyperlink" Target="https://www.toshiba-energy.com/en/info/info2020_0123.htm" TargetMode="External"/><Relationship Id="rId42" Type="http://schemas.openxmlformats.org/officeDocument/2006/relationships/hyperlink" Target="https://www.hybridge.net/index-2.html" TargetMode="External"/><Relationship Id="rId84" Type="http://schemas.openxmlformats.org/officeDocument/2006/relationships/hyperlink" Target="https://group.vattenfall.com/press-and-media/news--press-releases/pressreleases/2019/hybrit-sek-200-million-invested-in-pilot-plant-for-storage-of-fossil-free-hydrogen-in-lulea" TargetMode="External"/><Relationship Id="rId138" Type="http://schemas.openxmlformats.org/officeDocument/2006/relationships/hyperlink" Target="https://www.tennet.eu/news/detail/gasunie-tennet-and-thyssengas-reveal-detailed-green-sector-coupling-plans-using-power-to-gas-tec/" TargetMode="External"/><Relationship Id="rId345" Type="http://schemas.openxmlformats.org/officeDocument/2006/relationships/hyperlink" Target="https://www.goeree-overflakkee.nl/duurzaam-go/waterstof_46733/item/h2go-programma_232204.html" TargetMode="External"/><Relationship Id="rId387" Type="http://schemas.openxmlformats.org/officeDocument/2006/relationships/hyperlink" Target="http://www.rtsafrica.co.za/Documents/NEL%20Hydrogen%20Brochure.pdf" TargetMode="External"/><Relationship Id="rId191" Type="http://schemas.openxmlformats.org/officeDocument/2006/relationships/hyperlink" Target="https://www.solarserver.de/2020/02/05/industrielle-power-to-gas-anlage-in-der-schweiz/" TargetMode="External"/><Relationship Id="rId205" Type="http://schemas.openxmlformats.org/officeDocument/2006/relationships/hyperlink" Target="https://www.efzn.de/fileadmin/documents/Niedersaechsische_Energietage/Vortr%C3%A4ge/2019/NET2019_FF4_04_Veldkamp.pdf" TargetMode="External"/><Relationship Id="rId247" Type="http://schemas.openxmlformats.org/officeDocument/2006/relationships/hyperlink" Target="https://blog.topsoe.com/topsoe-to-build-demonstration-plant-to-produce-cost-competitive-co2-neutral-methanol-from-biogas-and-green-electricity" TargetMode="External"/><Relationship Id="rId412" Type="http://schemas.openxmlformats.org/officeDocument/2006/relationships/hyperlink" Target="http://41.222.168.85/NewsDetails.aspx?id=34" TargetMode="External"/><Relationship Id="rId107" Type="http://schemas.openxmlformats.org/officeDocument/2006/relationships/hyperlink" Target="https://www.sarawakenergy.com/media-info/media-releases/2018/sarawak-energy-pilots-hydrogen-production-plant-refuelling-station-for-transportation-sector" TargetMode="External"/><Relationship Id="rId289" Type="http://schemas.openxmlformats.org/officeDocument/2006/relationships/hyperlink" Target="https://expresso.pt/economia/2019-12-11-EDP-avanca-com-dois-projetos-inovadores-para-produzir-hidrogenio" TargetMode="External"/><Relationship Id="rId11" Type="http://schemas.openxmlformats.org/officeDocument/2006/relationships/hyperlink" Target="https://www.toshiba.co.jp/about/press/2016_03/pr2403.htm" TargetMode="External"/><Relationship Id="rId53" Type="http://schemas.openxmlformats.org/officeDocument/2006/relationships/hyperlink" Target="https://www.entsog.eu/power-green-hydrogen-mallorca" TargetMode="External"/><Relationship Id="rId149" Type="http://schemas.openxmlformats.org/officeDocument/2006/relationships/hyperlink" Target="https://www.engie.com/en/journalists/press-releases/largest-hydrogen-utility-fleet-alternative-multi-fuel-station" TargetMode="External"/><Relationship Id="rId314" Type="http://schemas.openxmlformats.org/officeDocument/2006/relationships/hyperlink" Target="https://energies.airliquide.com/air-liquide-build-first-world-scale-liquid-hydrogen-production-plant-dedicated-supply-hydrogen" TargetMode="External"/><Relationship Id="rId356" Type="http://schemas.openxmlformats.org/officeDocument/2006/relationships/hyperlink" Target="https://www.tyseleyenergy.co.uk/tyseley-refuelling-hub/" TargetMode="External"/><Relationship Id="rId398" Type="http://schemas.openxmlformats.org/officeDocument/2006/relationships/hyperlink" Target="https://www.originenergy.com.au/about/investors-media/media-centre/origin_to_investigate_export_scale_green_hydrogen_project_in_tasmania.html" TargetMode="External"/><Relationship Id="rId95" Type="http://schemas.openxmlformats.org/officeDocument/2006/relationships/hyperlink" Target="https://www.energy.gov/sites/prod/files/2015/01/f19/EIS-0464-FEIS-Volume-1-2013.pdf" TargetMode="External"/><Relationship Id="rId160" Type="http://schemas.openxmlformats.org/officeDocument/2006/relationships/hyperlink" Target="https://mcphy.com/en/press-releases/power_plant_cooling_on_site_hydrogen_production/" TargetMode="External"/><Relationship Id="rId216" Type="http://schemas.openxmlformats.org/officeDocument/2006/relationships/hyperlink" Target="https://mcphy.com/fr/communiques/hydrogene-industriel-projet-20-mw-aux-pays-bas/" TargetMode="External"/><Relationship Id="rId258" Type="http://schemas.openxmlformats.org/officeDocument/2006/relationships/hyperlink" Target="https://www.ogauthority.co.uk/media/6220/ogauthoritysharepointcom-ssl-davwwwroot-sites-ecm-tbw3-documents-files-exchange-malcolm-workshop-slides-301019-neptune.pdf" TargetMode="External"/><Relationship Id="rId22" Type="http://schemas.openxmlformats.org/officeDocument/2006/relationships/hyperlink" Target="http://www.renewablessa.sa.gov.au/topic/hydrogen/hydrogen-projects" TargetMode="External"/><Relationship Id="rId64" Type="http://schemas.openxmlformats.org/officeDocument/2006/relationships/hyperlink" Target="https://www.ammoniaenergy.org/articles/renewable-hydrogen-in-fukushima-and-a-bridge-to-the-future/" TargetMode="External"/><Relationship Id="rId118" Type="http://schemas.openxmlformats.org/officeDocument/2006/relationships/hyperlink" Target="https://www.portofamsterdam.com/en/press-release/nouryon-tata-steel-and-port-amsterdam-partner-develop-largest-green-hydrogen-cluster" TargetMode="External"/><Relationship Id="rId325" Type="http://schemas.openxmlformats.org/officeDocument/2006/relationships/hyperlink" Target="https://www.h2-view.com/story/avias-first-hydrogen-station-opens-in-switzerland/" TargetMode="External"/><Relationship Id="rId367" Type="http://schemas.openxmlformats.org/officeDocument/2006/relationships/hyperlink" Target="https://www.h2-international.com/2017/12/01/hypos-from-storage-to-distribution/" TargetMode="External"/><Relationship Id="rId171" Type="http://schemas.openxmlformats.org/officeDocument/2006/relationships/hyperlink" Target="https://etipwind.eu/wp-content/uploads/A2-Hydrogenics_v2.pdf" TargetMode="External"/><Relationship Id="rId227" Type="http://schemas.openxmlformats.org/officeDocument/2006/relationships/hyperlink" Target="https://diamondlite.com/wp-content/uploads/2017/06/EFCF-2015_Paper_B1505_Hybrid-plant-Aarmatt-a-novel-concept-applying-PEM-electrolysis_Rindlisbacher_Marcel_01.pdf" TargetMode="External"/><Relationship Id="rId269" Type="http://schemas.openxmlformats.org/officeDocument/2006/relationships/hyperlink" Target="https://www.h2-view.com/story/new-project-to-deploy-100-hydrogen-buses-in-australian-cities/" TargetMode="External"/><Relationship Id="rId33" Type="http://schemas.openxmlformats.org/officeDocument/2006/relationships/hyperlink" Target="https://www.atco.com/en-au/projects/clean-energy-innovation-hub.html" TargetMode="External"/><Relationship Id="rId129" Type="http://schemas.openxmlformats.org/officeDocument/2006/relationships/hyperlink" Target="https://www.australiangasnetworks.com.au/our-business/about-us/media-releases/gas-groups-hydrogen-push-moves-into-queensland" TargetMode="External"/><Relationship Id="rId280" Type="http://schemas.openxmlformats.org/officeDocument/2006/relationships/hyperlink" Target="https://fuelcellsworks.com/news/swedish-housing-powered-100-percent-by-sun-and-hydrogen/" TargetMode="External"/><Relationship Id="rId336" Type="http://schemas.openxmlformats.org/officeDocument/2006/relationships/hyperlink" Target="https://greenhydrogen.dk/danish-minister-for-transport-officially-opens-ghs-hydrogen-refueling-station/" TargetMode="External"/><Relationship Id="rId75" Type="http://schemas.openxmlformats.org/officeDocument/2006/relationships/hyperlink" Target="https://methycentre.eu/" TargetMode="External"/><Relationship Id="rId140" Type="http://schemas.openxmlformats.org/officeDocument/2006/relationships/hyperlink" Target="https://www.energate-messenger.de/news/200507/power-to-gas-micro-pyros-geht-in-die-insolvenz" TargetMode="External"/><Relationship Id="rId182" Type="http://schemas.openxmlformats.org/officeDocument/2006/relationships/hyperlink" Target="https://www.yara.com/news-and-media/news/archive/2019/yara-and-nel-carbon-free-hydrogen-for-fertilizer-production/" TargetMode="External"/><Relationship Id="rId378" Type="http://schemas.openxmlformats.org/officeDocument/2006/relationships/hyperlink" Target="https://www.reuters.com/article/idUSL4N2IO1KX" TargetMode="External"/><Relationship Id="rId403" Type="http://schemas.openxmlformats.org/officeDocument/2006/relationships/hyperlink" Target="https://co2re.co/FacilityData" TargetMode="External"/><Relationship Id="rId6" Type="http://schemas.openxmlformats.org/officeDocument/2006/relationships/hyperlink" Target="https://www.sciencedirect.com/science/article/pii/S1464285918304681" TargetMode="External"/><Relationship Id="rId238" Type="http://schemas.openxmlformats.org/officeDocument/2006/relationships/hyperlink" Target="https://windeurope.org/wp-content/uploads/files/misc/20190130-p2g-workshop/190129-4-Wind2hydrogen-OMV.pdf" TargetMode="External"/><Relationship Id="rId291" Type="http://schemas.openxmlformats.org/officeDocument/2006/relationships/hyperlink" Target="https://www.fluxys.com/en/news/fluxys-belgium/2020/200422_news_gas_for_climate_study" TargetMode="External"/><Relationship Id="rId305" Type="http://schemas.openxmlformats.org/officeDocument/2006/relationships/hyperlink" Target="https://www.toshiba.co.jp/about/press/2016_03/pr1402.htm" TargetMode="External"/><Relationship Id="rId347" Type="http://schemas.openxmlformats.org/officeDocument/2006/relationships/hyperlink" Target="https://www.repsol.com/en/press-room/press-releases/2020/repsol-to-build-spains-first-advanced-biofuels-plant-in-cartagena.cshtml" TargetMode="External"/><Relationship Id="rId44" Type="http://schemas.openxmlformats.org/officeDocument/2006/relationships/hyperlink" Target="https://refhyne.eu/about/" TargetMode="External"/><Relationship Id="rId86" Type="http://schemas.openxmlformats.org/officeDocument/2006/relationships/hyperlink" Target="https://www.h2future-project.eu/" TargetMode="External"/><Relationship Id="rId151" Type="http://schemas.openxmlformats.org/officeDocument/2006/relationships/hyperlink" Target="http://www.afhypac.org/documents/divers/AFHYPAC_H2regions_2017-06-09_web.pdf" TargetMode="External"/><Relationship Id="rId389" Type="http://schemas.openxmlformats.org/officeDocument/2006/relationships/hyperlink" Target="https://www.klimaatakkoord.nl/binaries/klimaatakkoord/documenten/publicaties/2020/10/22/koplopersprogramma-cluster-smart-delta/SDR-Regioplan+2030-2050.pdf" TargetMode="External"/><Relationship Id="rId193" Type="http://schemas.openxmlformats.org/officeDocument/2006/relationships/hyperlink" Target="https://www.h-tec.com/anwendungen/stromlueckenfueller/" TargetMode="External"/><Relationship Id="rId207" Type="http://schemas.openxmlformats.org/officeDocument/2006/relationships/hyperlink" Target="https://stad.gent/sites/default/files/media/documents/20191106_PU_CCUhub_Rapport%20A4%20EN.pdf" TargetMode="External"/><Relationship Id="rId249" Type="http://schemas.openxmlformats.org/officeDocument/2006/relationships/hyperlink" Target="https://www.greencarcongress.com/2020/02/20200219-gigastack.html" TargetMode="External"/><Relationship Id="rId414" Type="http://schemas.openxmlformats.org/officeDocument/2006/relationships/hyperlink" Target="https://www.iene.eu/japans-largest-green-hydrogen-plant-powered-by-wind-set-to-open-in-2024-p6361.html" TargetMode="External"/><Relationship Id="rId13" Type="http://schemas.openxmlformats.org/officeDocument/2006/relationships/hyperlink" Target="https://www.equinor.com/en/news/evaluating-conversion-natural-gas-hydrogen.html" TargetMode="External"/><Relationship Id="rId109" Type="http://schemas.openxmlformats.org/officeDocument/2006/relationships/hyperlink" Target="https://arena.gov.au/news/hydrogen-gives-new-life-to-toyotas-altona-car-manufacturing-plant/" TargetMode="External"/><Relationship Id="rId260" Type="http://schemas.openxmlformats.org/officeDocument/2006/relationships/hyperlink" Target="https://energiewerkplaatsbrabant.nl/nieuws+pnb/energiefestival+hoofdpagina/energiefestival+2019+-+presentaties/energiefestival+documenten+en+verslagen/handlerdownloadfiles.ashx?idnv=1492307" TargetMode="External"/><Relationship Id="rId316" Type="http://schemas.openxmlformats.org/officeDocument/2006/relationships/hyperlink" Target="https://newsroom.neom.com/air-products-acwa-power-and-neom-sign-agreement-for-5-billion-production-facility-in-neom-powered-by-renewable-energy-for-production-and-export-of-green-hydrogen-to-global-markets-321553" TargetMode="External"/><Relationship Id="rId55" Type="http://schemas.openxmlformats.org/officeDocument/2006/relationships/hyperlink" Target="https://static1.squarespace.com/static/5d3f0387728026000121b2a2/t/5d9f24f459c7f056aca5a74f/1570710781671/4.A+Green+Spider+project.pdf" TargetMode="External"/><Relationship Id="rId97" Type="http://schemas.openxmlformats.org/officeDocument/2006/relationships/hyperlink" Target="https://hy-gro.net/en/duwaal" TargetMode="External"/><Relationship Id="rId120" Type="http://schemas.openxmlformats.org/officeDocument/2006/relationships/hyperlink" Target="http://www.act-ccs.eu/elegancy" TargetMode="External"/><Relationship Id="rId358" Type="http://schemas.openxmlformats.org/officeDocument/2006/relationships/hyperlink" Target="https://engineered.thyssenkrupp.com/en/climateprotection-carbon2chem-when-emissions-become-valuable-substances/" TargetMode="External"/><Relationship Id="rId162" Type="http://schemas.openxmlformats.org/officeDocument/2006/relationships/hyperlink" Target="http://www.prensa.naturgy.com/en/gas-natural-fenosa-launches-pilot-project-to-produce-renewable-gas-in-catalonia/" TargetMode="External"/><Relationship Id="rId218" Type="http://schemas.openxmlformats.org/officeDocument/2006/relationships/hyperlink" Target="http://www.h2susbuild.ntua.gr/Default.aspx" TargetMode="External"/><Relationship Id="rId271" Type="http://schemas.openxmlformats.org/officeDocument/2006/relationships/hyperlink" Target="https://www.akersolutions.com/news/news-archive/2020/aker-solutions-starts-ccs-test-program-at-preem-refinery-in-sweden/" TargetMode="External"/><Relationship Id="rId24" Type="http://schemas.openxmlformats.org/officeDocument/2006/relationships/hyperlink" Target="https://hydrogenenergysupplychain.com/" TargetMode="External"/><Relationship Id="rId66" Type="http://schemas.openxmlformats.org/officeDocument/2006/relationships/hyperlink" Target="https://nelhydrogen.com/press-release/nel-asa-received-purchase-order-for-a-1-mw-containerized-pem-electrolyzer-in-the-us/" TargetMode="External"/><Relationship Id="rId131" Type="http://schemas.openxmlformats.org/officeDocument/2006/relationships/hyperlink" Target="https://www.bloomberg.com/news/articles/2019-10-08/siemens-backs-mega-green-power-hydrogen-project-in-australia" TargetMode="External"/><Relationship Id="rId327" Type="http://schemas.openxmlformats.org/officeDocument/2006/relationships/hyperlink" Target="https://www.reuters.com/article/us-germany-hydrogen-heide/german-oil-refinery-to-build-30-mw-hydrogen-electrolysis-plant-idUSKBN24Z1FO" TargetMode="External"/><Relationship Id="rId369" Type="http://schemas.openxmlformats.org/officeDocument/2006/relationships/hyperlink" Target="https://www.h2-view.com/story/ghs-to-supply-electrolyser-to-p2x-project/" TargetMode="External"/><Relationship Id="rId173" Type="http://schemas.openxmlformats.org/officeDocument/2006/relationships/hyperlink" Target="https://public.tableau.com/views/HydrogenPowerProjects/Dashboard1?:embed=y&amp;:display_count=yes&amp;publish=yes&amp;:origin=viz_share_link&amp;:showVizHome=no" TargetMode="External"/><Relationship Id="rId229" Type="http://schemas.openxmlformats.org/officeDocument/2006/relationships/hyperlink" Target="https://slideplayer.com/slide/4218317/" TargetMode="External"/><Relationship Id="rId380" Type="http://schemas.openxmlformats.org/officeDocument/2006/relationships/hyperlink" Target="https://www.umweltbundesamt.de/sites/default/files/medien/377/dokumente/19_session_i_5_becker.pdf" TargetMode="External"/><Relationship Id="rId240" Type="http://schemas.openxmlformats.org/officeDocument/2006/relationships/hyperlink" Target="http://www.rtsafrica.co.za/Documents/NEL%20Hydrogen%20Brochure.pdf" TargetMode="External"/><Relationship Id="rId35" Type="http://schemas.openxmlformats.org/officeDocument/2006/relationships/hyperlink" Target="https://arena.gov.au/news/hydrogen-to-be-trialled-in-nsw-gas-networks/" TargetMode="External"/><Relationship Id="rId77" Type="http://schemas.openxmlformats.org/officeDocument/2006/relationships/hyperlink" Target="http://news.cision.com/nel-asa/r/nel-asa--enters-into-exclusive-nok-450-million-industrial-scale-power-to-gas-framework-agreement-wit,c2286835" TargetMode="External"/><Relationship Id="rId100" Type="http://schemas.openxmlformats.org/officeDocument/2006/relationships/hyperlink" Target="https://h2energy.ch/en/nel-asa-awarded-purchase-order-for-a-2-mw-pem-electrolyzer-in-switzerland-and-enters-a-30-mw-framework-contract/" TargetMode="External"/><Relationship Id="rId282" Type="http://schemas.openxmlformats.org/officeDocument/2006/relationships/hyperlink" Target="https://www.thyssenkrupp.com/en/newsroom/press-releases/pressdetailpage/green-hydrogen-for-steel-production--rwe-and-thyssenkrupp-plan-partnership-82841" TargetMode="External"/><Relationship Id="rId338" Type="http://schemas.openxmlformats.org/officeDocument/2006/relationships/hyperlink" Target="https://www.topagrar.com/energie/news/neue-elektrolyse-eingeweiht-12107191.html" TargetMode="External"/><Relationship Id="rId8" Type="http://schemas.openxmlformats.org/officeDocument/2006/relationships/hyperlink" Target="https://www.japanccs.com/en/" TargetMode="External"/><Relationship Id="rId142" Type="http://schemas.openxmlformats.org/officeDocument/2006/relationships/hyperlink" Target="https://www.rh2-wka.de/chronik.html" TargetMode="External"/><Relationship Id="rId184" Type="http://schemas.openxmlformats.org/officeDocument/2006/relationships/hyperlink" Target="https://cordis.europa.eu/project/id/779430" TargetMode="External"/><Relationship Id="rId391" Type="http://schemas.openxmlformats.org/officeDocument/2006/relationships/hyperlink" Target="https://www.ir.plugpower.com/Press-Releases/Press-Release-Details/2021/Plug-Power-to-Build-North-Americas-Largest-Green-Hydrogen-Production-Facility-in-Western-New-York/default.aspx" TargetMode="External"/><Relationship Id="rId405" Type="http://schemas.openxmlformats.org/officeDocument/2006/relationships/hyperlink" Target="https://portodoacu.com.br/en/fortescue-future-industries%E2%80%AFand-port-of-acu%E2%80%AFjoin-forces-to-develop-green-hydrogen-plant-in%E2%80%AFbrazil/" TargetMode="External"/><Relationship Id="rId251" Type="http://schemas.openxmlformats.org/officeDocument/2006/relationships/hyperlink" Target="https://www.pv-magazine.com/2019/10/08/siemens-backs-5-gw-green-hydrogen-plan-for-australia/" TargetMode="External"/><Relationship Id="rId46" Type="http://schemas.openxmlformats.org/officeDocument/2006/relationships/hyperlink" Target="https://www.get-h2.de/en/project-lingen/" TargetMode="External"/><Relationship Id="rId293" Type="http://schemas.openxmlformats.org/officeDocument/2006/relationships/hyperlink" Target="https://fuelcellsworks.com/news/sun-metals-to-build-queensland-first-renewable-hydrogen-plant/" TargetMode="External"/><Relationship Id="rId307" Type="http://schemas.openxmlformats.org/officeDocument/2006/relationships/hyperlink" Target="https://www.toshiba.co.jp/about/press/2017_07/pr1301.htm" TargetMode="External"/><Relationship Id="rId349" Type="http://schemas.openxmlformats.org/officeDocument/2006/relationships/hyperlink" Target="https://www.now-gmbh.de/en/national-innovation-programme/projektfinder/verkehr/h2-tankstelle-schnackenburgallee-hamburg" TargetMode="External"/><Relationship Id="rId88" Type="http://schemas.openxmlformats.org/officeDocument/2006/relationships/hyperlink" Target="https://www.ocap.nl/nl/images/OCAP_Factsheet_English_tcm978-561158.pdf" TargetMode="External"/><Relationship Id="rId111" Type="http://schemas.openxmlformats.org/officeDocument/2006/relationships/hyperlink" Target="http://chuneng.bjx.com.cn/news/20200310/1052255.shtml" TargetMode="External"/><Relationship Id="rId153" Type="http://schemas.openxmlformats.org/officeDocument/2006/relationships/hyperlink" Target="https://p2gconference.com/news/north-america%E2%80%99s-first-power-to-gas-energy-storage-facility-using-hydrogen.html" TargetMode="External"/><Relationship Id="rId195" Type="http://schemas.openxmlformats.org/officeDocument/2006/relationships/hyperlink" Target="https://hydrogeneurope.eu/sites/default/files/2019-09/2019Q3_HYDROGENICS_Renewable%20Hydrogen-compressed.pdf" TargetMode="External"/><Relationship Id="rId209" Type="http://schemas.openxmlformats.org/officeDocument/2006/relationships/hyperlink" Target="https://www.liquidwind.se/" TargetMode="External"/><Relationship Id="rId360" Type="http://schemas.openxmlformats.org/officeDocument/2006/relationships/hyperlink" Target="https://nelhydrogen.com/wp-content/uploads/2019/10/nel-q3-2014-presentation.pdf" TargetMode="External"/><Relationship Id="rId416" Type="http://schemas.openxmlformats.org/officeDocument/2006/relationships/hyperlink" Target="https://p2x.fi/en/hitachi-abb-power-grids-and-p2x-solutions-sign-partnership-agreement-on-electrification-of-finlands-first-industrial-scale-green-hydrogen-production-plant-2/" TargetMode="External"/><Relationship Id="rId220" Type="http://schemas.openxmlformats.org/officeDocument/2006/relationships/hyperlink" Target="https://www.sciencedirect.com/science/article/pii/S0360319908015619" TargetMode="External"/><Relationship Id="rId15" Type="http://schemas.openxmlformats.org/officeDocument/2006/relationships/hyperlink" Target="https://www.norled.no/en/news/partners-receive-pilot-e-support-to-develop-liquid-hydrogen-supply-chain-for-maritime-applications-in-norway/" TargetMode="External"/><Relationship Id="rId57" Type="http://schemas.openxmlformats.org/officeDocument/2006/relationships/hyperlink" Target="https://www.energymatters.com.au/renewable-news/hydrogen-from-solar-power/" TargetMode="External"/><Relationship Id="rId262" Type="http://schemas.openxmlformats.org/officeDocument/2006/relationships/hyperlink" Target="https://www.chemengonline.com/new-power-to-methanol-project-announced-by-inovyn/?printmode=1" TargetMode="External"/><Relationship Id="rId318" Type="http://schemas.openxmlformats.org/officeDocument/2006/relationships/hyperlink" Target="https://www.7sur7.be/ecologie/des-bus-du-tec-charleroi-vont-rouler-a-l-hydrogene~aacd0a8a/" TargetMode="External"/><Relationship Id="rId99" Type="http://schemas.openxmlformats.org/officeDocument/2006/relationships/hyperlink" Target="https://www.nederlandwereldwijd.nl/binaries/nederlandwereldwijd/documenten/publicaties/2019/03/01/waterstof-in-china/Holland+Innovation+Network+in+China+-+Hydrogen+developments.+January+2019.pdf" TargetMode="External"/><Relationship Id="rId122" Type="http://schemas.openxmlformats.org/officeDocument/2006/relationships/hyperlink" Target="https://www.jupiter1000.eu/english" TargetMode="External"/><Relationship Id="rId164" Type="http://schemas.openxmlformats.org/officeDocument/2006/relationships/hyperlink" Target="https://www.ademe.fr/sites/default/files/assets/documents/02_the_japanese_policy-t_nagai.pdf" TargetMode="External"/><Relationship Id="rId371" Type="http://schemas.openxmlformats.org/officeDocument/2006/relationships/hyperlink" Target="https://dieselprogress.com/cummins-to-supply-5-mw-hydrogen-electrolyzer-34112/" TargetMode="External"/><Relationship Id="rId26" Type="http://schemas.openxmlformats.org/officeDocument/2006/relationships/hyperlink" Target="http://www.hybritdevelopment.com/articles/three-hybrit-pilot-projects" TargetMode="External"/><Relationship Id="rId231" Type="http://schemas.openxmlformats.org/officeDocument/2006/relationships/hyperlink" Target="http://www.teessidecollective.co.uk/project/what-we-do/" TargetMode="External"/><Relationship Id="rId273" Type="http://schemas.openxmlformats.org/officeDocument/2006/relationships/hyperlink" Target="https://fuelcellsworks.com/news/hyflexpower-the-worlds-first-integrated-power-to-x-to-power-hydrogen-gas-turbine-demonstrator/" TargetMode="External"/><Relationship Id="rId329" Type="http://schemas.openxmlformats.org/officeDocument/2006/relationships/hyperlink" Target="https://www.worldoil.com/news/2020/8/19/siemens-energy-launches-its-first-megawatt-green-hydrogen-production-project-in-china" TargetMode="External"/><Relationship Id="rId68" Type="http://schemas.openxmlformats.org/officeDocument/2006/relationships/hyperlink" Target="https://nelhydrogen.com/press-release/press-release-everfuel-awarded-grant-for-the-establishment-of-a-large-scale-hydrogen-production-facility-in-denmark/" TargetMode="External"/><Relationship Id="rId133" Type="http://schemas.openxmlformats.org/officeDocument/2006/relationships/hyperlink" Target="https://www.klimaatakkoord.nl/documenten/publicaties/2019/06/28/national-climate-agreement-the-netherlands" TargetMode="External"/><Relationship Id="rId175" Type="http://schemas.openxmlformats.org/officeDocument/2006/relationships/hyperlink" Target="https://mcphy.com/fr/realisations/fahyence/" TargetMode="External"/><Relationship Id="rId340" Type="http://schemas.openxmlformats.org/officeDocument/2006/relationships/hyperlink" Target="http://www.itm-power.com/news-item/100mw-power-to-gas-p2g-energy-storage-feasibility-study" TargetMode="External"/><Relationship Id="rId200" Type="http://schemas.openxmlformats.org/officeDocument/2006/relationships/hyperlink" Target="http://h2est.ee/wp-content/uploads/2017/09/H2Nodes-NT-Bene-Raigo-Pert.pdf" TargetMode="External"/><Relationship Id="rId382" Type="http://schemas.openxmlformats.org/officeDocument/2006/relationships/hyperlink" Target="https://localhy.de/" TargetMode="External"/><Relationship Id="rId242" Type="http://schemas.openxmlformats.org/officeDocument/2006/relationships/hyperlink" Target="http://www.lifesciencesite.com/lsj/life0904/028_10515life0904_191_196.pdf" TargetMode="External"/><Relationship Id="rId284" Type="http://schemas.openxmlformats.org/officeDocument/2006/relationships/hyperlink" Target="https://www.engie-solutions.com/fr/actualites/station-hyport-toulouse-blagnac" TargetMode="External"/><Relationship Id="rId37" Type="http://schemas.openxmlformats.org/officeDocument/2006/relationships/hyperlink" Target="https://thewest.com.au/business/energy/yara-aims-to-move-wa-into-green-hydrogen-ng-b881106808z" TargetMode="External"/><Relationship Id="rId79" Type="http://schemas.openxmlformats.org/officeDocument/2006/relationships/hyperlink" Target="https://fr.media.airliquide.com/actualites/premiere-mondiale-air-liquide-inaugure-cryocaptm-une-technologie-de-captage-de-co2-par-le-froid-aadd-1ba6d.html" TargetMode="External"/><Relationship Id="rId102" Type="http://schemas.openxmlformats.org/officeDocument/2006/relationships/hyperlink" Target="https://www.gp-joule.de/referenzen/efarm" TargetMode="External"/><Relationship Id="rId144" Type="http://schemas.openxmlformats.org/officeDocument/2006/relationships/hyperlink" Target="http://www.don-quichote.eu/" TargetMode="External"/><Relationship Id="rId90" Type="http://schemas.openxmlformats.org/officeDocument/2006/relationships/hyperlink" Target="https://www.hydrogen.energy.gov/pdfs/htac_dec18_05_brown.pdf" TargetMode="External"/><Relationship Id="rId186" Type="http://schemas.openxmlformats.org/officeDocument/2006/relationships/hyperlink" Target="https://www.hydrogen4climateaction.eu/programme" TargetMode="External"/><Relationship Id="rId351" Type="http://schemas.openxmlformats.org/officeDocument/2006/relationships/hyperlink" Target="https://www.siemens.com/innovation/en/home/pictures-of-the-future/energy-and-efficiency/smart-grids-and-energy-storage-electrolyzers-energy-storage-for-the-future.html" TargetMode="External"/><Relationship Id="rId393" Type="http://schemas.openxmlformats.org/officeDocument/2006/relationships/hyperlink" Target="https://www.chemnews.com.cn/c/2020-11-18/667602.shtml?utm_campaign=China%20Clean%20Energy%20Syndicate%20&amp;utm_medium=email&amp;utm_source=Revue%20newsletter" TargetMode="External"/><Relationship Id="rId407" Type="http://schemas.openxmlformats.org/officeDocument/2006/relationships/hyperlink" Target="https://www.ssme.gov.py/vmme/index.php?option=com_content&amp;view=article&amp;id=2020:proyecto-qla-ruta-del-hidrogeno-h2-en-paraguay&amp;catid=96:sample-news&amp;Itemid=552" TargetMode="External"/><Relationship Id="rId211" Type="http://schemas.openxmlformats.org/officeDocument/2006/relationships/hyperlink" Target="https://nelhydrogen.com/press-release/press-release-nel-receives-purchase-order-for-a-3-5-mw-electrolyser-from-engie/" TargetMode="External"/><Relationship Id="rId253" Type="http://schemas.openxmlformats.org/officeDocument/2006/relationships/hyperlink" Target="http://www.haeolus.eu/wp-content/uploads/2020/04/SINTEF-2020-00179.pdf" TargetMode="External"/><Relationship Id="rId295" Type="http://schemas.openxmlformats.org/officeDocument/2006/relationships/hyperlink" Target="https://www.equinor.com/en/what-we-do/h2hsaltend.html" TargetMode="External"/><Relationship Id="rId309" Type="http://schemas.openxmlformats.org/officeDocument/2006/relationships/hyperlink" Target="https://www.toshiba-energy.com/en/info/info2019_0614.htm" TargetMode="External"/><Relationship Id="rId48" Type="http://schemas.openxmlformats.org/officeDocument/2006/relationships/hyperlink" Target="https://www.energymatters.com.au/renewable-news/hydrogen-from-solar-power/" TargetMode="External"/><Relationship Id="rId113" Type="http://schemas.openxmlformats.org/officeDocument/2006/relationships/hyperlink" Target="https://global.toyota/en/detail/17737009/?_ga=2.49045219.475090875.1584111475-24855421.1580488882" TargetMode="External"/><Relationship Id="rId320" Type="http://schemas.openxmlformats.org/officeDocument/2006/relationships/hyperlink" Target="https://www.obayashi.co.jp/news/detail/news20200709_1.html" TargetMode="External"/><Relationship Id="rId155" Type="http://schemas.openxmlformats.org/officeDocument/2006/relationships/hyperlink" Target="https://www.energystock.com/about-energystock/the-hydrogen-project-hystock" TargetMode="External"/><Relationship Id="rId197" Type="http://schemas.openxmlformats.org/officeDocument/2006/relationships/hyperlink" Target="https://group.vattenfall.com/press-and-media/news--press-releases/pressreleases/2019/hybrit-orders-norwegain-electrolyzers-for-fossil-free-steel-production-in-lulea" TargetMode="External"/><Relationship Id="rId362" Type="http://schemas.openxmlformats.org/officeDocument/2006/relationships/hyperlink" Target="https://www.sciencedirect.com/science/article/pii/0360319992901702" TargetMode="External"/><Relationship Id="rId418" Type="http://schemas.openxmlformats.org/officeDocument/2006/relationships/hyperlink" Target="https://mb.cision.com/Main/115/3399294/1455892.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independent.ie/business/irish/ei-h2-and-zenith-announce-plans-for-green-hydrogen-plant-in-bantry-bay/40623074.html" TargetMode="External"/><Relationship Id="rId2" Type="http://schemas.openxmlformats.org/officeDocument/2006/relationships/hyperlink" Target="https://www.renews.biz/69799/irish-start-up-unveils-plans-for-green-hydrogen-in-cork/" TargetMode="External"/><Relationship Id="rId1" Type="http://schemas.openxmlformats.org/officeDocument/2006/relationships/hyperlink" Target="https://www.pv-magazine.de/2021/03/01/bundesnetzagentur-erteilt-wasserstoffprojekten-von-amprion-und-tennet-eine-absage/" TargetMode="Externa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BD02"/>
  </sheetPr>
  <dimension ref="A1:X1"/>
  <sheetViews>
    <sheetView topLeftCell="A1048576" zoomScale="120" zoomScaleNormal="120" workbookViewId="0"/>
  </sheetViews>
  <sheetFormatPr baseColWidth="10" defaultColWidth="0" defaultRowHeight="15" customHeight="1" zeroHeight="1" x14ac:dyDescent="0.2"/>
  <cols>
    <col min="1" max="24" width="9.1640625" style="6" customWidth="1"/>
    <col min="25" max="16384" width="9.1640625" style="6" hidden="1"/>
  </cols>
  <sheetData/>
  <sheetProtection selectLockedCells="1" selectUnlockedCells="1"/>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BD02"/>
  </sheetPr>
  <dimension ref="A1:Z1"/>
  <sheetViews>
    <sheetView topLeftCell="A1048576" zoomScaleNormal="100" workbookViewId="0"/>
  </sheetViews>
  <sheetFormatPr baseColWidth="10" defaultColWidth="0" defaultRowHeight="15" customHeight="1" zeroHeight="1" x14ac:dyDescent="0.2"/>
  <cols>
    <col min="1" max="24" width="9.1640625" style="6" customWidth="1"/>
    <col min="25" max="26" width="0" style="6" hidden="1" customWidth="1"/>
    <col min="27" max="16384" width="9.1640625" style="6" hidden="1"/>
  </cols>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4BFF"/>
  </sheetPr>
  <dimension ref="A1:AG994"/>
  <sheetViews>
    <sheetView tabSelected="1" zoomScale="85" zoomScaleNormal="85" workbookViewId="0">
      <pane ySplit="4" topLeftCell="A5" activePane="bottomLeft" state="frozen"/>
      <selection pane="bottomLeft" activeCell="B4" sqref="B4"/>
    </sheetView>
  </sheetViews>
  <sheetFormatPr baseColWidth="10" defaultColWidth="0" defaultRowHeight="15" x14ac:dyDescent="0.2"/>
  <cols>
    <col min="1" max="1" width="5.33203125" customWidth="1"/>
    <col min="2" max="2" width="36.5" customWidth="1"/>
    <col min="3" max="3" width="9.1640625" customWidth="1"/>
    <col min="4" max="5" width="6.5" customWidth="1"/>
    <col min="6" max="6" width="19.33203125" customWidth="1"/>
    <col min="7" max="10" width="20.83203125" customWidth="1"/>
    <col min="11" max="11" width="10.83203125" customWidth="1"/>
    <col min="12" max="25" width="5.33203125" style="68" customWidth="1"/>
    <col min="26" max="31" width="15.5" customWidth="1"/>
    <col min="32" max="33" width="9.5" customWidth="1"/>
    <col min="34" max="16384" width="9.1640625" hidden="1"/>
  </cols>
  <sheetData>
    <row r="1" spans="1:33" ht="28" x14ac:dyDescent="0.2">
      <c r="A1" s="105" t="s">
        <v>772</v>
      </c>
      <c r="B1" s="105"/>
      <c r="C1" s="105"/>
      <c r="D1" s="105"/>
      <c r="E1" s="105"/>
      <c r="F1" s="105"/>
      <c r="G1" s="105"/>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6"/>
    </row>
    <row r="2" spans="1:33" ht="16" x14ac:dyDescent="0.2">
      <c r="A2" s="107" t="s">
        <v>895</v>
      </c>
      <c r="B2" s="107" t="s">
        <v>1</v>
      </c>
      <c r="C2" s="107" t="s">
        <v>0</v>
      </c>
      <c r="D2" s="109" t="s">
        <v>384</v>
      </c>
      <c r="E2" s="109" t="s">
        <v>385</v>
      </c>
      <c r="F2" s="107" t="s">
        <v>741</v>
      </c>
      <c r="G2" s="40" t="s">
        <v>2</v>
      </c>
      <c r="H2" s="41"/>
      <c r="I2" s="41"/>
      <c r="J2" s="42"/>
      <c r="K2" s="43" t="s">
        <v>380</v>
      </c>
      <c r="L2" s="44" t="s">
        <v>738</v>
      </c>
      <c r="M2" s="45"/>
      <c r="N2" s="45"/>
      <c r="O2" s="45"/>
      <c r="P2" s="45"/>
      <c r="Q2" s="45"/>
      <c r="R2" s="45"/>
      <c r="S2" s="45"/>
      <c r="T2" s="45"/>
      <c r="U2" s="45"/>
      <c r="V2" s="45"/>
      <c r="W2" s="45"/>
      <c r="X2" s="45"/>
      <c r="Y2" s="46"/>
      <c r="Z2" s="43" t="s">
        <v>1302</v>
      </c>
      <c r="AA2" s="111" t="s">
        <v>771</v>
      </c>
      <c r="AB2" s="112"/>
      <c r="AC2" s="112"/>
      <c r="AD2" s="113"/>
      <c r="AE2" s="114" t="s">
        <v>831</v>
      </c>
      <c r="AF2" s="47" t="s">
        <v>830</v>
      </c>
      <c r="AG2" s="47"/>
    </row>
    <row r="3" spans="1:33" ht="72.75" customHeight="1" x14ac:dyDescent="0.2">
      <c r="A3" s="108"/>
      <c r="B3" s="108"/>
      <c r="C3" s="108"/>
      <c r="D3" s="110"/>
      <c r="E3" s="110"/>
      <c r="F3" s="108"/>
      <c r="G3" s="38"/>
      <c r="H3" s="66" t="s">
        <v>939</v>
      </c>
      <c r="I3" s="66" t="s">
        <v>827</v>
      </c>
      <c r="J3" s="66" t="s">
        <v>859</v>
      </c>
      <c r="K3" s="48"/>
      <c r="L3" s="39" t="s">
        <v>792</v>
      </c>
      <c r="M3" s="39" t="s">
        <v>740</v>
      </c>
      <c r="N3" s="39" t="s">
        <v>769</v>
      </c>
      <c r="O3" s="39" t="s">
        <v>820</v>
      </c>
      <c r="P3" s="39" t="s">
        <v>821</v>
      </c>
      <c r="Q3" s="39" t="s">
        <v>822</v>
      </c>
      <c r="R3" s="39" t="s">
        <v>823</v>
      </c>
      <c r="S3" s="39" t="s">
        <v>840</v>
      </c>
      <c r="T3" s="39" t="s">
        <v>824</v>
      </c>
      <c r="U3" s="39" t="s">
        <v>825</v>
      </c>
      <c r="V3" s="39" t="s">
        <v>892</v>
      </c>
      <c r="W3" s="39" t="s">
        <v>766</v>
      </c>
      <c r="X3" s="39" t="s">
        <v>828</v>
      </c>
      <c r="Y3" s="39" t="s">
        <v>826</v>
      </c>
      <c r="Z3" s="48"/>
      <c r="AA3" s="38" t="s">
        <v>265</v>
      </c>
      <c r="AB3" s="38" t="s">
        <v>829</v>
      </c>
      <c r="AC3" s="38" t="s">
        <v>770</v>
      </c>
      <c r="AD3" s="38" t="s">
        <v>921</v>
      </c>
      <c r="AE3" s="115"/>
      <c r="AF3" s="20"/>
      <c r="AG3" s="47" t="s">
        <v>3888</v>
      </c>
    </row>
    <row r="4" spans="1:33" ht="113" x14ac:dyDescent="0.2">
      <c r="A4" s="32" t="s">
        <v>895</v>
      </c>
      <c r="B4" s="32" t="s">
        <v>1</v>
      </c>
      <c r="C4" s="32" t="s">
        <v>0</v>
      </c>
      <c r="D4" s="33" t="s">
        <v>384</v>
      </c>
      <c r="E4" s="33" t="s">
        <v>385</v>
      </c>
      <c r="F4" s="32" t="s">
        <v>741</v>
      </c>
      <c r="G4" s="34" t="s">
        <v>2</v>
      </c>
      <c r="H4" s="34" t="s">
        <v>4111</v>
      </c>
      <c r="I4" s="35" t="s">
        <v>4112</v>
      </c>
      <c r="J4" s="31" t="s">
        <v>4113</v>
      </c>
      <c r="K4" s="34" t="s">
        <v>380</v>
      </c>
      <c r="L4" s="36" t="s">
        <v>4114</v>
      </c>
      <c r="M4" s="36" t="s">
        <v>4115</v>
      </c>
      <c r="N4" s="36" t="s">
        <v>4116</v>
      </c>
      <c r="O4" s="36" t="s">
        <v>4117</v>
      </c>
      <c r="P4" s="36" t="s">
        <v>4118</v>
      </c>
      <c r="Q4" s="36" t="s">
        <v>4119</v>
      </c>
      <c r="R4" s="36" t="s">
        <v>4120</v>
      </c>
      <c r="S4" s="36" t="s">
        <v>4121</v>
      </c>
      <c r="T4" s="36" t="s">
        <v>4122</v>
      </c>
      <c r="U4" s="36" t="s">
        <v>4123</v>
      </c>
      <c r="V4" s="36" t="s">
        <v>4124</v>
      </c>
      <c r="W4" s="36" t="s">
        <v>4125</v>
      </c>
      <c r="X4" s="36" t="s">
        <v>4126</v>
      </c>
      <c r="Y4" s="36" t="s">
        <v>4127</v>
      </c>
      <c r="Z4" s="34" t="s">
        <v>1302</v>
      </c>
      <c r="AA4" s="34" t="s">
        <v>4128</v>
      </c>
      <c r="AB4" s="34" t="s">
        <v>4129</v>
      </c>
      <c r="AC4" s="34" t="s">
        <v>4130</v>
      </c>
      <c r="AD4" s="34" t="s">
        <v>4131</v>
      </c>
      <c r="AE4" s="35" t="s">
        <v>4132</v>
      </c>
      <c r="AF4" s="37" t="s">
        <v>3</v>
      </c>
      <c r="AG4" s="37" t="s">
        <v>3851</v>
      </c>
    </row>
    <row r="5" spans="1:33" ht="32.25" customHeight="1" x14ac:dyDescent="0.2">
      <c r="A5" s="27">
        <v>1</v>
      </c>
      <c r="B5" s="27" t="s">
        <v>1405</v>
      </c>
      <c r="C5" s="27" t="s">
        <v>977</v>
      </c>
      <c r="D5" s="27">
        <v>2023</v>
      </c>
      <c r="E5" s="27"/>
      <c r="F5" s="27" t="s">
        <v>753</v>
      </c>
      <c r="G5" s="27" t="s">
        <v>758</v>
      </c>
      <c r="H5" s="27" t="s">
        <v>1406</v>
      </c>
      <c r="I5" s="27" t="s">
        <v>768</v>
      </c>
      <c r="J5" s="27" t="s">
        <v>863</v>
      </c>
      <c r="K5" s="27" t="s">
        <v>377</v>
      </c>
      <c r="L5" s="27"/>
      <c r="M5" s="27"/>
      <c r="N5" s="27"/>
      <c r="O5" s="27"/>
      <c r="P5" s="27"/>
      <c r="Q5" s="27"/>
      <c r="R5" s="27"/>
      <c r="S5" s="27"/>
      <c r="T5" s="27"/>
      <c r="U5" s="27"/>
      <c r="V5" s="27"/>
      <c r="W5" s="27"/>
      <c r="X5" s="27"/>
      <c r="Y5" s="27"/>
      <c r="Z5" s="29" t="s">
        <v>1407</v>
      </c>
      <c r="AA5" s="29">
        <v>10</v>
      </c>
      <c r="AB5" s="30">
        <f>AA5/0.0045</f>
        <v>2222.2222222222222</v>
      </c>
      <c r="AC5" s="50">
        <f>AB5*0.089*24*365/10^6</f>
        <v>1.732533333333333</v>
      </c>
      <c r="AD5" s="30"/>
      <c r="AE5" s="30">
        <f>AB5</f>
        <v>2222.2222222222222</v>
      </c>
      <c r="AF5" s="28" t="s">
        <v>1408</v>
      </c>
      <c r="AG5" s="74" t="s">
        <v>3926</v>
      </c>
    </row>
    <row r="6" spans="1:33" ht="32.25" customHeight="1" x14ac:dyDescent="0.2">
      <c r="A6" s="27">
        <v>2</v>
      </c>
      <c r="B6" s="27" t="s">
        <v>1409</v>
      </c>
      <c r="C6" s="27" t="s">
        <v>977</v>
      </c>
      <c r="D6" s="27">
        <v>2030</v>
      </c>
      <c r="E6" s="27"/>
      <c r="F6" s="27" t="s">
        <v>832</v>
      </c>
      <c r="G6" s="27" t="s">
        <v>758</v>
      </c>
      <c r="H6" s="27" t="s">
        <v>1406</v>
      </c>
      <c r="I6" s="27" t="s">
        <v>768</v>
      </c>
      <c r="J6" s="27" t="s">
        <v>863</v>
      </c>
      <c r="K6" s="27" t="s">
        <v>377</v>
      </c>
      <c r="L6" s="27"/>
      <c r="M6" s="27"/>
      <c r="N6" s="27"/>
      <c r="O6" s="27"/>
      <c r="P6" s="27"/>
      <c r="Q6" s="27"/>
      <c r="R6" s="27"/>
      <c r="S6" s="27"/>
      <c r="T6" s="27"/>
      <c r="U6" s="27"/>
      <c r="V6" s="27"/>
      <c r="W6" s="27"/>
      <c r="X6" s="27"/>
      <c r="Y6" s="27"/>
      <c r="Z6" s="29" t="s">
        <v>1410</v>
      </c>
      <c r="AA6" s="29">
        <v>990</v>
      </c>
      <c r="AB6" s="30">
        <f>AA6/0.0045</f>
        <v>220000.00000000003</v>
      </c>
      <c r="AC6" s="50">
        <f>AB6*0.089*24*365/10^6</f>
        <v>171.52080000000001</v>
      </c>
      <c r="AD6" s="30"/>
      <c r="AE6" s="30">
        <f>AB6</f>
        <v>220000.00000000003</v>
      </c>
      <c r="AF6" s="28" t="s">
        <v>1408</v>
      </c>
      <c r="AG6" s="74" t="s">
        <v>3926</v>
      </c>
    </row>
    <row r="7" spans="1:33" ht="32.25" customHeight="1" x14ac:dyDescent="0.2">
      <c r="A7" s="27">
        <v>3</v>
      </c>
      <c r="B7" s="27" t="s">
        <v>1411</v>
      </c>
      <c r="C7" s="27" t="s">
        <v>347</v>
      </c>
      <c r="D7" s="27">
        <v>2021</v>
      </c>
      <c r="E7" s="27"/>
      <c r="F7" s="27" t="s">
        <v>754</v>
      </c>
      <c r="G7" s="27" t="s">
        <v>758</v>
      </c>
      <c r="H7" s="27" t="s">
        <v>1406</v>
      </c>
      <c r="I7" s="27" t="s">
        <v>768</v>
      </c>
      <c r="J7" s="27" t="s">
        <v>865</v>
      </c>
      <c r="K7" s="27" t="s">
        <v>377</v>
      </c>
      <c r="L7" s="27"/>
      <c r="M7" s="27"/>
      <c r="N7" s="27"/>
      <c r="O7" s="27"/>
      <c r="P7" s="27"/>
      <c r="Q7" s="27">
        <v>1</v>
      </c>
      <c r="R7" s="27"/>
      <c r="S7" s="27"/>
      <c r="T7" s="27"/>
      <c r="U7" s="27"/>
      <c r="V7" s="27"/>
      <c r="W7" s="27"/>
      <c r="X7" s="27"/>
      <c r="Y7" s="27"/>
      <c r="Z7" s="29" t="s">
        <v>1412</v>
      </c>
      <c r="AA7" s="29">
        <v>2.5</v>
      </c>
      <c r="AB7" s="30">
        <f>AA7/0.0045</f>
        <v>555.55555555555554</v>
      </c>
      <c r="AC7" s="50">
        <f>AB7*0.089*24*365/10^6</f>
        <v>0.43313333333333326</v>
      </c>
      <c r="AD7" s="30"/>
      <c r="AE7" s="30">
        <f>AB7</f>
        <v>555.55555555555554</v>
      </c>
      <c r="AF7" s="28" t="s">
        <v>1413</v>
      </c>
      <c r="AG7" s="28"/>
    </row>
    <row r="8" spans="1:33" ht="32.25" customHeight="1" x14ac:dyDescent="0.2">
      <c r="A8" s="27">
        <v>4</v>
      </c>
      <c r="B8" s="27" t="s">
        <v>1414</v>
      </c>
      <c r="C8" s="27" t="s">
        <v>347</v>
      </c>
      <c r="D8" s="27">
        <v>2030</v>
      </c>
      <c r="E8" s="27"/>
      <c r="F8" s="27" t="s">
        <v>1336</v>
      </c>
      <c r="G8" s="27" t="s">
        <v>758</v>
      </c>
      <c r="H8" s="27" t="s">
        <v>1406</v>
      </c>
      <c r="I8" s="27" t="s">
        <v>768</v>
      </c>
      <c r="J8" s="27" t="s">
        <v>865</v>
      </c>
      <c r="K8" s="27" t="s">
        <v>377</v>
      </c>
      <c r="L8" s="27"/>
      <c r="M8" s="27"/>
      <c r="N8" s="27"/>
      <c r="O8" s="27"/>
      <c r="P8" s="27"/>
      <c r="Q8" s="27">
        <v>1</v>
      </c>
      <c r="R8" s="27"/>
      <c r="S8" s="27"/>
      <c r="T8" s="27"/>
      <c r="U8" s="27"/>
      <c r="V8" s="27"/>
      <c r="W8" s="27"/>
      <c r="X8" s="27"/>
      <c r="Y8" s="27"/>
      <c r="Z8" s="29" t="s">
        <v>1415</v>
      </c>
      <c r="AA8" s="29">
        <v>23.5</v>
      </c>
      <c r="AB8" s="30">
        <f>AA8/0.0045</f>
        <v>5222.2222222222226</v>
      </c>
      <c r="AC8" s="50">
        <f>AB8*0.089*24*365/10^6</f>
        <v>4.0714533333333334</v>
      </c>
      <c r="AD8" s="30"/>
      <c r="AE8" s="30">
        <f>AB8</f>
        <v>5222.2222222222226</v>
      </c>
      <c r="AF8" s="28" t="s">
        <v>1413</v>
      </c>
      <c r="AG8" s="28"/>
    </row>
    <row r="9" spans="1:33" ht="32.25" customHeight="1" x14ac:dyDescent="0.2">
      <c r="A9" s="27">
        <v>5</v>
      </c>
      <c r="B9" s="27" t="s">
        <v>1416</v>
      </c>
      <c r="C9" s="27" t="s">
        <v>347</v>
      </c>
      <c r="D9" s="27">
        <v>2027</v>
      </c>
      <c r="E9" s="27"/>
      <c r="F9" s="27" t="s">
        <v>832</v>
      </c>
      <c r="G9" s="27" t="s">
        <v>758</v>
      </c>
      <c r="H9" s="27" t="s">
        <v>1406</v>
      </c>
      <c r="I9" s="27" t="s">
        <v>768</v>
      </c>
      <c r="J9" s="27" t="s">
        <v>863</v>
      </c>
      <c r="K9" s="27" t="s">
        <v>377</v>
      </c>
      <c r="L9" s="27">
        <v>1</v>
      </c>
      <c r="M9" s="27"/>
      <c r="N9" s="27"/>
      <c r="O9" s="27"/>
      <c r="P9" s="27">
        <v>1</v>
      </c>
      <c r="Q9" s="27"/>
      <c r="R9" s="27"/>
      <c r="S9" s="27">
        <v>1</v>
      </c>
      <c r="T9" s="27"/>
      <c r="U9" s="27"/>
      <c r="V9" s="27"/>
      <c r="W9" s="27"/>
      <c r="X9" s="27"/>
      <c r="Y9" s="27"/>
      <c r="Z9" s="77" t="s">
        <v>3910</v>
      </c>
      <c r="AA9" s="77">
        <v>462</v>
      </c>
      <c r="AB9" s="30">
        <f>AA9/0.0045</f>
        <v>102666.66666666667</v>
      </c>
      <c r="AC9" s="78">
        <f>AB9*0.089*24*365/10^6</f>
        <v>80.043040000000005</v>
      </c>
      <c r="AD9" s="30"/>
      <c r="AE9" s="30">
        <f>AB9</f>
        <v>102666.66666666667</v>
      </c>
      <c r="AF9" s="28" t="s">
        <v>1417</v>
      </c>
      <c r="AG9" s="76" t="s">
        <v>3868</v>
      </c>
    </row>
    <row r="10" spans="1:33" ht="32.25" customHeight="1" x14ac:dyDescent="0.2">
      <c r="A10" s="27">
        <v>6</v>
      </c>
      <c r="B10" s="27" t="s">
        <v>1418</v>
      </c>
      <c r="C10" s="27" t="s">
        <v>332</v>
      </c>
      <c r="D10" s="27">
        <v>2023</v>
      </c>
      <c r="E10" s="27"/>
      <c r="F10" s="27" t="s">
        <v>832</v>
      </c>
      <c r="G10" s="27" t="s">
        <v>267</v>
      </c>
      <c r="H10" s="27"/>
      <c r="I10" s="27" t="s">
        <v>768</v>
      </c>
      <c r="J10" s="27" t="s">
        <v>865</v>
      </c>
      <c r="K10" s="27" t="s">
        <v>766</v>
      </c>
      <c r="L10" s="27"/>
      <c r="M10" s="27"/>
      <c r="N10" s="27"/>
      <c r="O10" s="27"/>
      <c r="P10" s="27"/>
      <c r="Q10" s="27"/>
      <c r="R10" s="27"/>
      <c r="S10" s="27"/>
      <c r="T10" s="27"/>
      <c r="U10" s="27"/>
      <c r="V10" s="27"/>
      <c r="W10" s="27">
        <v>1</v>
      </c>
      <c r="X10" s="27"/>
      <c r="Y10" s="27"/>
      <c r="Z10" s="51" t="s">
        <v>4135</v>
      </c>
      <c r="AA10" s="91">
        <v>25.131791596121289</v>
      </c>
      <c r="AB10" s="30">
        <v>5700</v>
      </c>
      <c r="AC10" s="50">
        <f>AB10*0.089*24*365/10^6</f>
        <v>4.4439479999999998</v>
      </c>
      <c r="AD10" s="30"/>
      <c r="AE10" s="30">
        <f>AB10</f>
        <v>5700</v>
      </c>
      <c r="AF10" s="28" t="s">
        <v>1419</v>
      </c>
      <c r="AG10" s="28"/>
    </row>
    <row r="11" spans="1:33" ht="32.25" customHeight="1" x14ac:dyDescent="0.2">
      <c r="A11" s="27">
        <v>7</v>
      </c>
      <c r="B11" s="27" t="s">
        <v>1420</v>
      </c>
      <c r="C11" s="27" t="s">
        <v>332</v>
      </c>
      <c r="D11" s="27">
        <v>2026</v>
      </c>
      <c r="E11" s="27"/>
      <c r="F11" s="27" t="s">
        <v>1336</v>
      </c>
      <c r="G11" s="27" t="s">
        <v>267</v>
      </c>
      <c r="H11" s="27"/>
      <c r="I11" s="27" t="s">
        <v>768</v>
      </c>
      <c r="J11" s="27" t="s">
        <v>865</v>
      </c>
      <c r="K11" s="27" t="s">
        <v>766</v>
      </c>
      <c r="L11" s="27"/>
      <c r="M11" s="27"/>
      <c r="N11" s="27"/>
      <c r="O11" s="27"/>
      <c r="P11" s="27"/>
      <c r="Q11" s="27"/>
      <c r="R11" s="27"/>
      <c r="S11" s="27"/>
      <c r="T11" s="27"/>
      <c r="U11" s="27"/>
      <c r="V11" s="27"/>
      <c r="W11" s="27">
        <v>1</v>
      </c>
      <c r="X11" s="27"/>
      <c r="Y11" s="27"/>
      <c r="Z11" s="51" t="s">
        <v>4136</v>
      </c>
      <c r="AA11" s="91">
        <v>25.131791596121289</v>
      </c>
      <c r="AB11" s="30">
        <v>5700</v>
      </c>
      <c r="AC11" s="50">
        <f>AB11*0.089*24*365/10^6</f>
        <v>4.4439479999999998</v>
      </c>
      <c r="AD11" s="30"/>
      <c r="AE11" s="30">
        <f>AB11</f>
        <v>5700</v>
      </c>
      <c r="AF11" s="28" t="s">
        <v>1419</v>
      </c>
      <c r="AG11" s="28"/>
    </row>
    <row r="12" spans="1:33" ht="32.25" customHeight="1" x14ac:dyDescent="0.2">
      <c r="A12" s="27">
        <v>8</v>
      </c>
      <c r="B12" s="27" t="s">
        <v>1422</v>
      </c>
      <c r="C12" s="27" t="s">
        <v>360</v>
      </c>
      <c r="D12" s="27">
        <v>2020</v>
      </c>
      <c r="E12" s="27"/>
      <c r="F12" s="27" t="s">
        <v>836</v>
      </c>
      <c r="G12" s="27" t="s">
        <v>268</v>
      </c>
      <c r="H12" s="27"/>
      <c r="I12" s="27" t="s">
        <v>866</v>
      </c>
      <c r="J12" s="27"/>
      <c r="K12" s="27" t="s">
        <v>377</v>
      </c>
      <c r="L12" s="27"/>
      <c r="M12" s="27"/>
      <c r="N12" s="27"/>
      <c r="O12" s="27">
        <v>1</v>
      </c>
      <c r="P12" s="27"/>
      <c r="Q12" s="27"/>
      <c r="R12" s="27"/>
      <c r="S12" s="27"/>
      <c r="T12" s="27"/>
      <c r="U12" s="27"/>
      <c r="V12" s="27"/>
      <c r="W12" s="27"/>
      <c r="X12" s="27"/>
      <c r="Y12" s="27"/>
      <c r="Z12" s="29" t="s">
        <v>1423</v>
      </c>
      <c r="AA12" s="29">
        <v>4.5</v>
      </c>
      <c r="AB12" s="30">
        <f>AA12/0.0046</f>
        <v>978.26086956521738</v>
      </c>
      <c r="AC12" s="50">
        <f>AB12*0.089*24*365/10^6</f>
        <v>0.76269130434782595</v>
      </c>
      <c r="AD12" s="30"/>
      <c r="AE12" s="30">
        <f>AB12</f>
        <v>978.26086956521738</v>
      </c>
      <c r="AF12" s="28" t="s">
        <v>1424</v>
      </c>
      <c r="AG12" s="28"/>
    </row>
    <row r="13" spans="1:33" ht="32.25" customHeight="1" x14ac:dyDescent="0.2">
      <c r="A13" s="27">
        <v>9</v>
      </c>
      <c r="B13" s="27" t="s">
        <v>1425</v>
      </c>
      <c r="C13" s="27" t="s">
        <v>360</v>
      </c>
      <c r="D13" s="27">
        <v>2025</v>
      </c>
      <c r="E13" s="27"/>
      <c r="F13" s="27" t="s">
        <v>754</v>
      </c>
      <c r="G13" s="27" t="s">
        <v>268</v>
      </c>
      <c r="H13" s="27"/>
      <c r="I13" s="27" t="s">
        <v>866</v>
      </c>
      <c r="J13" s="27"/>
      <c r="K13" s="27" t="s">
        <v>377</v>
      </c>
      <c r="L13" s="27"/>
      <c r="M13" s="27"/>
      <c r="N13" s="27"/>
      <c r="O13" s="27">
        <v>1</v>
      </c>
      <c r="P13" s="27"/>
      <c r="Q13" s="27"/>
      <c r="R13" s="27"/>
      <c r="S13" s="27"/>
      <c r="T13" s="27"/>
      <c r="U13" s="27"/>
      <c r="V13" s="27"/>
      <c r="W13" s="27"/>
      <c r="X13" s="27"/>
      <c r="Y13" s="27"/>
      <c r="Z13" s="29" t="s">
        <v>3259</v>
      </c>
      <c r="AA13" s="50">
        <f>AB13*0.0046</f>
        <v>339.25914524652404</v>
      </c>
      <c r="AB13" s="30">
        <f>AC13/(0.089*24*365/10^6)</f>
        <v>73751.98809707044</v>
      </c>
      <c r="AC13" s="50">
        <f>1*0.0575*1000</f>
        <v>57.5</v>
      </c>
      <c r="AD13" s="30"/>
      <c r="AE13" s="30"/>
      <c r="AF13" s="28" t="s">
        <v>1426</v>
      </c>
      <c r="AG13" s="28"/>
    </row>
    <row r="14" spans="1:33" ht="32.25" customHeight="1" x14ac:dyDescent="0.2">
      <c r="A14" s="27">
        <v>10</v>
      </c>
      <c r="B14" s="27" t="s">
        <v>1427</v>
      </c>
      <c r="C14" s="27" t="s">
        <v>980</v>
      </c>
      <c r="D14" s="27">
        <v>2021</v>
      </c>
      <c r="E14" s="27"/>
      <c r="F14" s="27" t="s">
        <v>754</v>
      </c>
      <c r="G14" s="27" t="s">
        <v>266</v>
      </c>
      <c r="H14" s="27"/>
      <c r="I14" s="27" t="s">
        <v>768</v>
      </c>
      <c r="J14" s="27" t="s">
        <v>861</v>
      </c>
      <c r="K14" s="27" t="s">
        <v>740</v>
      </c>
      <c r="L14" s="27"/>
      <c r="M14" s="27">
        <v>1</v>
      </c>
      <c r="N14" s="27"/>
      <c r="O14" s="27"/>
      <c r="P14" s="27"/>
      <c r="Q14" s="27"/>
      <c r="R14" s="27"/>
      <c r="S14" s="27"/>
      <c r="T14" s="27"/>
      <c r="U14" s="27"/>
      <c r="V14" s="27"/>
      <c r="W14" s="27"/>
      <c r="X14" s="27"/>
      <c r="Y14" s="27"/>
      <c r="Z14" s="29" t="s">
        <v>1428</v>
      </c>
      <c r="AA14" s="29">
        <v>20</v>
      </c>
      <c r="AB14" s="30">
        <f>AA14/0.0045</f>
        <v>4444.4444444444443</v>
      </c>
      <c r="AC14" s="50">
        <f>AB14*0.089*24*365/10^6</f>
        <v>3.4650666666666661</v>
      </c>
      <c r="AD14" s="30"/>
      <c r="AE14" s="30">
        <f>AB14</f>
        <v>4444.4444444444443</v>
      </c>
      <c r="AF14" s="28" t="s">
        <v>1429</v>
      </c>
      <c r="AG14" s="28"/>
    </row>
    <row r="15" spans="1:33" ht="32.25" customHeight="1" x14ac:dyDescent="0.2">
      <c r="A15" s="27">
        <v>11</v>
      </c>
      <c r="B15" s="27" t="s">
        <v>1430</v>
      </c>
      <c r="C15" s="27" t="s">
        <v>980</v>
      </c>
      <c r="D15" s="27">
        <v>2021</v>
      </c>
      <c r="E15" s="27"/>
      <c r="F15" s="27" t="s">
        <v>754</v>
      </c>
      <c r="G15" s="27" t="s">
        <v>758</v>
      </c>
      <c r="H15" s="27" t="s">
        <v>1406</v>
      </c>
      <c r="I15" s="27" t="s">
        <v>768</v>
      </c>
      <c r="J15" s="27" t="s">
        <v>861</v>
      </c>
      <c r="K15" s="27" t="s">
        <v>377</v>
      </c>
      <c r="L15" s="27"/>
      <c r="M15" s="27"/>
      <c r="N15" s="27"/>
      <c r="O15" s="27"/>
      <c r="P15" s="27"/>
      <c r="Q15" s="27">
        <v>1</v>
      </c>
      <c r="R15" s="27"/>
      <c r="S15" s="27">
        <v>1</v>
      </c>
      <c r="T15" s="27"/>
      <c r="U15" s="27"/>
      <c r="V15" s="27"/>
      <c r="W15" s="27"/>
      <c r="X15" s="27"/>
      <c r="Y15" s="27"/>
      <c r="Z15" s="29" t="s">
        <v>1431</v>
      </c>
      <c r="AA15" s="29">
        <f>AB15*0.0045</f>
        <v>1.9047252578112972</v>
      </c>
      <c r="AB15" s="30">
        <f>AC15/(0.089*24*365/10^6)</f>
        <v>423.27227951362164</v>
      </c>
      <c r="AC15" s="50">
        <v>0.33</v>
      </c>
      <c r="AD15" s="30"/>
      <c r="AE15" s="30">
        <f>AB15</f>
        <v>423.27227951362164</v>
      </c>
      <c r="AF15" s="28" t="s">
        <v>1432</v>
      </c>
      <c r="AG15" s="28"/>
    </row>
    <row r="16" spans="1:33" ht="32.25" customHeight="1" x14ac:dyDescent="0.2">
      <c r="A16" s="27">
        <v>12</v>
      </c>
      <c r="B16" s="27" t="s">
        <v>1433</v>
      </c>
      <c r="C16" s="27" t="s">
        <v>980</v>
      </c>
      <c r="D16" s="27">
        <v>2022</v>
      </c>
      <c r="E16" s="27"/>
      <c r="F16" s="27" t="s">
        <v>753</v>
      </c>
      <c r="G16" s="27" t="s">
        <v>758</v>
      </c>
      <c r="H16" s="27" t="s">
        <v>1406</v>
      </c>
      <c r="I16" s="27" t="s">
        <v>768</v>
      </c>
      <c r="J16" s="27" t="s">
        <v>861</v>
      </c>
      <c r="K16" s="27" t="s">
        <v>377</v>
      </c>
      <c r="L16" s="27"/>
      <c r="M16" s="27"/>
      <c r="N16" s="27"/>
      <c r="O16" s="27"/>
      <c r="P16" s="27"/>
      <c r="Q16" s="27">
        <v>1</v>
      </c>
      <c r="R16" s="27"/>
      <c r="S16" s="27">
        <v>1</v>
      </c>
      <c r="T16" s="27"/>
      <c r="U16" s="27"/>
      <c r="V16" s="27"/>
      <c r="W16" s="27"/>
      <c r="X16" s="27"/>
      <c r="Y16" s="27"/>
      <c r="Z16" s="29" t="s">
        <v>1434</v>
      </c>
      <c r="AA16" s="29">
        <v>7.5</v>
      </c>
      <c r="AB16" s="30">
        <f>AA16/0.0045</f>
        <v>1666.6666666666667</v>
      </c>
      <c r="AC16" s="50">
        <f>AB16*0.089*24*365/10^6</f>
        <v>1.2994000000000001</v>
      </c>
      <c r="AD16" s="30"/>
      <c r="AE16" s="30">
        <f>AB16</f>
        <v>1666.6666666666667</v>
      </c>
      <c r="AF16" s="28" t="s">
        <v>1435</v>
      </c>
      <c r="AG16" s="28"/>
    </row>
    <row r="17" spans="1:33" ht="32.25" customHeight="1" x14ac:dyDescent="0.2">
      <c r="A17" s="27">
        <v>13</v>
      </c>
      <c r="B17" s="27" t="s">
        <v>1436</v>
      </c>
      <c r="C17" s="27" t="s">
        <v>343</v>
      </c>
      <c r="D17" s="27">
        <v>2040</v>
      </c>
      <c r="E17" s="27"/>
      <c r="F17" s="27" t="s">
        <v>1336</v>
      </c>
      <c r="G17" s="27" t="s">
        <v>760</v>
      </c>
      <c r="H17" s="27" t="s">
        <v>1437</v>
      </c>
      <c r="I17" s="27"/>
      <c r="J17" s="27"/>
      <c r="K17" s="27" t="s">
        <v>377</v>
      </c>
      <c r="L17" s="27">
        <v>1</v>
      </c>
      <c r="M17" s="27"/>
      <c r="N17" s="27"/>
      <c r="O17" s="27"/>
      <c r="P17" s="27">
        <v>1</v>
      </c>
      <c r="Q17" s="27">
        <v>1</v>
      </c>
      <c r="R17" s="27">
        <v>1</v>
      </c>
      <c r="S17" s="27">
        <v>1</v>
      </c>
      <c r="T17" s="27"/>
      <c r="U17" s="27"/>
      <c r="V17" s="27"/>
      <c r="W17" s="27"/>
      <c r="X17" s="27"/>
      <c r="Y17" s="27"/>
      <c r="Z17" s="27"/>
      <c r="AA17" s="29"/>
      <c r="AB17" s="30"/>
      <c r="AC17" s="50"/>
      <c r="AD17" s="30"/>
      <c r="AE17" s="30"/>
      <c r="AF17" s="28" t="s">
        <v>1438</v>
      </c>
      <c r="AG17" s="28"/>
    </row>
    <row r="18" spans="1:33" ht="32.25" customHeight="1" x14ac:dyDescent="0.2">
      <c r="A18" s="27">
        <v>14</v>
      </c>
      <c r="B18" s="27" t="s">
        <v>1439</v>
      </c>
      <c r="C18" s="27" t="s">
        <v>332</v>
      </c>
      <c r="D18" s="27">
        <v>2023</v>
      </c>
      <c r="E18" s="27"/>
      <c r="F18" s="27" t="s">
        <v>832</v>
      </c>
      <c r="G18" s="27" t="s">
        <v>758</v>
      </c>
      <c r="H18" s="27" t="s">
        <v>1406</v>
      </c>
      <c r="I18" s="27" t="s">
        <v>911</v>
      </c>
      <c r="J18" s="27"/>
      <c r="K18" s="27" t="s">
        <v>739</v>
      </c>
      <c r="L18" s="27"/>
      <c r="M18" s="27"/>
      <c r="N18" s="27">
        <v>1</v>
      </c>
      <c r="O18" s="27"/>
      <c r="P18" s="27"/>
      <c r="Q18" s="27"/>
      <c r="R18" s="27"/>
      <c r="S18" s="27"/>
      <c r="T18" s="27"/>
      <c r="U18" s="27"/>
      <c r="V18" s="27"/>
      <c r="W18" s="27"/>
      <c r="X18" s="27"/>
      <c r="Y18" s="27"/>
      <c r="Z18" s="29" t="s">
        <v>1440</v>
      </c>
      <c r="AA18" s="30">
        <f>AB18*0.0045</f>
        <v>110.43165919592401</v>
      </c>
      <c r="AB18" s="30">
        <f>AC18/(0.089*24*365/10^6)</f>
        <v>24540.368710205337</v>
      </c>
      <c r="AC18" s="30">
        <f>100*6/32/0.98</f>
        <v>19.132653061224492</v>
      </c>
      <c r="AD18" s="30"/>
      <c r="AE18" s="30">
        <f>AB18</f>
        <v>24540.368710205337</v>
      </c>
      <c r="AF18" s="28" t="s">
        <v>1441</v>
      </c>
      <c r="AG18" s="74" t="s">
        <v>4033</v>
      </c>
    </row>
    <row r="19" spans="1:33" ht="32.25" customHeight="1" x14ac:dyDescent="0.2">
      <c r="A19" s="27">
        <v>15</v>
      </c>
      <c r="B19" s="27" t="s">
        <v>1442</v>
      </c>
      <c r="C19" s="27" t="s">
        <v>337</v>
      </c>
      <c r="D19" s="27">
        <v>2021</v>
      </c>
      <c r="E19" s="27"/>
      <c r="F19" s="27" t="s">
        <v>754</v>
      </c>
      <c r="G19" s="27" t="s">
        <v>266</v>
      </c>
      <c r="H19" s="27"/>
      <c r="I19" s="27" t="s">
        <v>911</v>
      </c>
      <c r="J19" s="27"/>
      <c r="K19" s="27" t="s">
        <v>377</v>
      </c>
      <c r="L19" s="27"/>
      <c r="M19" s="27"/>
      <c r="N19" s="27"/>
      <c r="O19" s="27"/>
      <c r="P19" s="27"/>
      <c r="Q19" s="27"/>
      <c r="R19" s="27"/>
      <c r="S19" s="27"/>
      <c r="T19" s="27"/>
      <c r="U19" s="27"/>
      <c r="V19" s="27"/>
      <c r="W19" s="27"/>
      <c r="X19" s="27"/>
      <c r="Y19" s="27"/>
      <c r="Z19" s="27" t="s">
        <v>1443</v>
      </c>
      <c r="AA19" s="29">
        <v>1.25</v>
      </c>
      <c r="AB19" s="30">
        <f>AA19/0.0052</f>
        <v>240.38461538461539</v>
      </c>
      <c r="AC19" s="50">
        <f>AB19*0.089*24*365/10^6</f>
        <v>0.18741346153846153</v>
      </c>
      <c r="AD19" s="30"/>
      <c r="AE19" s="30">
        <f>AB19</f>
        <v>240.38461538461539</v>
      </c>
      <c r="AF19" s="28" t="s">
        <v>1444</v>
      </c>
      <c r="AG19" s="28"/>
    </row>
    <row r="20" spans="1:33" ht="32.25" customHeight="1" x14ac:dyDescent="0.2">
      <c r="A20" s="27">
        <v>16</v>
      </c>
      <c r="B20" s="27" t="s">
        <v>1445</v>
      </c>
      <c r="C20" s="27" t="s">
        <v>339</v>
      </c>
      <c r="D20" s="27">
        <v>2020</v>
      </c>
      <c r="E20" s="27">
        <v>2023</v>
      </c>
      <c r="F20" s="27" t="s">
        <v>836</v>
      </c>
      <c r="G20" s="27" t="s">
        <v>268</v>
      </c>
      <c r="H20" s="27"/>
      <c r="I20" s="27" t="s">
        <v>768</v>
      </c>
      <c r="J20" s="27" t="s">
        <v>861</v>
      </c>
      <c r="K20" s="27" t="s">
        <v>377</v>
      </c>
      <c r="L20" s="27"/>
      <c r="M20" s="27"/>
      <c r="N20" s="27"/>
      <c r="O20" s="27"/>
      <c r="P20" s="27"/>
      <c r="Q20" s="27">
        <v>1</v>
      </c>
      <c r="R20" s="27">
        <v>1</v>
      </c>
      <c r="S20" s="27"/>
      <c r="T20" s="27"/>
      <c r="U20" s="27"/>
      <c r="V20" s="27"/>
      <c r="W20" s="27"/>
      <c r="X20" s="27"/>
      <c r="Y20" s="27"/>
      <c r="Z20" s="27" t="s">
        <v>1446</v>
      </c>
      <c r="AA20" s="29">
        <v>10</v>
      </c>
      <c r="AB20" s="30">
        <f>AA20/0.0052</f>
        <v>1923.0769230769231</v>
      </c>
      <c r="AC20" s="50">
        <f>AB20*0.089*24*365/10^6</f>
        <v>1.4993076923076922</v>
      </c>
      <c r="AD20" s="30"/>
      <c r="AE20" s="30">
        <f>AB20</f>
        <v>1923.0769230769231</v>
      </c>
      <c r="AF20" s="28" t="s">
        <v>1447</v>
      </c>
      <c r="AG20" s="28"/>
    </row>
    <row r="21" spans="1:33" ht="32.25" customHeight="1" x14ac:dyDescent="0.2">
      <c r="A21" s="27">
        <v>17</v>
      </c>
      <c r="B21" s="27" t="s">
        <v>2866</v>
      </c>
      <c r="C21" s="27" t="s">
        <v>356</v>
      </c>
      <c r="D21" s="27">
        <v>2020</v>
      </c>
      <c r="E21" s="27"/>
      <c r="F21" s="27" t="s">
        <v>836</v>
      </c>
      <c r="G21" s="27" t="s">
        <v>266</v>
      </c>
      <c r="H21" s="27"/>
      <c r="I21" s="27" t="s">
        <v>768</v>
      </c>
      <c r="J21" s="27" t="s">
        <v>864</v>
      </c>
      <c r="K21" s="27" t="s">
        <v>377</v>
      </c>
      <c r="L21" s="27"/>
      <c r="M21" s="27"/>
      <c r="N21" s="27"/>
      <c r="O21" s="27"/>
      <c r="P21" s="27"/>
      <c r="Q21" s="27">
        <v>1</v>
      </c>
      <c r="R21" s="27"/>
      <c r="S21" s="27"/>
      <c r="T21" s="27"/>
      <c r="U21" s="27"/>
      <c r="V21" s="27"/>
      <c r="W21" s="27"/>
      <c r="X21" s="27"/>
      <c r="Y21" s="27"/>
      <c r="Z21" s="27" t="s">
        <v>1448</v>
      </c>
      <c r="AA21" s="29">
        <v>2</v>
      </c>
      <c r="AB21" s="30">
        <f>AA21/0.0052</f>
        <v>384.61538461538464</v>
      </c>
      <c r="AC21" s="50">
        <f>AB21*0.089*24*365/10^6</f>
        <v>0.29986153846153851</v>
      </c>
      <c r="AD21" s="30"/>
      <c r="AE21" s="30">
        <f>AB21</f>
        <v>384.61538461538464</v>
      </c>
      <c r="AF21" s="28" t="s">
        <v>1449</v>
      </c>
      <c r="AG21" s="28"/>
    </row>
    <row r="22" spans="1:33" ht="32.25" customHeight="1" x14ac:dyDescent="0.2">
      <c r="A22" s="27">
        <v>18</v>
      </c>
      <c r="B22" s="27" t="s">
        <v>1450</v>
      </c>
      <c r="C22" s="27" t="s">
        <v>804</v>
      </c>
      <c r="D22" s="27">
        <v>2020</v>
      </c>
      <c r="E22" s="27"/>
      <c r="F22" s="27" t="s">
        <v>836</v>
      </c>
      <c r="G22" s="27" t="s">
        <v>268</v>
      </c>
      <c r="H22" s="27"/>
      <c r="I22" s="27" t="s">
        <v>866</v>
      </c>
      <c r="J22" s="27"/>
      <c r="K22" s="27" t="s">
        <v>377</v>
      </c>
      <c r="L22" s="27"/>
      <c r="M22" s="27"/>
      <c r="N22" s="27"/>
      <c r="O22" s="27"/>
      <c r="P22" s="27"/>
      <c r="Q22" s="27">
        <v>1</v>
      </c>
      <c r="R22" s="27"/>
      <c r="S22" s="27"/>
      <c r="T22" s="27">
        <v>1</v>
      </c>
      <c r="U22" s="27"/>
      <c r="V22" s="27"/>
      <c r="W22" s="27"/>
      <c r="X22" s="27"/>
      <c r="Y22" s="27"/>
      <c r="Z22" s="27" t="s">
        <v>1448</v>
      </c>
      <c r="AA22" s="29">
        <v>2</v>
      </c>
      <c r="AB22" s="30">
        <f>AA22/0.0046</f>
        <v>434.78260869565219</v>
      </c>
      <c r="AC22" s="50">
        <f>AB22*0.089*24*365/10^6</f>
        <v>0.33897391304347829</v>
      </c>
      <c r="AD22" s="30"/>
      <c r="AE22" s="30">
        <f>AB22</f>
        <v>434.78260869565219</v>
      </c>
      <c r="AF22" s="28" t="s">
        <v>1451</v>
      </c>
      <c r="AG22" s="28"/>
    </row>
    <row r="23" spans="1:33" ht="32.25" customHeight="1" x14ac:dyDescent="0.2">
      <c r="A23" s="27">
        <v>19</v>
      </c>
      <c r="B23" s="27" t="s">
        <v>1452</v>
      </c>
      <c r="C23" s="27" t="s">
        <v>804</v>
      </c>
      <c r="D23" s="27">
        <v>2020</v>
      </c>
      <c r="E23" s="27"/>
      <c r="F23" s="27" t="s">
        <v>836</v>
      </c>
      <c r="G23" s="27" t="s">
        <v>266</v>
      </c>
      <c r="H23" s="27"/>
      <c r="I23" s="27" t="s">
        <v>768</v>
      </c>
      <c r="J23" s="27" t="s">
        <v>864</v>
      </c>
      <c r="K23" s="27" t="s">
        <v>377</v>
      </c>
      <c r="L23" s="27"/>
      <c r="M23" s="27"/>
      <c r="N23" s="27"/>
      <c r="O23" s="27"/>
      <c r="P23" s="27"/>
      <c r="Q23" s="27">
        <v>1</v>
      </c>
      <c r="R23" s="27"/>
      <c r="S23" s="27"/>
      <c r="T23" s="27"/>
      <c r="U23" s="27"/>
      <c r="V23" s="27"/>
      <c r="W23" s="27"/>
      <c r="X23" s="27"/>
      <c r="Y23" s="27"/>
      <c r="Z23" s="27" t="s">
        <v>1453</v>
      </c>
      <c r="AA23" s="29">
        <v>1.3</v>
      </c>
      <c r="AB23" s="30">
        <f>AA23/0.0052</f>
        <v>250.00000000000003</v>
      </c>
      <c r="AC23" s="50">
        <f>AB23*0.089*24*365/10^6</f>
        <v>0.19491</v>
      </c>
      <c r="AD23" s="30"/>
      <c r="AE23" s="30">
        <f>AB23</f>
        <v>250.00000000000003</v>
      </c>
      <c r="AF23" s="28" t="s">
        <v>1454</v>
      </c>
      <c r="AG23" s="28"/>
    </row>
    <row r="24" spans="1:33" ht="32.25" customHeight="1" x14ac:dyDescent="0.2">
      <c r="A24" s="27">
        <v>20</v>
      </c>
      <c r="B24" s="27" t="s">
        <v>1455</v>
      </c>
      <c r="C24" s="27" t="s">
        <v>804</v>
      </c>
      <c r="D24" s="27">
        <v>2020</v>
      </c>
      <c r="E24" s="27"/>
      <c r="F24" s="27" t="s">
        <v>836</v>
      </c>
      <c r="G24" s="27" t="s">
        <v>266</v>
      </c>
      <c r="H24" s="27"/>
      <c r="I24" s="27" t="s">
        <v>768</v>
      </c>
      <c r="J24" s="27" t="s">
        <v>862</v>
      </c>
      <c r="K24" s="27" t="s">
        <v>377</v>
      </c>
      <c r="L24" s="27"/>
      <c r="M24" s="27"/>
      <c r="N24" s="27"/>
      <c r="O24" s="27"/>
      <c r="P24" s="27"/>
      <c r="Q24" s="27">
        <v>1</v>
      </c>
      <c r="R24" s="27"/>
      <c r="S24" s="27"/>
      <c r="T24" s="27"/>
      <c r="U24" s="27"/>
      <c r="V24" s="27"/>
      <c r="W24" s="27"/>
      <c r="X24" s="27"/>
      <c r="Y24" s="27"/>
      <c r="Z24" s="27" t="s">
        <v>1456</v>
      </c>
      <c r="AA24" s="29">
        <v>1.125</v>
      </c>
      <c r="AB24" s="30">
        <f>AA24/0.0052</f>
        <v>216.34615384615387</v>
      </c>
      <c r="AC24" s="50">
        <f>AB24*0.089*24*365/10^6</f>
        <v>0.16867211538461541</v>
      </c>
      <c r="AD24" s="30"/>
      <c r="AE24" s="30">
        <f>AB24</f>
        <v>216.34615384615387</v>
      </c>
      <c r="AF24" s="28" t="s">
        <v>1457</v>
      </c>
      <c r="AG24" s="28"/>
    </row>
    <row r="25" spans="1:33" ht="32.25" customHeight="1" x14ac:dyDescent="0.2">
      <c r="A25" s="27">
        <v>22</v>
      </c>
      <c r="B25" s="27" t="s">
        <v>1458</v>
      </c>
      <c r="C25" s="27" t="s">
        <v>343</v>
      </c>
      <c r="D25" s="27">
        <v>2020</v>
      </c>
      <c r="E25" s="27"/>
      <c r="F25" s="27" t="s">
        <v>836</v>
      </c>
      <c r="G25" s="27" t="s">
        <v>266</v>
      </c>
      <c r="H25" s="27"/>
      <c r="I25" s="27" t="s">
        <v>768</v>
      </c>
      <c r="J25" s="27" t="s">
        <v>862</v>
      </c>
      <c r="K25" s="27" t="s">
        <v>377</v>
      </c>
      <c r="L25" s="27"/>
      <c r="M25" s="27"/>
      <c r="N25" s="27"/>
      <c r="O25" s="27"/>
      <c r="P25" s="27"/>
      <c r="Q25" s="27">
        <v>1</v>
      </c>
      <c r="R25" s="27">
        <v>1</v>
      </c>
      <c r="S25" s="27">
        <v>1</v>
      </c>
      <c r="T25" s="27"/>
      <c r="U25" s="27"/>
      <c r="V25" s="27"/>
      <c r="W25" s="27"/>
      <c r="X25" s="27"/>
      <c r="Y25" s="27"/>
      <c r="Z25" s="27" t="s">
        <v>1459</v>
      </c>
      <c r="AA25" s="29">
        <v>1</v>
      </c>
      <c r="AB25" s="30">
        <f>AA25/0.0052</f>
        <v>192.30769230769232</v>
      </c>
      <c r="AC25" s="50">
        <f>AB25*0.089*24*365/10^6</f>
        <v>0.14993076923076926</v>
      </c>
      <c r="AD25" s="30"/>
      <c r="AE25" s="30">
        <f>AB25</f>
        <v>192.30769230769232</v>
      </c>
      <c r="AF25" s="28" t="s">
        <v>1460</v>
      </c>
      <c r="AG25" s="28"/>
    </row>
    <row r="26" spans="1:33" ht="32.25" customHeight="1" x14ac:dyDescent="0.2">
      <c r="A26" s="27">
        <v>23</v>
      </c>
      <c r="B26" s="27" t="s">
        <v>1461</v>
      </c>
      <c r="C26" s="52" t="s">
        <v>804</v>
      </c>
      <c r="D26" s="27">
        <v>2020</v>
      </c>
      <c r="E26" s="27"/>
      <c r="F26" s="27" t="s">
        <v>836</v>
      </c>
      <c r="G26" s="27" t="s">
        <v>268</v>
      </c>
      <c r="H26" s="27"/>
      <c r="I26" s="27" t="s">
        <v>768</v>
      </c>
      <c r="J26" s="27" t="s">
        <v>864</v>
      </c>
      <c r="K26" s="27" t="s">
        <v>377</v>
      </c>
      <c r="L26" s="27"/>
      <c r="M26" s="27"/>
      <c r="N26" s="27"/>
      <c r="O26" s="27"/>
      <c r="P26" s="27"/>
      <c r="Q26" s="27"/>
      <c r="R26" s="27">
        <v>1</v>
      </c>
      <c r="S26" s="27"/>
      <c r="T26" s="27"/>
      <c r="U26" s="27"/>
      <c r="V26" s="27"/>
      <c r="W26" s="27"/>
      <c r="X26" s="27"/>
      <c r="Y26" s="27"/>
      <c r="Z26" s="27" t="s">
        <v>1459</v>
      </c>
      <c r="AA26" s="29">
        <v>1</v>
      </c>
      <c r="AB26" s="30">
        <f>AA26/0.0046</f>
        <v>217.39130434782609</v>
      </c>
      <c r="AC26" s="50">
        <f>AB26*0.089*24*365/10^6</f>
        <v>0.16948695652173915</v>
      </c>
      <c r="AD26" s="30"/>
      <c r="AE26" s="30">
        <f>AB26</f>
        <v>217.39130434782609</v>
      </c>
      <c r="AF26" s="28" t="s">
        <v>1462</v>
      </c>
      <c r="AG26" s="28"/>
    </row>
    <row r="27" spans="1:33" ht="32.25" customHeight="1" x14ac:dyDescent="0.2">
      <c r="A27" s="27">
        <v>24</v>
      </c>
      <c r="B27" s="27" t="s">
        <v>1463</v>
      </c>
      <c r="C27" s="27" t="s">
        <v>804</v>
      </c>
      <c r="D27" s="27">
        <v>2020</v>
      </c>
      <c r="E27" s="27"/>
      <c r="F27" s="27" t="s">
        <v>836</v>
      </c>
      <c r="G27" s="27" t="s">
        <v>267</v>
      </c>
      <c r="H27" s="27"/>
      <c r="I27" s="27" t="s">
        <v>866</v>
      </c>
      <c r="J27" s="27"/>
      <c r="K27" s="27" t="s">
        <v>377</v>
      </c>
      <c r="L27" s="27"/>
      <c r="M27" s="27"/>
      <c r="N27" s="27"/>
      <c r="O27" s="27">
        <v>1</v>
      </c>
      <c r="P27" s="27"/>
      <c r="Q27" s="27"/>
      <c r="R27" s="27"/>
      <c r="S27" s="27"/>
      <c r="T27" s="27"/>
      <c r="U27" s="27"/>
      <c r="V27" s="27"/>
      <c r="W27" s="27"/>
      <c r="X27" s="27"/>
      <c r="Y27" s="27"/>
      <c r="Z27" s="27" t="s">
        <v>1464</v>
      </c>
      <c r="AA27" s="29">
        <v>0.72</v>
      </c>
      <c r="AB27" s="30">
        <v>200</v>
      </c>
      <c r="AC27" s="50">
        <f>AB27*0.089*24*365/10^6</f>
        <v>0.15592800000000004</v>
      </c>
      <c r="AD27" s="30"/>
      <c r="AE27" s="30">
        <f>AB27</f>
        <v>200</v>
      </c>
      <c r="AF27" s="28" t="s">
        <v>1465</v>
      </c>
      <c r="AG27" s="28"/>
    </row>
    <row r="28" spans="1:33" ht="32.25" customHeight="1" x14ac:dyDescent="0.2">
      <c r="A28" s="27">
        <v>25</v>
      </c>
      <c r="B28" s="27" t="s">
        <v>1466</v>
      </c>
      <c r="C28" s="27" t="s">
        <v>346</v>
      </c>
      <c r="D28" s="27">
        <v>2020</v>
      </c>
      <c r="E28" s="27"/>
      <c r="F28" s="27" t="s">
        <v>836</v>
      </c>
      <c r="G28" s="27" t="s">
        <v>758</v>
      </c>
      <c r="H28" s="27" t="s">
        <v>1406</v>
      </c>
      <c r="I28" s="27" t="s">
        <v>866</v>
      </c>
      <c r="J28" s="27"/>
      <c r="K28" s="27" t="s">
        <v>739</v>
      </c>
      <c r="L28" s="27"/>
      <c r="M28" s="27"/>
      <c r="N28" s="27">
        <v>1</v>
      </c>
      <c r="O28" s="27"/>
      <c r="P28" s="27"/>
      <c r="Q28" s="27"/>
      <c r="R28" s="27"/>
      <c r="S28" s="27"/>
      <c r="T28" s="27"/>
      <c r="U28" s="27"/>
      <c r="V28" s="27"/>
      <c r="W28" s="27"/>
      <c r="X28" s="27"/>
      <c r="Y28" s="27"/>
      <c r="Z28" s="27" t="s">
        <v>1467</v>
      </c>
      <c r="AA28" s="29">
        <v>0.25</v>
      </c>
      <c r="AB28" s="30">
        <v>50</v>
      </c>
      <c r="AC28" s="50">
        <f>AB28*0.089*24*365/10^6</f>
        <v>3.898200000000001E-2</v>
      </c>
      <c r="AD28" s="30"/>
      <c r="AE28" s="30">
        <f>AB28</f>
        <v>50</v>
      </c>
      <c r="AF28" s="28" t="s">
        <v>1468</v>
      </c>
      <c r="AG28" s="28"/>
    </row>
    <row r="29" spans="1:33" ht="32.25" customHeight="1" x14ac:dyDescent="0.2">
      <c r="A29" s="27">
        <v>26</v>
      </c>
      <c r="B29" s="27" t="s">
        <v>1469</v>
      </c>
      <c r="C29" s="27" t="s">
        <v>332</v>
      </c>
      <c r="D29" s="27">
        <v>2020</v>
      </c>
      <c r="E29" s="27"/>
      <c r="F29" s="27" t="s">
        <v>836</v>
      </c>
      <c r="G29" s="27" t="s">
        <v>266</v>
      </c>
      <c r="H29" s="27"/>
      <c r="I29" s="27" t="s">
        <v>768</v>
      </c>
      <c r="J29" s="27" t="s">
        <v>865</v>
      </c>
      <c r="K29" s="27" t="s">
        <v>377</v>
      </c>
      <c r="L29" s="27"/>
      <c r="M29" s="27"/>
      <c r="N29" s="27"/>
      <c r="O29" s="27"/>
      <c r="P29" s="27"/>
      <c r="Q29" s="27"/>
      <c r="R29" s="27">
        <v>1</v>
      </c>
      <c r="S29" s="27"/>
      <c r="T29" s="27"/>
      <c r="U29" s="27"/>
      <c r="V29" s="27"/>
      <c r="W29" s="27"/>
      <c r="X29" s="27"/>
      <c r="Y29" s="27"/>
      <c r="Z29" s="27" t="s">
        <v>1470</v>
      </c>
      <c r="AA29" s="29">
        <v>0.05</v>
      </c>
      <c r="AB29" s="30">
        <f>AA29/0.0052</f>
        <v>9.6153846153846168</v>
      </c>
      <c r="AC29" s="50">
        <f>AB29*0.089*24*365/10^6</f>
        <v>7.4965384615384616E-3</v>
      </c>
      <c r="AD29" s="30"/>
      <c r="AE29" s="30">
        <f>AB29</f>
        <v>9.6153846153846168</v>
      </c>
      <c r="AF29" s="28" t="s">
        <v>1471</v>
      </c>
      <c r="AG29" s="28"/>
    </row>
    <row r="30" spans="1:33" ht="32.25" customHeight="1" x14ac:dyDescent="0.2">
      <c r="A30" s="27">
        <v>27</v>
      </c>
      <c r="B30" s="27" t="s">
        <v>1472</v>
      </c>
      <c r="C30" s="27" t="s">
        <v>339</v>
      </c>
      <c r="D30" s="27">
        <v>2020</v>
      </c>
      <c r="E30" s="27"/>
      <c r="F30" s="27" t="s">
        <v>836</v>
      </c>
      <c r="G30" s="27" t="s">
        <v>266</v>
      </c>
      <c r="H30" s="27"/>
      <c r="I30" s="27" t="s">
        <v>765</v>
      </c>
      <c r="J30" s="27"/>
      <c r="K30" s="27" t="s">
        <v>377</v>
      </c>
      <c r="L30" s="27"/>
      <c r="M30" s="27"/>
      <c r="N30" s="27"/>
      <c r="O30" s="27"/>
      <c r="P30" s="27"/>
      <c r="Q30" s="27"/>
      <c r="R30" s="27">
        <v>1</v>
      </c>
      <c r="S30" s="27"/>
      <c r="T30" s="27"/>
      <c r="U30" s="27"/>
      <c r="V30" s="27"/>
      <c r="W30" s="27"/>
      <c r="X30" s="27"/>
      <c r="Y30" s="27"/>
      <c r="Z30" s="27" t="s">
        <v>1473</v>
      </c>
      <c r="AA30" s="29">
        <f>AB30*0.0052</f>
        <v>5.1999999999999998E-3</v>
      </c>
      <c r="AB30" s="30">
        <v>1</v>
      </c>
      <c r="AC30" s="50">
        <f>AB30*0.089*24*365/10^6</f>
        <v>7.7964000000000006E-4</v>
      </c>
      <c r="AD30" s="30"/>
      <c r="AE30" s="30">
        <f>AB30</f>
        <v>1</v>
      </c>
      <c r="AF30" s="28" t="s">
        <v>1474</v>
      </c>
      <c r="AG30" s="28"/>
    </row>
    <row r="31" spans="1:33" ht="32.25" customHeight="1" x14ac:dyDescent="0.2">
      <c r="A31" s="27">
        <v>28</v>
      </c>
      <c r="B31" s="27" t="s">
        <v>1475</v>
      </c>
      <c r="C31" s="27" t="s">
        <v>339</v>
      </c>
      <c r="D31" s="27">
        <v>2020</v>
      </c>
      <c r="E31" s="27"/>
      <c r="F31" s="27" t="s">
        <v>836</v>
      </c>
      <c r="G31" s="27" t="s">
        <v>266</v>
      </c>
      <c r="H31" s="27"/>
      <c r="I31" s="27" t="s">
        <v>765</v>
      </c>
      <c r="J31" s="27"/>
      <c r="K31" s="27" t="s">
        <v>377</v>
      </c>
      <c r="L31" s="27"/>
      <c r="M31" s="27"/>
      <c r="N31" s="27"/>
      <c r="O31" s="27"/>
      <c r="P31" s="27"/>
      <c r="Q31" s="27"/>
      <c r="R31" s="27">
        <v>1</v>
      </c>
      <c r="S31" s="27"/>
      <c r="T31" s="27"/>
      <c r="U31" s="27"/>
      <c r="V31" s="27"/>
      <c r="W31" s="27"/>
      <c r="X31" s="27"/>
      <c r="Y31" s="27"/>
      <c r="Z31" s="27" t="s">
        <v>1473</v>
      </c>
      <c r="AA31" s="29">
        <f>AB31*0.0052</f>
        <v>5.1999999999999998E-3</v>
      </c>
      <c r="AB31" s="30">
        <v>1</v>
      </c>
      <c r="AC31" s="50">
        <f>AB31*0.089*24*365/10^6</f>
        <v>7.7964000000000006E-4</v>
      </c>
      <c r="AD31" s="30"/>
      <c r="AE31" s="30">
        <f>AB31</f>
        <v>1</v>
      </c>
      <c r="AF31" s="28" t="s">
        <v>1476</v>
      </c>
      <c r="AG31" s="28"/>
    </row>
    <row r="32" spans="1:33" ht="32.25" customHeight="1" x14ac:dyDescent="0.2">
      <c r="A32" s="27">
        <v>29</v>
      </c>
      <c r="B32" s="27" t="s">
        <v>1477</v>
      </c>
      <c r="C32" s="27" t="s">
        <v>339</v>
      </c>
      <c r="D32" s="27">
        <v>2020</v>
      </c>
      <c r="E32" s="27"/>
      <c r="F32" s="27" t="s">
        <v>836</v>
      </c>
      <c r="G32" s="27" t="s">
        <v>266</v>
      </c>
      <c r="H32" s="27"/>
      <c r="I32" s="27" t="s">
        <v>765</v>
      </c>
      <c r="J32" s="27"/>
      <c r="K32" s="27" t="s">
        <v>377</v>
      </c>
      <c r="L32" s="27"/>
      <c r="M32" s="27"/>
      <c r="N32" s="27"/>
      <c r="O32" s="27"/>
      <c r="P32" s="27"/>
      <c r="Q32" s="27">
        <v>1</v>
      </c>
      <c r="R32" s="27"/>
      <c r="S32" s="27"/>
      <c r="T32" s="27"/>
      <c r="U32" s="27"/>
      <c r="V32" s="27"/>
      <c r="W32" s="27"/>
      <c r="X32" s="27"/>
      <c r="Y32" s="27"/>
      <c r="Z32" s="27" t="s">
        <v>1473</v>
      </c>
      <c r="AA32" s="29">
        <f>AB32*0.0052</f>
        <v>5.1999999999999998E-3</v>
      </c>
      <c r="AB32" s="30">
        <v>1</v>
      </c>
      <c r="AC32" s="50">
        <f>AB32*0.089*24*365/10^6</f>
        <v>7.7964000000000006E-4</v>
      </c>
      <c r="AD32" s="30"/>
      <c r="AE32" s="30">
        <f>AB32</f>
        <v>1</v>
      </c>
      <c r="AF32" s="28" t="s">
        <v>1478</v>
      </c>
      <c r="AG32" s="28"/>
    </row>
    <row r="33" spans="1:33" ht="32.25" customHeight="1" x14ac:dyDescent="0.2">
      <c r="A33" s="27">
        <v>30</v>
      </c>
      <c r="B33" s="27" t="s">
        <v>1479</v>
      </c>
      <c r="C33" s="27" t="s">
        <v>341</v>
      </c>
      <c r="D33" s="27">
        <v>2019</v>
      </c>
      <c r="E33" s="27"/>
      <c r="F33" s="27" t="s">
        <v>836</v>
      </c>
      <c r="G33" s="27" t="s">
        <v>266</v>
      </c>
      <c r="H33" s="27"/>
      <c r="I33" s="27" t="s">
        <v>866</v>
      </c>
      <c r="J33" s="27"/>
      <c r="K33" s="27" t="s">
        <v>377</v>
      </c>
      <c r="L33" s="27"/>
      <c r="M33" s="27"/>
      <c r="N33" s="27"/>
      <c r="O33" s="27">
        <v>1</v>
      </c>
      <c r="P33" s="27"/>
      <c r="Q33" s="27"/>
      <c r="R33" s="27"/>
      <c r="S33" s="27"/>
      <c r="T33" s="27"/>
      <c r="U33" s="27"/>
      <c r="V33" s="27"/>
      <c r="W33" s="27"/>
      <c r="X33" s="27"/>
      <c r="Y33" s="27"/>
      <c r="Z33" s="27" t="s">
        <v>1480</v>
      </c>
      <c r="AA33" s="29">
        <v>6</v>
      </c>
      <c r="AB33" s="30">
        <f>AA33/0.0052</f>
        <v>1153.8461538461538</v>
      </c>
      <c r="AC33" s="50">
        <f>AB33*0.089*24*365/10^6</f>
        <v>0.8995846153846152</v>
      </c>
      <c r="AD33" s="30"/>
      <c r="AE33" s="30">
        <f>AB33</f>
        <v>1153.8461538461538</v>
      </c>
      <c r="AF33" s="28" t="s">
        <v>1481</v>
      </c>
      <c r="AG33" s="28"/>
    </row>
    <row r="34" spans="1:33" ht="32.25" customHeight="1" x14ac:dyDescent="0.2">
      <c r="A34" s="27">
        <v>31</v>
      </c>
      <c r="B34" s="27" t="s">
        <v>1482</v>
      </c>
      <c r="C34" s="27" t="s">
        <v>338</v>
      </c>
      <c r="D34" s="27">
        <v>2019</v>
      </c>
      <c r="E34" s="27"/>
      <c r="F34" s="27" t="s">
        <v>836</v>
      </c>
      <c r="G34" s="27" t="s">
        <v>266</v>
      </c>
      <c r="H34" s="27"/>
      <c r="I34" s="27" t="s">
        <v>768</v>
      </c>
      <c r="J34" s="27" t="s">
        <v>378</v>
      </c>
      <c r="K34" s="27" t="s">
        <v>377</v>
      </c>
      <c r="L34" s="27"/>
      <c r="M34" s="27"/>
      <c r="N34" s="27"/>
      <c r="O34" s="27"/>
      <c r="P34" s="27"/>
      <c r="Q34" s="27">
        <v>1</v>
      </c>
      <c r="R34" s="27"/>
      <c r="S34" s="27"/>
      <c r="T34" s="27"/>
      <c r="U34" s="27"/>
      <c r="V34" s="27"/>
      <c r="W34" s="27"/>
      <c r="X34" s="27"/>
      <c r="Y34" s="27"/>
      <c r="Z34" s="27" t="s">
        <v>1483</v>
      </c>
      <c r="AA34" s="29">
        <v>4</v>
      </c>
      <c r="AB34" s="30">
        <f>AA34/0.0052</f>
        <v>769.23076923076928</v>
      </c>
      <c r="AC34" s="50">
        <f>AB34*0.089*24*365/10^6</f>
        <v>0.59972307692307703</v>
      </c>
      <c r="AD34" s="30"/>
      <c r="AE34" s="30">
        <f>AB34</f>
        <v>769.23076923076928</v>
      </c>
      <c r="AF34" s="28" t="s">
        <v>1484</v>
      </c>
      <c r="AG34" s="28"/>
    </row>
    <row r="35" spans="1:33" ht="32.25" customHeight="1" x14ac:dyDescent="0.2">
      <c r="A35" s="27">
        <v>33</v>
      </c>
      <c r="B35" s="27" t="s">
        <v>1485</v>
      </c>
      <c r="C35" s="27" t="s">
        <v>334</v>
      </c>
      <c r="D35" s="27">
        <v>2019</v>
      </c>
      <c r="E35" s="27"/>
      <c r="F35" s="27" t="s">
        <v>836</v>
      </c>
      <c r="G35" s="27" t="s">
        <v>266</v>
      </c>
      <c r="H35" s="27"/>
      <c r="I35" s="27" t="s">
        <v>866</v>
      </c>
      <c r="J35" s="27"/>
      <c r="K35" s="27" t="s">
        <v>377</v>
      </c>
      <c r="L35" s="27"/>
      <c r="M35" s="27"/>
      <c r="N35" s="27"/>
      <c r="O35" s="27"/>
      <c r="P35" s="27"/>
      <c r="Q35" s="27"/>
      <c r="R35" s="27"/>
      <c r="S35" s="27">
        <v>1</v>
      </c>
      <c r="T35" s="27"/>
      <c r="U35" s="27"/>
      <c r="V35" s="27"/>
      <c r="W35" s="27"/>
      <c r="X35" s="27"/>
      <c r="Y35" s="27"/>
      <c r="Z35" s="27" t="s">
        <v>1486</v>
      </c>
      <c r="AA35" s="29">
        <v>2.5</v>
      </c>
      <c r="AB35" s="30">
        <f>AA35/0.0052</f>
        <v>480.76923076923077</v>
      </c>
      <c r="AC35" s="50">
        <f>AB35*0.089*24*365/10^6</f>
        <v>0.37482692307692306</v>
      </c>
      <c r="AD35" s="30"/>
      <c r="AE35" s="30">
        <f>AB35</f>
        <v>480.76923076923077</v>
      </c>
      <c r="AF35" s="28" t="s">
        <v>1487</v>
      </c>
      <c r="AG35" s="28"/>
    </row>
    <row r="36" spans="1:33" ht="32.25" customHeight="1" x14ac:dyDescent="0.2">
      <c r="A36" s="27">
        <v>34</v>
      </c>
      <c r="B36" s="27" t="s">
        <v>1488</v>
      </c>
      <c r="C36" s="27" t="s">
        <v>804</v>
      </c>
      <c r="D36" s="27">
        <v>2019</v>
      </c>
      <c r="E36" s="27"/>
      <c r="F36" s="27" t="s">
        <v>836</v>
      </c>
      <c r="G36" s="27" t="s">
        <v>758</v>
      </c>
      <c r="H36" s="27" t="s">
        <v>1406</v>
      </c>
      <c r="I36" s="27" t="s">
        <v>768</v>
      </c>
      <c r="J36" s="27" t="s">
        <v>865</v>
      </c>
      <c r="K36" s="27" t="s">
        <v>396</v>
      </c>
      <c r="L36" s="27"/>
      <c r="M36" s="27"/>
      <c r="N36" s="27"/>
      <c r="O36" s="27"/>
      <c r="P36" s="27"/>
      <c r="Q36" s="27"/>
      <c r="R36" s="27"/>
      <c r="S36" s="27"/>
      <c r="T36" s="27"/>
      <c r="U36" s="27"/>
      <c r="V36" s="27"/>
      <c r="W36" s="27"/>
      <c r="X36" s="27">
        <v>1</v>
      </c>
      <c r="Y36" s="27"/>
      <c r="Z36" s="27" t="s">
        <v>1486</v>
      </c>
      <c r="AA36" s="29">
        <v>2.5</v>
      </c>
      <c r="AB36" s="30">
        <f>AA36/0.0045</f>
        <v>555.55555555555554</v>
      </c>
      <c r="AC36" s="50">
        <f>AB36*0.089*24*365/10^6</f>
        <v>0.43313333333333326</v>
      </c>
      <c r="AD36" s="30"/>
      <c r="AE36" s="30">
        <f>AB36</f>
        <v>555.55555555555554</v>
      </c>
      <c r="AF36" s="28" t="s">
        <v>1489</v>
      </c>
      <c r="AG36" s="28"/>
    </row>
    <row r="37" spans="1:33" ht="32.25" customHeight="1" x14ac:dyDescent="0.2">
      <c r="A37" s="27">
        <v>35</v>
      </c>
      <c r="B37" s="27" t="s">
        <v>1490</v>
      </c>
      <c r="C37" s="27" t="s">
        <v>349</v>
      </c>
      <c r="D37" s="27">
        <v>2019</v>
      </c>
      <c r="E37" s="27"/>
      <c r="F37" s="27" t="s">
        <v>836</v>
      </c>
      <c r="G37" s="27" t="s">
        <v>266</v>
      </c>
      <c r="H37" s="27"/>
      <c r="I37" s="27" t="s">
        <v>911</v>
      </c>
      <c r="J37" s="27"/>
      <c r="K37" s="27" t="s">
        <v>377</v>
      </c>
      <c r="L37" s="27"/>
      <c r="M37" s="27"/>
      <c r="N37" s="27"/>
      <c r="O37" s="27"/>
      <c r="P37" s="27"/>
      <c r="Q37" s="27">
        <v>1</v>
      </c>
      <c r="R37" s="27"/>
      <c r="S37" s="27"/>
      <c r="T37" s="27"/>
      <c r="U37" s="27"/>
      <c r="V37" s="27"/>
      <c r="W37" s="27"/>
      <c r="X37" s="27"/>
      <c r="Y37" s="27"/>
      <c r="Z37" s="27" t="s">
        <v>1459</v>
      </c>
      <c r="AA37" s="29">
        <v>1</v>
      </c>
      <c r="AB37" s="30">
        <f>AA37/0.0052</f>
        <v>192.30769230769232</v>
      </c>
      <c r="AC37" s="50">
        <f>AB37*0.089*24*365/10^6</f>
        <v>0.14993076923076926</v>
      </c>
      <c r="AD37" s="30"/>
      <c r="AE37" s="30">
        <f>AB37</f>
        <v>192.30769230769232</v>
      </c>
      <c r="AF37" s="28" t="s">
        <v>1491</v>
      </c>
      <c r="AG37" s="28"/>
    </row>
    <row r="38" spans="1:33" ht="32.25" customHeight="1" x14ac:dyDescent="0.2">
      <c r="A38" s="27">
        <v>36</v>
      </c>
      <c r="B38" s="27" t="s">
        <v>1492</v>
      </c>
      <c r="C38" s="27" t="s">
        <v>804</v>
      </c>
      <c r="D38" s="27">
        <v>2019</v>
      </c>
      <c r="E38" s="27"/>
      <c r="F38" s="27" t="s">
        <v>836</v>
      </c>
      <c r="G38" s="27" t="s">
        <v>266</v>
      </c>
      <c r="H38" s="27"/>
      <c r="I38" s="27" t="s">
        <v>866</v>
      </c>
      <c r="J38" s="27"/>
      <c r="K38" s="27" t="s">
        <v>739</v>
      </c>
      <c r="L38" s="27"/>
      <c r="M38" s="27"/>
      <c r="N38" s="27">
        <v>1</v>
      </c>
      <c r="O38" s="27"/>
      <c r="P38" s="27"/>
      <c r="Q38" s="27"/>
      <c r="R38" s="27"/>
      <c r="S38" s="27"/>
      <c r="T38" s="27"/>
      <c r="U38" s="27"/>
      <c r="V38" s="27"/>
      <c r="W38" s="27"/>
      <c r="X38" s="27"/>
      <c r="Y38" s="27"/>
      <c r="Z38" s="27" t="s">
        <v>1493</v>
      </c>
      <c r="AA38" s="29">
        <v>1</v>
      </c>
      <c r="AB38" s="30">
        <v>200</v>
      </c>
      <c r="AC38" s="50">
        <f>AB38*0.089*24*365/10^6</f>
        <v>0.15592800000000004</v>
      </c>
      <c r="AD38" s="30"/>
      <c r="AE38" s="30">
        <f>AB38</f>
        <v>200</v>
      </c>
      <c r="AF38" s="28" t="s">
        <v>1494</v>
      </c>
      <c r="AG38" s="28"/>
    </row>
    <row r="39" spans="1:33" ht="32.25" customHeight="1" x14ac:dyDescent="0.2">
      <c r="A39" s="27">
        <v>37</v>
      </c>
      <c r="B39" s="27" t="s">
        <v>1495</v>
      </c>
      <c r="C39" s="27" t="s">
        <v>804</v>
      </c>
      <c r="D39" s="27">
        <v>2021</v>
      </c>
      <c r="E39" s="27"/>
      <c r="F39" s="27" t="s">
        <v>836</v>
      </c>
      <c r="G39" s="27" t="s">
        <v>266</v>
      </c>
      <c r="H39" s="27"/>
      <c r="I39" s="27" t="s">
        <v>768</v>
      </c>
      <c r="J39" s="27" t="s">
        <v>862</v>
      </c>
      <c r="K39" s="27" t="s">
        <v>377</v>
      </c>
      <c r="L39" s="27"/>
      <c r="M39" s="27"/>
      <c r="N39" s="27"/>
      <c r="O39" s="27"/>
      <c r="P39" s="27"/>
      <c r="Q39" s="27"/>
      <c r="R39" s="27">
        <v>1</v>
      </c>
      <c r="S39" s="27"/>
      <c r="T39" s="27"/>
      <c r="U39" s="27"/>
      <c r="V39" s="27"/>
      <c r="W39" s="27"/>
      <c r="X39" s="27"/>
      <c r="Y39" s="27"/>
      <c r="Z39" s="27" t="s">
        <v>1459</v>
      </c>
      <c r="AA39" s="29">
        <v>1</v>
      </c>
      <c r="AB39" s="30">
        <f>AA39/0.0052</f>
        <v>192.30769230769232</v>
      </c>
      <c r="AC39" s="50">
        <f>AB39*0.089*24*365/10^6</f>
        <v>0.14993076923076926</v>
      </c>
      <c r="AD39" s="30"/>
      <c r="AE39" s="30">
        <f>AB39</f>
        <v>192.30769230769232</v>
      </c>
      <c r="AF39" s="28" t="s">
        <v>1496</v>
      </c>
      <c r="AG39" s="28"/>
    </row>
    <row r="40" spans="1:33" ht="32.25" customHeight="1" x14ac:dyDescent="0.2">
      <c r="A40" s="27">
        <v>38</v>
      </c>
      <c r="B40" s="27" t="s">
        <v>1497</v>
      </c>
      <c r="C40" s="27" t="s">
        <v>357</v>
      </c>
      <c r="D40" s="27">
        <v>2019</v>
      </c>
      <c r="E40" s="27"/>
      <c r="F40" s="27" t="s">
        <v>836</v>
      </c>
      <c r="G40" s="27" t="s">
        <v>268</v>
      </c>
      <c r="H40" s="27"/>
      <c r="I40" s="27" t="s">
        <v>911</v>
      </c>
      <c r="J40" s="27"/>
      <c r="K40" s="27" t="s">
        <v>377</v>
      </c>
      <c r="L40" s="27"/>
      <c r="M40" s="27"/>
      <c r="N40" s="27"/>
      <c r="O40" s="27"/>
      <c r="P40" s="27"/>
      <c r="Q40" s="27">
        <v>1</v>
      </c>
      <c r="R40" s="27"/>
      <c r="S40" s="27"/>
      <c r="T40" s="27"/>
      <c r="U40" s="27"/>
      <c r="V40" s="27"/>
      <c r="W40" s="27"/>
      <c r="X40" s="27"/>
      <c r="Y40" s="27"/>
      <c r="Z40" s="27" t="s">
        <v>1498</v>
      </c>
      <c r="AA40" s="29">
        <v>1</v>
      </c>
      <c r="AB40" s="30">
        <v>200</v>
      </c>
      <c r="AC40" s="50">
        <f>AB40*0.089*24*365/10^6</f>
        <v>0.15592800000000004</v>
      </c>
      <c r="AD40" s="30"/>
      <c r="AE40" s="30">
        <f>AB40</f>
        <v>200</v>
      </c>
      <c r="AF40" s="28"/>
      <c r="AG40" s="28"/>
    </row>
    <row r="41" spans="1:33" ht="32.25" customHeight="1" x14ac:dyDescent="0.2">
      <c r="A41" s="27">
        <v>39</v>
      </c>
      <c r="B41" s="27" t="s">
        <v>1499</v>
      </c>
      <c r="C41" s="27" t="s">
        <v>357</v>
      </c>
      <c r="D41" s="27">
        <v>2019</v>
      </c>
      <c r="E41" s="27"/>
      <c r="F41" s="27" t="s">
        <v>836</v>
      </c>
      <c r="G41" s="27" t="s">
        <v>266</v>
      </c>
      <c r="H41" s="27"/>
      <c r="I41" s="27" t="s">
        <v>911</v>
      </c>
      <c r="J41" s="27"/>
      <c r="K41" s="27" t="s">
        <v>377</v>
      </c>
      <c r="L41" s="27"/>
      <c r="M41" s="27"/>
      <c r="N41" s="27"/>
      <c r="O41" s="27"/>
      <c r="P41" s="27"/>
      <c r="Q41" s="27">
        <v>1</v>
      </c>
      <c r="R41" s="27"/>
      <c r="S41" s="27"/>
      <c r="T41" s="27"/>
      <c r="U41" s="27"/>
      <c r="V41" s="27"/>
      <c r="W41" s="27"/>
      <c r="X41" s="27"/>
      <c r="Y41" s="27"/>
      <c r="Z41" s="27" t="s">
        <v>1500</v>
      </c>
      <c r="AA41" s="29">
        <f>AB41*0.0052</f>
        <v>0.96199999999999997</v>
      </c>
      <c r="AB41" s="30">
        <v>185</v>
      </c>
      <c r="AC41" s="50">
        <f>AB41*0.089*24*365/10^6</f>
        <v>0.14423339999999998</v>
      </c>
      <c r="AD41" s="30"/>
      <c r="AE41" s="30">
        <f>AB41</f>
        <v>185</v>
      </c>
      <c r="AF41" s="28" t="s">
        <v>1501</v>
      </c>
      <c r="AG41" s="28"/>
    </row>
    <row r="42" spans="1:33" ht="32.25" customHeight="1" x14ac:dyDescent="0.2">
      <c r="A42" s="27">
        <v>40</v>
      </c>
      <c r="B42" s="27" t="s">
        <v>2867</v>
      </c>
      <c r="C42" s="27" t="s">
        <v>357</v>
      </c>
      <c r="D42" s="27">
        <v>2019</v>
      </c>
      <c r="E42" s="27"/>
      <c r="F42" s="27" t="s">
        <v>836</v>
      </c>
      <c r="G42" s="27" t="s">
        <v>266</v>
      </c>
      <c r="H42" s="27"/>
      <c r="I42" s="27" t="s">
        <v>911</v>
      </c>
      <c r="J42" s="27"/>
      <c r="K42" s="27" t="s">
        <v>377</v>
      </c>
      <c r="L42" s="27"/>
      <c r="M42" s="27"/>
      <c r="N42" s="27"/>
      <c r="O42" s="27"/>
      <c r="P42" s="27"/>
      <c r="Q42" s="27">
        <v>1</v>
      </c>
      <c r="R42" s="27"/>
      <c r="S42" s="27"/>
      <c r="T42" s="27"/>
      <c r="U42" s="27"/>
      <c r="V42" s="27"/>
      <c r="W42" s="27"/>
      <c r="X42" s="27"/>
      <c r="Y42" s="27"/>
      <c r="Z42" s="27" t="s">
        <v>1502</v>
      </c>
      <c r="AA42" s="29">
        <f>AB42*0.0052</f>
        <v>0.72799999999999998</v>
      </c>
      <c r="AB42" s="30">
        <v>140</v>
      </c>
      <c r="AC42" s="50">
        <f>AB42*0.089*24*365/10^6</f>
        <v>0.10914959999999999</v>
      </c>
      <c r="AD42" s="30"/>
      <c r="AE42" s="30">
        <f>AB42</f>
        <v>140</v>
      </c>
      <c r="AF42" s="28" t="s">
        <v>1501</v>
      </c>
      <c r="AG42" s="28"/>
    </row>
    <row r="43" spans="1:33" ht="32.25" customHeight="1" x14ac:dyDescent="0.2">
      <c r="A43" s="27">
        <v>41</v>
      </c>
      <c r="B43" s="27" t="s">
        <v>1503</v>
      </c>
      <c r="C43" s="27" t="s">
        <v>331</v>
      </c>
      <c r="D43" s="27">
        <v>2019</v>
      </c>
      <c r="E43" s="27"/>
      <c r="F43" s="27" t="s">
        <v>836</v>
      </c>
      <c r="G43" s="27" t="s">
        <v>268</v>
      </c>
      <c r="H43" s="27"/>
      <c r="I43" s="27" t="s">
        <v>765</v>
      </c>
      <c r="J43" s="27"/>
      <c r="K43" s="27" t="s">
        <v>377</v>
      </c>
      <c r="L43" s="27"/>
      <c r="M43" s="27"/>
      <c r="N43" s="27"/>
      <c r="O43" s="27"/>
      <c r="P43" s="27"/>
      <c r="Q43" s="27">
        <v>1</v>
      </c>
      <c r="R43" s="27"/>
      <c r="S43" s="27"/>
      <c r="T43" s="27"/>
      <c r="U43" s="27"/>
      <c r="V43" s="27"/>
      <c r="W43" s="27"/>
      <c r="X43" s="27"/>
      <c r="Y43" s="27"/>
      <c r="Z43" s="27" t="s">
        <v>1504</v>
      </c>
      <c r="AA43" s="29">
        <v>0.5</v>
      </c>
      <c r="AB43" s="30">
        <f>AA43/0.0046</f>
        <v>108.69565217391305</v>
      </c>
      <c r="AC43" s="50">
        <f>AB43*0.089*24*365/10^6</f>
        <v>8.4743478260869573E-2</v>
      </c>
      <c r="AD43" s="30"/>
      <c r="AE43" s="30">
        <f>AB43</f>
        <v>108.69565217391305</v>
      </c>
      <c r="AF43" s="28"/>
      <c r="AG43" s="28"/>
    </row>
    <row r="44" spans="1:33" ht="32.25" customHeight="1" x14ac:dyDescent="0.2">
      <c r="A44" s="27">
        <v>42</v>
      </c>
      <c r="B44" s="27" t="s">
        <v>1505</v>
      </c>
      <c r="C44" s="27" t="s">
        <v>343</v>
      </c>
      <c r="D44" s="27">
        <v>2019</v>
      </c>
      <c r="E44" s="27"/>
      <c r="F44" s="27" t="s">
        <v>836</v>
      </c>
      <c r="G44" s="27" t="s">
        <v>266</v>
      </c>
      <c r="H44" s="27"/>
      <c r="I44" s="27" t="s">
        <v>765</v>
      </c>
      <c r="J44" s="27"/>
      <c r="K44" s="27" t="s">
        <v>377</v>
      </c>
      <c r="L44" s="27"/>
      <c r="M44" s="27"/>
      <c r="N44" s="27"/>
      <c r="O44" s="27"/>
      <c r="P44" s="27"/>
      <c r="Q44" s="27"/>
      <c r="R44" s="27"/>
      <c r="S44" s="27">
        <v>1</v>
      </c>
      <c r="T44" s="27"/>
      <c r="U44" s="27"/>
      <c r="V44" s="27"/>
      <c r="W44" s="27"/>
      <c r="X44" s="27"/>
      <c r="Y44" s="27"/>
      <c r="Z44" s="27" t="s">
        <v>1504</v>
      </c>
      <c r="AA44" s="29">
        <v>0.5</v>
      </c>
      <c r="AB44" s="30">
        <f>AA44/0.0052</f>
        <v>96.15384615384616</v>
      </c>
      <c r="AC44" s="50">
        <f>AB44*0.089*24*365/10^6</f>
        <v>7.4965384615384628E-2</v>
      </c>
      <c r="AD44" s="30"/>
      <c r="AE44" s="30">
        <f>AB44</f>
        <v>96.15384615384616</v>
      </c>
      <c r="AF44" s="28" t="s">
        <v>1506</v>
      </c>
      <c r="AG44" s="28"/>
    </row>
    <row r="45" spans="1:33" ht="32.25" customHeight="1" x14ac:dyDescent="0.2">
      <c r="A45" s="27">
        <v>43</v>
      </c>
      <c r="B45" s="27" t="s">
        <v>1507</v>
      </c>
      <c r="C45" s="27" t="s">
        <v>334</v>
      </c>
      <c r="D45" s="27">
        <v>2019</v>
      </c>
      <c r="E45" s="27"/>
      <c r="F45" s="27" t="s">
        <v>836</v>
      </c>
      <c r="G45" s="27" t="s">
        <v>268</v>
      </c>
      <c r="H45" s="27"/>
      <c r="I45" s="27" t="s">
        <v>911</v>
      </c>
      <c r="J45" s="27"/>
      <c r="K45" s="27" t="s">
        <v>377</v>
      </c>
      <c r="L45" s="27"/>
      <c r="M45" s="27"/>
      <c r="N45" s="27"/>
      <c r="O45" s="27"/>
      <c r="P45" s="27"/>
      <c r="Q45" s="27">
        <v>1</v>
      </c>
      <c r="R45" s="27"/>
      <c r="S45" s="27"/>
      <c r="T45" s="27"/>
      <c r="U45" s="27"/>
      <c r="V45" s="27"/>
      <c r="W45" s="27"/>
      <c r="X45" s="27"/>
      <c r="Y45" s="27"/>
      <c r="Z45" s="27" t="s">
        <v>1508</v>
      </c>
      <c r="AA45" s="29">
        <v>0.5</v>
      </c>
      <c r="AB45" s="30">
        <v>100</v>
      </c>
      <c r="AC45" s="50">
        <f>AB45*0.089*24*365/10^6</f>
        <v>7.7964000000000019E-2</v>
      </c>
      <c r="AD45" s="30"/>
      <c r="AE45" s="30">
        <f>AB45</f>
        <v>100</v>
      </c>
      <c r="AF45" s="28" t="s">
        <v>1509</v>
      </c>
      <c r="AG45" s="28"/>
    </row>
    <row r="46" spans="1:33" ht="32.25" customHeight="1" x14ac:dyDescent="0.2">
      <c r="A46" s="27">
        <v>44</v>
      </c>
      <c r="B46" s="27" t="s">
        <v>1510</v>
      </c>
      <c r="C46" s="27" t="s">
        <v>331</v>
      </c>
      <c r="D46" s="27">
        <v>2019</v>
      </c>
      <c r="E46" s="27"/>
      <c r="F46" s="27" t="s">
        <v>836</v>
      </c>
      <c r="G46" s="27" t="s">
        <v>266</v>
      </c>
      <c r="H46" s="27"/>
      <c r="I46" s="27" t="s">
        <v>866</v>
      </c>
      <c r="J46" s="27"/>
      <c r="K46" s="27" t="s">
        <v>377</v>
      </c>
      <c r="L46" s="27"/>
      <c r="M46" s="27"/>
      <c r="N46" s="27"/>
      <c r="O46" s="27"/>
      <c r="P46" s="27"/>
      <c r="Q46" s="27">
        <v>1</v>
      </c>
      <c r="R46" s="27"/>
      <c r="S46" s="27"/>
      <c r="T46" s="27"/>
      <c r="U46" s="27"/>
      <c r="V46" s="27"/>
      <c r="W46" s="27"/>
      <c r="X46" s="27"/>
      <c r="Y46" s="27"/>
      <c r="Z46" s="27" t="s">
        <v>1504</v>
      </c>
      <c r="AA46" s="29">
        <v>0.5</v>
      </c>
      <c r="AB46" s="30">
        <f>AA46/0.0052</f>
        <v>96.15384615384616</v>
      </c>
      <c r="AC46" s="50">
        <f>AB46*0.089*24*365/10^6</f>
        <v>7.4965384615384628E-2</v>
      </c>
      <c r="AD46" s="30"/>
      <c r="AE46" s="30">
        <f>AB46</f>
        <v>96.15384615384616</v>
      </c>
      <c r="AF46" s="28" t="s">
        <v>1511</v>
      </c>
      <c r="AG46" s="28"/>
    </row>
    <row r="47" spans="1:33" ht="32.25" customHeight="1" x14ac:dyDescent="0.2">
      <c r="A47" s="27">
        <v>46</v>
      </c>
      <c r="B47" s="27" t="s">
        <v>1512</v>
      </c>
      <c r="C47" s="27" t="s">
        <v>356</v>
      </c>
      <c r="D47" s="27">
        <v>2019</v>
      </c>
      <c r="E47" s="27"/>
      <c r="F47" s="27" t="s">
        <v>836</v>
      </c>
      <c r="G47" s="27" t="s">
        <v>266</v>
      </c>
      <c r="H47" s="27"/>
      <c r="I47" s="27" t="s">
        <v>866</v>
      </c>
      <c r="J47" s="27"/>
      <c r="K47" s="27" t="s">
        <v>396</v>
      </c>
      <c r="L47" s="27"/>
      <c r="M47" s="27"/>
      <c r="N47" s="27"/>
      <c r="O47" s="27"/>
      <c r="P47" s="27"/>
      <c r="Q47" s="27"/>
      <c r="R47" s="27"/>
      <c r="S47" s="27"/>
      <c r="T47" s="27"/>
      <c r="U47" s="27"/>
      <c r="V47" s="27"/>
      <c r="W47" s="27"/>
      <c r="X47" s="27">
        <v>1</v>
      </c>
      <c r="Y47" s="27"/>
      <c r="Z47" s="27" t="s">
        <v>1513</v>
      </c>
      <c r="AA47" s="29">
        <v>0.35</v>
      </c>
      <c r="AB47" s="30">
        <f>AA47/0.0052</f>
        <v>67.307692307692307</v>
      </c>
      <c r="AC47" s="50">
        <f>AB47*0.089*24*365/10^6</f>
        <v>5.2475769230769236E-2</v>
      </c>
      <c r="AD47" s="30"/>
      <c r="AE47" s="30">
        <f>AB47</f>
        <v>67.307692307692307</v>
      </c>
      <c r="AF47" s="28" t="s">
        <v>1514</v>
      </c>
      <c r="AG47" s="28"/>
    </row>
    <row r="48" spans="1:33" ht="32.25" customHeight="1" x14ac:dyDescent="0.2">
      <c r="A48" s="27">
        <v>49</v>
      </c>
      <c r="B48" s="27" t="s">
        <v>1515</v>
      </c>
      <c r="C48" s="27" t="s">
        <v>335</v>
      </c>
      <c r="D48" s="27">
        <v>2019</v>
      </c>
      <c r="E48" s="27"/>
      <c r="F48" s="27" t="s">
        <v>836</v>
      </c>
      <c r="G48" s="27" t="s">
        <v>268</v>
      </c>
      <c r="H48" s="27"/>
      <c r="I48" s="27" t="s">
        <v>911</v>
      </c>
      <c r="J48" s="27"/>
      <c r="K48" s="27" t="s">
        <v>377</v>
      </c>
      <c r="L48" s="27"/>
      <c r="M48" s="27"/>
      <c r="N48" s="27"/>
      <c r="O48" s="27"/>
      <c r="P48" s="27"/>
      <c r="Q48" s="27">
        <v>1</v>
      </c>
      <c r="R48" s="27"/>
      <c r="S48" s="27"/>
      <c r="T48" s="27"/>
      <c r="U48" s="27"/>
      <c r="V48" s="27"/>
      <c r="W48" s="27"/>
      <c r="X48" s="27"/>
      <c r="Y48" s="27"/>
      <c r="Z48" s="27" t="s">
        <v>1516</v>
      </c>
      <c r="AA48" s="29">
        <f>AB48*0.0046</f>
        <v>0.27600000000000002</v>
      </c>
      <c r="AB48" s="30">
        <v>60</v>
      </c>
      <c r="AC48" s="30">
        <f>AB48*0.089*24*365/10^6</f>
        <v>4.6778400000000005E-2</v>
      </c>
      <c r="AD48" s="30"/>
      <c r="AE48" s="30">
        <f>AB48</f>
        <v>60</v>
      </c>
      <c r="AF48" s="28" t="s">
        <v>1517</v>
      </c>
      <c r="AG48" s="28"/>
    </row>
    <row r="49" spans="1:33" ht="32.25" customHeight="1" x14ac:dyDescent="0.2">
      <c r="A49" s="27">
        <v>50</v>
      </c>
      <c r="B49" s="27" t="s">
        <v>1518</v>
      </c>
      <c r="C49" s="27" t="s">
        <v>360</v>
      </c>
      <c r="D49" s="27">
        <v>2019</v>
      </c>
      <c r="E49" s="27"/>
      <c r="F49" s="27" t="s">
        <v>836</v>
      </c>
      <c r="G49" s="27" t="s">
        <v>268</v>
      </c>
      <c r="H49" s="27"/>
      <c r="I49" s="27" t="s">
        <v>768</v>
      </c>
      <c r="J49" s="27" t="s">
        <v>861</v>
      </c>
      <c r="K49" s="27" t="s">
        <v>377</v>
      </c>
      <c r="L49" s="27"/>
      <c r="M49" s="27"/>
      <c r="N49" s="27"/>
      <c r="O49" s="27"/>
      <c r="P49" s="27"/>
      <c r="Q49" s="27"/>
      <c r="R49" s="27"/>
      <c r="S49" s="27">
        <v>1</v>
      </c>
      <c r="T49" s="27"/>
      <c r="U49" s="27"/>
      <c r="V49" s="27"/>
      <c r="W49" s="27"/>
      <c r="X49" s="27"/>
      <c r="Y49" s="27"/>
      <c r="Z49" s="27" t="s">
        <v>1516</v>
      </c>
      <c r="AA49" s="29">
        <f>AB49*0.0046</f>
        <v>0.27600000000000002</v>
      </c>
      <c r="AB49" s="30">
        <v>60</v>
      </c>
      <c r="AC49" s="50">
        <f>AB49*0.089*24*365/10^6</f>
        <v>4.6778400000000005E-2</v>
      </c>
      <c r="AD49" s="30"/>
      <c r="AE49" s="30">
        <f>AB49</f>
        <v>60</v>
      </c>
      <c r="AF49" s="28"/>
      <c r="AG49" s="28"/>
    </row>
    <row r="50" spans="1:33" ht="32.25" customHeight="1" x14ac:dyDescent="0.2">
      <c r="A50" s="27">
        <v>51</v>
      </c>
      <c r="B50" s="27" t="s">
        <v>1519</v>
      </c>
      <c r="C50" s="27" t="s">
        <v>337</v>
      </c>
      <c r="D50" s="27">
        <v>2019</v>
      </c>
      <c r="E50" s="27"/>
      <c r="F50" s="27" t="s">
        <v>836</v>
      </c>
      <c r="G50" s="27" t="s">
        <v>758</v>
      </c>
      <c r="H50" s="27" t="s">
        <v>1406</v>
      </c>
      <c r="I50" s="27" t="s">
        <v>911</v>
      </c>
      <c r="J50" s="27"/>
      <c r="K50" s="27" t="s">
        <v>396</v>
      </c>
      <c r="L50" s="27"/>
      <c r="M50" s="27"/>
      <c r="N50" s="27"/>
      <c r="O50" s="27"/>
      <c r="P50" s="27"/>
      <c r="Q50" s="27"/>
      <c r="R50" s="27"/>
      <c r="S50" s="27"/>
      <c r="T50" s="27"/>
      <c r="U50" s="27"/>
      <c r="V50" s="27"/>
      <c r="W50" s="27"/>
      <c r="X50" s="27">
        <v>1</v>
      </c>
      <c r="Y50" s="27"/>
      <c r="Z50" s="27" t="s">
        <v>1520</v>
      </c>
      <c r="AA50" s="29">
        <v>0.25</v>
      </c>
      <c r="AB50" s="30">
        <f>AA50/0.0045</f>
        <v>55.555555555555557</v>
      </c>
      <c r="AC50" s="50">
        <f>AB50*0.089*24*365/10^6</f>
        <v>4.3313333333333336E-2</v>
      </c>
      <c r="AD50" s="30"/>
      <c r="AE50" s="30">
        <f>AB50</f>
        <v>55.555555555555557</v>
      </c>
      <c r="AF50" s="28" t="s">
        <v>1521</v>
      </c>
      <c r="AG50" s="28"/>
    </row>
    <row r="51" spans="1:33" ht="32.25" customHeight="1" x14ac:dyDescent="0.2">
      <c r="A51" s="27">
        <v>52</v>
      </c>
      <c r="B51" s="27" t="s">
        <v>1522</v>
      </c>
      <c r="C51" s="27" t="s">
        <v>804</v>
      </c>
      <c r="D51" s="27">
        <v>2019</v>
      </c>
      <c r="E51" s="27"/>
      <c r="F51" s="27" t="s">
        <v>836</v>
      </c>
      <c r="G51" s="27" t="s">
        <v>266</v>
      </c>
      <c r="H51" s="27"/>
      <c r="I51" s="27" t="s">
        <v>866</v>
      </c>
      <c r="J51" s="27"/>
      <c r="K51" s="27" t="s">
        <v>377</v>
      </c>
      <c r="L51" s="27"/>
      <c r="M51" s="27"/>
      <c r="N51" s="27"/>
      <c r="O51" s="27"/>
      <c r="P51" s="27"/>
      <c r="Q51" s="27"/>
      <c r="R51" s="27"/>
      <c r="S51" s="27">
        <v>1</v>
      </c>
      <c r="T51" s="27"/>
      <c r="U51" s="27"/>
      <c r="V51" s="27"/>
      <c r="W51" s="27"/>
      <c r="X51" s="27"/>
      <c r="Y51" s="27"/>
      <c r="Z51" s="27" t="s">
        <v>1523</v>
      </c>
      <c r="AA51" s="29">
        <v>0.2</v>
      </c>
      <c r="AB51" s="30">
        <f>AA51/0.0052</f>
        <v>38.461538461538467</v>
      </c>
      <c r="AC51" s="50">
        <f>AB51*0.089*24*365/10^6</f>
        <v>2.9986153846153846E-2</v>
      </c>
      <c r="AD51" s="30"/>
      <c r="AE51" s="30">
        <f>AB51</f>
        <v>38.461538461538467</v>
      </c>
      <c r="AF51" s="28" t="s">
        <v>1524</v>
      </c>
      <c r="AG51" s="28"/>
    </row>
    <row r="52" spans="1:33" ht="32.25" customHeight="1" x14ac:dyDescent="0.2">
      <c r="A52" s="27">
        <v>54</v>
      </c>
      <c r="B52" s="27" t="s">
        <v>1525</v>
      </c>
      <c r="C52" s="27" t="s">
        <v>336</v>
      </c>
      <c r="D52" s="27">
        <v>2019</v>
      </c>
      <c r="E52" s="27"/>
      <c r="F52" s="27" t="s">
        <v>836</v>
      </c>
      <c r="G52" s="27" t="s">
        <v>266</v>
      </c>
      <c r="H52" s="27"/>
      <c r="I52" s="27" t="s">
        <v>866</v>
      </c>
      <c r="J52" s="27"/>
      <c r="K52" s="27" t="s">
        <v>377</v>
      </c>
      <c r="L52" s="27"/>
      <c r="M52" s="27"/>
      <c r="N52" s="27"/>
      <c r="O52" s="27"/>
      <c r="P52" s="27"/>
      <c r="Q52" s="27"/>
      <c r="R52" s="27">
        <v>1</v>
      </c>
      <c r="S52" s="27"/>
      <c r="T52" s="27"/>
      <c r="U52" s="27">
        <v>1</v>
      </c>
      <c r="V52" s="27"/>
      <c r="W52" s="27"/>
      <c r="X52" s="27"/>
      <c r="Y52" s="27"/>
      <c r="Z52" s="27" t="s">
        <v>1526</v>
      </c>
      <c r="AA52" s="29">
        <v>0.15</v>
      </c>
      <c r="AB52" s="30">
        <f>AA52/0.0052</f>
        <v>28.846153846153847</v>
      </c>
      <c r="AC52" s="50">
        <f>AB52*0.089*24*365/10^6</f>
        <v>2.2489615384615382E-2</v>
      </c>
      <c r="AD52" s="30"/>
      <c r="AE52" s="30">
        <f>AB52</f>
        <v>28.846153846153847</v>
      </c>
      <c r="AF52" s="28" t="s">
        <v>1527</v>
      </c>
      <c r="AG52" s="28"/>
    </row>
    <row r="53" spans="1:33" ht="32.25" customHeight="1" x14ac:dyDescent="0.2">
      <c r="A53" s="27">
        <v>55</v>
      </c>
      <c r="B53" s="27" t="s">
        <v>1528</v>
      </c>
      <c r="C53" s="27" t="s">
        <v>362</v>
      </c>
      <c r="D53" s="27">
        <v>2019</v>
      </c>
      <c r="E53" s="27"/>
      <c r="F53" s="27" t="s">
        <v>836</v>
      </c>
      <c r="G53" s="27" t="s">
        <v>758</v>
      </c>
      <c r="H53" s="27" t="s">
        <v>1406</v>
      </c>
      <c r="I53" s="27" t="s">
        <v>866</v>
      </c>
      <c r="J53" s="27"/>
      <c r="K53" s="27" t="s">
        <v>396</v>
      </c>
      <c r="L53" s="27"/>
      <c r="M53" s="27"/>
      <c r="N53" s="27"/>
      <c r="O53" s="27"/>
      <c r="P53" s="27"/>
      <c r="Q53" s="27"/>
      <c r="R53" s="27"/>
      <c r="S53" s="27"/>
      <c r="T53" s="27"/>
      <c r="U53" s="27"/>
      <c r="V53" s="27"/>
      <c r="W53" s="27"/>
      <c r="X53" s="27">
        <v>1</v>
      </c>
      <c r="Y53" s="27"/>
      <c r="Z53" s="27" t="s">
        <v>1529</v>
      </c>
      <c r="AA53" s="29">
        <f>AB53*0.0045</f>
        <v>8.0999999999999989E-2</v>
      </c>
      <c r="AB53" s="30">
        <v>18</v>
      </c>
      <c r="AC53" s="50">
        <f>AB53*0.089*24*365/10^6</f>
        <v>1.4033519999999997E-2</v>
      </c>
      <c r="AD53" s="30"/>
      <c r="AE53" s="30">
        <f>AB53</f>
        <v>18</v>
      </c>
      <c r="AF53" s="28" t="s">
        <v>1530</v>
      </c>
      <c r="AG53" s="28"/>
    </row>
    <row r="54" spans="1:33" ht="32.25" customHeight="1" x14ac:dyDescent="0.2">
      <c r="A54" s="27">
        <v>56</v>
      </c>
      <c r="B54" s="27" t="s">
        <v>1531</v>
      </c>
      <c r="C54" s="27" t="s">
        <v>339</v>
      </c>
      <c r="D54" s="27">
        <v>2019</v>
      </c>
      <c r="E54" s="27"/>
      <c r="F54" s="27" t="s">
        <v>916</v>
      </c>
      <c r="G54" s="27" t="s">
        <v>758</v>
      </c>
      <c r="H54" s="27" t="s">
        <v>1406</v>
      </c>
      <c r="I54" s="27" t="s">
        <v>756</v>
      </c>
      <c r="J54" s="27"/>
      <c r="K54" s="27"/>
      <c r="L54" s="27"/>
      <c r="M54" s="27"/>
      <c r="N54" s="27"/>
      <c r="O54" s="27"/>
      <c r="P54" s="27"/>
      <c r="Q54" s="27"/>
      <c r="R54" s="27"/>
      <c r="S54" s="27"/>
      <c r="T54" s="27"/>
      <c r="U54" s="27"/>
      <c r="V54" s="27"/>
      <c r="W54" s="27"/>
      <c r="X54" s="27"/>
      <c r="Y54" s="27"/>
      <c r="Z54" s="27"/>
      <c r="AA54" s="29"/>
      <c r="AB54" s="30"/>
      <c r="AC54" s="50"/>
      <c r="AD54" s="30"/>
      <c r="AE54" s="30"/>
      <c r="AF54" s="28"/>
      <c r="AG54" s="28"/>
    </row>
    <row r="55" spans="1:33" ht="32.25" customHeight="1" x14ac:dyDescent="0.2">
      <c r="A55" s="27">
        <v>58</v>
      </c>
      <c r="B55" s="27" t="s">
        <v>1532</v>
      </c>
      <c r="C55" s="27" t="s">
        <v>333</v>
      </c>
      <c r="D55" s="27">
        <v>2019</v>
      </c>
      <c r="E55" s="27"/>
      <c r="F55" s="27" t="s">
        <v>916</v>
      </c>
      <c r="G55" s="27" t="s">
        <v>266</v>
      </c>
      <c r="H55" s="27"/>
      <c r="I55" s="27" t="s">
        <v>911</v>
      </c>
      <c r="J55" s="27"/>
      <c r="K55" s="27" t="s">
        <v>766</v>
      </c>
      <c r="L55" s="27"/>
      <c r="M55" s="27"/>
      <c r="N55" s="27"/>
      <c r="O55" s="27"/>
      <c r="P55" s="27"/>
      <c r="Q55" s="27"/>
      <c r="R55" s="27"/>
      <c r="S55" s="27"/>
      <c r="T55" s="27"/>
      <c r="U55" s="27"/>
      <c r="V55" s="27"/>
      <c r="W55" s="27">
        <v>1</v>
      </c>
      <c r="X55" s="27"/>
      <c r="Y55" s="27"/>
      <c r="Z55" s="27" t="s">
        <v>1533</v>
      </c>
      <c r="AA55" s="29">
        <v>2.5000000000000001E-2</v>
      </c>
      <c r="AB55" s="30">
        <f>AA55/0.0052</f>
        <v>4.8076923076923084</v>
      </c>
      <c r="AC55" s="50">
        <f>AB55*0.089*24*365/10^6</f>
        <v>3.7482692307692308E-3</v>
      </c>
      <c r="AD55" s="30"/>
      <c r="AE55" s="30">
        <f>AB55</f>
        <v>4.8076923076923084</v>
      </c>
      <c r="AF55" s="28" t="s">
        <v>1534</v>
      </c>
      <c r="AG55" s="28"/>
    </row>
    <row r="56" spans="1:33" ht="32.25" customHeight="1" x14ac:dyDescent="0.2">
      <c r="A56" s="27">
        <v>59</v>
      </c>
      <c r="B56" s="27" t="s">
        <v>1535</v>
      </c>
      <c r="C56" s="27" t="s">
        <v>804</v>
      </c>
      <c r="D56" s="27">
        <v>2021</v>
      </c>
      <c r="E56" s="27"/>
      <c r="F56" s="27" t="s">
        <v>916</v>
      </c>
      <c r="G56" s="27" t="s">
        <v>267</v>
      </c>
      <c r="H56" s="27"/>
      <c r="I56" s="27" t="s">
        <v>911</v>
      </c>
      <c r="J56" s="27"/>
      <c r="K56" s="27" t="s">
        <v>766</v>
      </c>
      <c r="L56" s="27"/>
      <c r="M56" s="27"/>
      <c r="N56" s="27"/>
      <c r="O56" s="27"/>
      <c r="P56" s="27"/>
      <c r="Q56" s="27"/>
      <c r="R56" s="27"/>
      <c r="S56" s="27"/>
      <c r="T56" s="27"/>
      <c r="U56" s="27"/>
      <c r="V56" s="27"/>
      <c r="W56" s="27">
        <v>1</v>
      </c>
      <c r="X56" s="27"/>
      <c r="Y56" s="27"/>
      <c r="Z56" s="27" t="s">
        <v>1536</v>
      </c>
      <c r="AA56" s="29">
        <v>0.01</v>
      </c>
      <c r="AB56" s="30">
        <v>1</v>
      </c>
      <c r="AC56" s="50">
        <f>AB56*0.089*24*365/10^6</f>
        <v>7.7964000000000006E-4</v>
      </c>
      <c r="AD56" s="30"/>
      <c r="AE56" s="30">
        <f>AB56</f>
        <v>1</v>
      </c>
      <c r="AF56" s="28" t="s">
        <v>1537</v>
      </c>
      <c r="AG56" s="28"/>
    </row>
    <row r="57" spans="1:33" ht="32.25" customHeight="1" x14ac:dyDescent="0.2">
      <c r="A57" s="27">
        <v>60</v>
      </c>
      <c r="B57" s="27" t="s">
        <v>1538</v>
      </c>
      <c r="C57" s="27" t="s">
        <v>347</v>
      </c>
      <c r="D57" s="27">
        <v>2019</v>
      </c>
      <c r="E57" s="27"/>
      <c r="F57" s="27" t="s">
        <v>916</v>
      </c>
      <c r="G57" s="27" t="s">
        <v>266</v>
      </c>
      <c r="H57" s="27"/>
      <c r="I57" s="27" t="s">
        <v>866</v>
      </c>
      <c r="J57" s="27"/>
      <c r="K57" s="27" t="s">
        <v>377</v>
      </c>
      <c r="L57" s="27"/>
      <c r="M57" s="27"/>
      <c r="N57" s="27"/>
      <c r="O57" s="27"/>
      <c r="P57" s="27"/>
      <c r="Q57" s="27"/>
      <c r="R57" s="27"/>
      <c r="S57" s="27">
        <v>1</v>
      </c>
      <c r="T57" s="27"/>
      <c r="U57" s="27"/>
      <c r="V57" s="27"/>
      <c r="W57" s="27"/>
      <c r="X57" s="27"/>
      <c r="Y57" s="27"/>
      <c r="Z57" s="27" t="s">
        <v>1539</v>
      </c>
      <c r="AA57" s="29">
        <v>7.0000000000000001E-3</v>
      </c>
      <c r="AB57" s="30">
        <f>AA57/0.0052</f>
        <v>1.3461538461538463</v>
      </c>
      <c r="AC57" s="50">
        <f>AB57*0.089*24*365/10^6</f>
        <v>1.0495153846153847E-3</v>
      </c>
      <c r="AD57" s="30"/>
      <c r="AE57" s="30">
        <f>AB57</f>
        <v>1.3461538461538463</v>
      </c>
      <c r="AF57" s="28" t="s">
        <v>1540</v>
      </c>
      <c r="AG57" s="28"/>
    </row>
    <row r="58" spans="1:33" ht="32.25" customHeight="1" x14ac:dyDescent="0.2">
      <c r="A58" s="27">
        <v>61</v>
      </c>
      <c r="B58" s="27" t="s">
        <v>1541</v>
      </c>
      <c r="C58" s="27" t="s">
        <v>333</v>
      </c>
      <c r="D58" s="27">
        <v>2019</v>
      </c>
      <c r="E58" s="27"/>
      <c r="F58" s="27" t="s">
        <v>916</v>
      </c>
      <c r="G58" s="27" t="s">
        <v>267</v>
      </c>
      <c r="H58" s="27"/>
      <c r="I58" s="27" t="s">
        <v>911</v>
      </c>
      <c r="J58" s="27"/>
      <c r="K58" s="27" t="s">
        <v>767</v>
      </c>
      <c r="L58" s="27"/>
      <c r="M58" s="27"/>
      <c r="N58" s="27"/>
      <c r="O58" s="27"/>
      <c r="P58" s="27"/>
      <c r="Q58" s="27"/>
      <c r="R58" s="27">
        <v>1</v>
      </c>
      <c r="S58" s="27"/>
      <c r="T58" s="27"/>
      <c r="U58" s="27"/>
      <c r="V58" s="27"/>
      <c r="W58" s="27">
        <v>1</v>
      </c>
      <c r="X58" s="27"/>
      <c r="Y58" s="27"/>
      <c r="Z58" s="27" t="s">
        <v>1542</v>
      </c>
      <c r="AA58" s="29">
        <v>6.0000000000000001E-3</v>
      </c>
      <c r="AB58" s="30">
        <f>AA58/0.0038</f>
        <v>1.5789473684210527</v>
      </c>
      <c r="AC58" s="50">
        <f>AB58*0.089*24*365/10^6</f>
        <v>1.2310105263157894E-3</v>
      </c>
      <c r="AD58" s="30"/>
      <c r="AE58" s="30">
        <f>AB58</f>
        <v>1.5789473684210527</v>
      </c>
      <c r="AF58" s="28" t="s">
        <v>1543</v>
      </c>
      <c r="AG58" s="28"/>
    </row>
    <row r="59" spans="1:33" ht="32.25" customHeight="1" x14ac:dyDescent="0.2">
      <c r="A59" s="27">
        <v>62</v>
      </c>
      <c r="B59" s="27" t="s">
        <v>1544</v>
      </c>
      <c r="C59" s="27" t="s">
        <v>359</v>
      </c>
      <c r="D59" s="27">
        <v>2019</v>
      </c>
      <c r="E59" s="27"/>
      <c r="F59" s="27" t="s">
        <v>836</v>
      </c>
      <c r="G59" s="27" t="s">
        <v>266</v>
      </c>
      <c r="H59" s="27"/>
      <c r="I59" s="27" t="s">
        <v>911</v>
      </c>
      <c r="J59" s="27"/>
      <c r="K59" s="27" t="s">
        <v>377</v>
      </c>
      <c r="L59" s="27"/>
      <c r="M59" s="27"/>
      <c r="N59" s="27"/>
      <c r="O59" s="27"/>
      <c r="P59" s="27"/>
      <c r="Q59" s="27">
        <v>1</v>
      </c>
      <c r="R59" s="27"/>
      <c r="S59" s="27"/>
      <c r="T59" s="27"/>
      <c r="U59" s="27"/>
      <c r="V59" s="27"/>
      <c r="W59" s="27"/>
      <c r="X59" s="27"/>
      <c r="Y59" s="27"/>
      <c r="Z59" s="27" t="s">
        <v>1545</v>
      </c>
      <c r="AA59" s="29">
        <f>AB59*0.0052</f>
        <v>5.1999999999999998E-3</v>
      </c>
      <c r="AB59" s="30">
        <v>1</v>
      </c>
      <c r="AC59" s="50">
        <f>AB59*0.089*24*365/10^6</f>
        <v>7.7964000000000006E-4</v>
      </c>
      <c r="AD59" s="30"/>
      <c r="AE59" s="30">
        <f>AB59</f>
        <v>1</v>
      </c>
      <c r="AF59" s="28" t="s">
        <v>1546</v>
      </c>
      <c r="AG59" s="28"/>
    </row>
    <row r="60" spans="1:33" ht="32.25" customHeight="1" x14ac:dyDescent="0.2">
      <c r="A60" s="27">
        <v>63</v>
      </c>
      <c r="B60" s="27" t="s">
        <v>1547</v>
      </c>
      <c r="C60" s="27" t="s">
        <v>804</v>
      </c>
      <c r="D60" s="27">
        <v>2018</v>
      </c>
      <c r="E60" s="27"/>
      <c r="F60" s="27" t="s">
        <v>836</v>
      </c>
      <c r="G60" s="27" t="s">
        <v>266</v>
      </c>
      <c r="H60" s="27"/>
      <c r="I60" s="27" t="s">
        <v>866</v>
      </c>
      <c r="J60" s="27"/>
      <c r="K60" s="27" t="s">
        <v>396</v>
      </c>
      <c r="L60" s="27"/>
      <c r="M60" s="27"/>
      <c r="N60" s="27"/>
      <c r="O60" s="27"/>
      <c r="P60" s="27"/>
      <c r="Q60" s="27"/>
      <c r="R60" s="27"/>
      <c r="S60" s="27"/>
      <c r="T60" s="27"/>
      <c r="U60" s="27"/>
      <c r="V60" s="27"/>
      <c r="W60" s="27"/>
      <c r="X60" s="27">
        <v>1</v>
      </c>
      <c r="Y60" s="27"/>
      <c r="Z60" s="27" t="s">
        <v>1548</v>
      </c>
      <c r="AA60" s="29">
        <v>1</v>
      </c>
      <c r="AB60" s="30">
        <v>180</v>
      </c>
      <c r="AC60" s="50">
        <f>AB60*0.089*24*365/10^6</f>
        <v>0.14033520000000002</v>
      </c>
      <c r="AD60" s="30"/>
      <c r="AE60" s="30">
        <f>AB60</f>
        <v>180</v>
      </c>
      <c r="AF60" s="28" t="s">
        <v>1549</v>
      </c>
      <c r="AG60" s="28"/>
    </row>
    <row r="61" spans="1:33" ht="32.25" customHeight="1" x14ac:dyDescent="0.2">
      <c r="A61" s="27">
        <v>64</v>
      </c>
      <c r="B61" s="27" t="s">
        <v>1550</v>
      </c>
      <c r="C61" s="27" t="s">
        <v>339</v>
      </c>
      <c r="D61" s="27">
        <v>2019</v>
      </c>
      <c r="E61" s="27"/>
      <c r="F61" s="27" t="s">
        <v>836</v>
      </c>
      <c r="G61" s="27" t="s">
        <v>266</v>
      </c>
      <c r="H61" s="27"/>
      <c r="I61" s="27" t="s">
        <v>911</v>
      </c>
      <c r="J61" s="27"/>
      <c r="K61" s="27" t="s">
        <v>377</v>
      </c>
      <c r="L61" s="27"/>
      <c r="M61" s="27"/>
      <c r="N61" s="27"/>
      <c r="O61" s="27"/>
      <c r="P61" s="27"/>
      <c r="Q61" s="27"/>
      <c r="R61" s="27"/>
      <c r="S61" s="27"/>
      <c r="T61" s="27">
        <v>1</v>
      </c>
      <c r="U61" s="27"/>
      <c r="V61" s="27"/>
      <c r="W61" s="27"/>
      <c r="X61" s="27"/>
      <c r="Y61" s="27"/>
      <c r="Z61" s="27" t="s">
        <v>1551</v>
      </c>
      <c r="AA61" s="29">
        <v>1.5</v>
      </c>
      <c r="AB61" s="30">
        <f>AA61/0.0052</f>
        <v>288.46153846153845</v>
      </c>
      <c r="AC61" s="50">
        <f>AB61*0.089*24*365/10^6</f>
        <v>0.2248961538461538</v>
      </c>
      <c r="AD61" s="30"/>
      <c r="AE61" s="30">
        <f>AB61</f>
        <v>288.46153846153845</v>
      </c>
      <c r="AF61" s="28" t="s">
        <v>1552</v>
      </c>
      <c r="AG61" s="28"/>
    </row>
    <row r="62" spans="1:33" ht="32.25" customHeight="1" x14ac:dyDescent="0.2">
      <c r="A62" s="27">
        <v>65</v>
      </c>
      <c r="B62" s="27" t="s">
        <v>1553</v>
      </c>
      <c r="C62" s="27" t="s">
        <v>359</v>
      </c>
      <c r="D62" s="27">
        <v>2019</v>
      </c>
      <c r="E62" s="27"/>
      <c r="F62" s="27" t="s">
        <v>836</v>
      </c>
      <c r="G62" s="27" t="s">
        <v>758</v>
      </c>
      <c r="H62" s="27" t="s">
        <v>1406</v>
      </c>
      <c r="I62" s="27" t="s">
        <v>756</v>
      </c>
      <c r="J62" s="27"/>
      <c r="K62" s="27" t="s">
        <v>377</v>
      </c>
      <c r="L62" s="27"/>
      <c r="M62" s="27"/>
      <c r="N62" s="27"/>
      <c r="O62" s="27"/>
      <c r="P62" s="27"/>
      <c r="Q62" s="27">
        <v>1</v>
      </c>
      <c r="R62" s="27">
        <v>1</v>
      </c>
      <c r="S62" s="27"/>
      <c r="T62" s="27"/>
      <c r="U62" s="27"/>
      <c r="V62" s="27"/>
      <c r="W62" s="27"/>
      <c r="X62" s="27"/>
      <c r="Y62" s="27"/>
      <c r="Z62" s="27" t="s">
        <v>1470</v>
      </c>
      <c r="AA62" s="29">
        <v>0.05</v>
      </c>
      <c r="AB62" s="30"/>
      <c r="AC62" s="50">
        <f>AB62*0.089*24*365/10^6</f>
        <v>0</v>
      </c>
      <c r="AD62" s="30"/>
      <c r="AE62" s="30">
        <f>AB62</f>
        <v>0</v>
      </c>
      <c r="AF62" s="28" t="s">
        <v>1554</v>
      </c>
      <c r="AG62" s="28"/>
    </row>
    <row r="63" spans="1:33" ht="32.25" customHeight="1" x14ac:dyDescent="0.2">
      <c r="A63" s="27">
        <v>66</v>
      </c>
      <c r="B63" s="27" t="s">
        <v>1555</v>
      </c>
      <c r="C63" s="27" t="s">
        <v>339</v>
      </c>
      <c r="D63" s="27">
        <v>2019</v>
      </c>
      <c r="E63" s="27"/>
      <c r="F63" s="27" t="s">
        <v>836</v>
      </c>
      <c r="G63" s="27" t="s">
        <v>758</v>
      </c>
      <c r="H63" s="27" t="s">
        <v>1406</v>
      </c>
      <c r="I63" s="27" t="s">
        <v>768</v>
      </c>
      <c r="J63" s="27" t="s">
        <v>378</v>
      </c>
      <c r="K63" s="27" t="s">
        <v>377</v>
      </c>
      <c r="L63" s="27"/>
      <c r="M63" s="27"/>
      <c r="N63" s="27"/>
      <c r="O63" s="27"/>
      <c r="P63" s="27"/>
      <c r="Q63" s="27">
        <v>1</v>
      </c>
      <c r="R63" s="27"/>
      <c r="S63" s="27"/>
      <c r="T63" s="27"/>
      <c r="U63" s="27"/>
      <c r="V63" s="27"/>
      <c r="W63" s="27"/>
      <c r="X63" s="27"/>
      <c r="Y63" s="27"/>
      <c r="Z63" s="27" t="s">
        <v>1556</v>
      </c>
      <c r="AA63" s="29">
        <f>AB63*0.0045</f>
        <v>4.4999999999999998E-2</v>
      </c>
      <c r="AB63" s="30">
        <v>10</v>
      </c>
      <c r="AC63" s="50">
        <f>AB63*0.089*24*365/10^6</f>
        <v>7.7963999999999993E-3</v>
      </c>
      <c r="AD63" s="30"/>
      <c r="AE63" s="30">
        <f>AB63</f>
        <v>10</v>
      </c>
      <c r="AF63" s="28" t="s">
        <v>1557</v>
      </c>
      <c r="AG63" s="28"/>
    </row>
    <row r="64" spans="1:33" ht="32.25" customHeight="1" x14ac:dyDescent="0.2">
      <c r="A64" s="27">
        <v>67</v>
      </c>
      <c r="B64" s="27" t="s">
        <v>1558</v>
      </c>
      <c r="C64" s="27" t="s">
        <v>804</v>
      </c>
      <c r="D64" s="27">
        <v>2019</v>
      </c>
      <c r="E64" s="27"/>
      <c r="F64" s="27" t="s">
        <v>836</v>
      </c>
      <c r="G64" s="27" t="s">
        <v>758</v>
      </c>
      <c r="H64" s="27" t="s">
        <v>1406</v>
      </c>
      <c r="I64" s="27" t="s">
        <v>768</v>
      </c>
      <c r="J64" s="27" t="s">
        <v>378</v>
      </c>
      <c r="K64" s="27" t="s">
        <v>377</v>
      </c>
      <c r="L64" s="27"/>
      <c r="M64" s="27"/>
      <c r="N64" s="27"/>
      <c r="O64" s="27"/>
      <c r="P64" s="27"/>
      <c r="Q64" s="27">
        <v>1</v>
      </c>
      <c r="R64" s="27"/>
      <c r="S64" s="27"/>
      <c r="T64" s="27"/>
      <c r="U64" s="27"/>
      <c r="V64" s="27"/>
      <c r="W64" s="27"/>
      <c r="X64" s="27"/>
      <c r="Y64" s="27"/>
      <c r="Z64" s="27"/>
      <c r="AA64" s="29"/>
      <c r="AB64" s="30"/>
      <c r="AC64" s="50"/>
      <c r="AD64" s="30"/>
      <c r="AE64" s="30"/>
      <c r="AF64" s="28" t="s">
        <v>1559</v>
      </c>
      <c r="AG64" s="28"/>
    </row>
    <row r="65" spans="1:33" ht="32.25" customHeight="1" x14ac:dyDescent="0.2">
      <c r="A65" s="27">
        <v>68</v>
      </c>
      <c r="B65" s="27" t="s">
        <v>1560</v>
      </c>
      <c r="C65" s="27" t="s">
        <v>804</v>
      </c>
      <c r="D65" s="27">
        <v>2018</v>
      </c>
      <c r="E65" s="27"/>
      <c r="F65" s="27" t="s">
        <v>836</v>
      </c>
      <c r="G65" s="27" t="s">
        <v>266</v>
      </c>
      <c r="H65" s="27"/>
      <c r="I65" s="27" t="s">
        <v>768</v>
      </c>
      <c r="J65" s="27" t="s">
        <v>862</v>
      </c>
      <c r="K65" s="27" t="s">
        <v>377</v>
      </c>
      <c r="L65" s="27"/>
      <c r="M65" s="27"/>
      <c r="N65" s="27"/>
      <c r="O65" s="27"/>
      <c r="P65" s="27"/>
      <c r="Q65" s="27"/>
      <c r="R65" s="27"/>
      <c r="S65" s="27">
        <v>1</v>
      </c>
      <c r="T65" s="27"/>
      <c r="U65" s="27"/>
      <c r="V65" s="27"/>
      <c r="W65" s="27"/>
      <c r="X65" s="27"/>
      <c r="Y65" s="27"/>
      <c r="Z65" s="27" t="s">
        <v>1561</v>
      </c>
      <c r="AA65" s="29">
        <v>2.4</v>
      </c>
      <c r="AB65" s="30">
        <v>450</v>
      </c>
      <c r="AC65" s="50">
        <f>AB65*0.089*24*365/10^6</f>
        <v>0.35083799999999998</v>
      </c>
      <c r="AD65" s="30"/>
      <c r="AE65" s="30">
        <f>AB65</f>
        <v>450</v>
      </c>
      <c r="AF65" s="28" t="s">
        <v>1562</v>
      </c>
      <c r="AG65" s="28"/>
    </row>
    <row r="66" spans="1:33" ht="32.25" customHeight="1" x14ac:dyDescent="0.2">
      <c r="A66" s="27">
        <v>69</v>
      </c>
      <c r="B66" s="27" t="s">
        <v>1563</v>
      </c>
      <c r="C66" s="27" t="s">
        <v>804</v>
      </c>
      <c r="D66" s="27">
        <v>2018</v>
      </c>
      <c r="E66" s="27"/>
      <c r="F66" s="27" t="s">
        <v>836</v>
      </c>
      <c r="G66" s="27" t="s">
        <v>268</v>
      </c>
      <c r="H66" s="27"/>
      <c r="I66" s="27" t="s">
        <v>866</v>
      </c>
      <c r="J66" s="27"/>
      <c r="K66" s="27" t="s">
        <v>767</v>
      </c>
      <c r="L66" s="27"/>
      <c r="M66" s="27">
        <v>1</v>
      </c>
      <c r="N66" s="27">
        <v>1</v>
      </c>
      <c r="O66" s="27"/>
      <c r="P66" s="27"/>
      <c r="Q66" s="27"/>
      <c r="R66" s="27"/>
      <c r="S66" s="27"/>
      <c r="T66" s="27"/>
      <c r="U66" s="27"/>
      <c r="V66" s="27"/>
      <c r="W66" s="27"/>
      <c r="X66" s="27"/>
      <c r="Y66" s="27"/>
      <c r="Z66" s="27" t="s">
        <v>1448</v>
      </c>
      <c r="AA66" s="29">
        <v>2</v>
      </c>
      <c r="AB66" s="30">
        <f>AA66/0.0052</f>
        <v>384.61538461538464</v>
      </c>
      <c r="AC66" s="50">
        <f>AB66*0.089*24*365/10^6</f>
        <v>0.29986153846153851</v>
      </c>
      <c r="AD66" s="30"/>
      <c r="AE66" s="30">
        <f>AB66</f>
        <v>384.61538461538464</v>
      </c>
      <c r="AF66" s="28" t="s">
        <v>1564</v>
      </c>
      <c r="AG66" s="28"/>
    </row>
    <row r="67" spans="1:33" ht="32.25" customHeight="1" x14ac:dyDescent="0.2">
      <c r="A67" s="27">
        <v>70</v>
      </c>
      <c r="B67" s="27" t="s">
        <v>1565</v>
      </c>
      <c r="C67" s="27" t="s">
        <v>337</v>
      </c>
      <c r="D67" s="27">
        <v>2018</v>
      </c>
      <c r="E67" s="27"/>
      <c r="F67" s="27" t="s">
        <v>836</v>
      </c>
      <c r="G67" s="27" t="s">
        <v>266</v>
      </c>
      <c r="H67" s="27"/>
      <c r="I67" s="27" t="s">
        <v>911</v>
      </c>
      <c r="J67" s="27"/>
      <c r="K67" s="27" t="s">
        <v>377</v>
      </c>
      <c r="L67" s="27"/>
      <c r="M67" s="27"/>
      <c r="N67" s="27"/>
      <c r="O67" s="27"/>
      <c r="P67" s="27"/>
      <c r="Q67" s="27">
        <v>1</v>
      </c>
      <c r="R67" s="27"/>
      <c r="S67" s="27"/>
      <c r="T67" s="27"/>
      <c r="U67" s="27"/>
      <c r="V67" s="27"/>
      <c r="W67" s="27"/>
      <c r="X67" s="27"/>
      <c r="Y67" s="27"/>
      <c r="Z67" s="27" t="s">
        <v>1566</v>
      </c>
      <c r="AA67" s="29">
        <v>1.5</v>
      </c>
      <c r="AB67" s="30">
        <f>AA67/0.0052</f>
        <v>288.46153846153845</v>
      </c>
      <c r="AC67" s="50">
        <f>AB67*0.089*24*365/10^6</f>
        <v>0.2248961538461538</v>
      </c>
      <c r="AD67" s="30"/>
      <c r="AE67" s="30">
        <f>AB67</f>
        <v>288.46153846153845</v>
      </c>
      <c r="AF67" s="28" t="s">
        <v>1567</v>
      </c>
      <c r="AG67" s="28"/>
    </row>
    <row r="68" spans="1:33" ht="32.25" customHeight="1" x14ac:dyDescent="0.2">
      <c r="A68" s="27">
        <v>71</v>
      </c>
      <c r="B68" s="27" t="s">
        <v>1568</v>
      </c>
      <c r="C68" s="27" t="s">
        <v>346</v>
      </c>
      <c r="D68" s="27">
        <v>2018</v>
      </c>
      <c r="E68" s="27"/>
      <c r="F68" s="27" t="s">
        <v>836</v>
      </c>
      <c r="G68" s="27" t="s">
        <v>266</v>
      </c>
      <c r="H68" s="27"/>
      <c r="I68" s="27" t="s">
        <v>768</v>
      </c>
      <c r="J68" s="27" t="s">
        <v>862</v>
      </c>
      <c r="K68" s="27" t="s">
        <v>377</v>
      </c>
      <c r="L68" s="27"/>
      <c r="M68" s="27"/>
      <c r="N68" s="27"/>
      <c r="O68" s="27"/>
      <c r="P68" s="27"/>
      <c r="Q68" s="27">
        <v>1</v>
      </c>
      <c r="R68" s="27"/>
      <c r="S68" s="27">
        <v>1</v>
      </c>
      <c r="T68" s="27"/>
      <c r="U68" s="27"/>
      <c r="V68" s="27"/>
      <c r="W68" s="27"/>
      <c r="X68" s="27"/>
      <c r="Y68" s="27"/>
      <c r="Z68" s="27" t="s">
        <v>1569</v>
      </c>
      <c r="AA68" s="29">
        <v>1.2</v>
      </c>
      <c r="AB68" s="30">
        <f>AA68/0.0052</f>
        <v>230.76923076923077</v>
      </c>
      <c r="AC68" s="50">
        <f>AB68*0.089*24*365/10^6</f>
        <v>0.17991692307692306</v>
      </c>
      <c r="AD68" s="30"/>
      <c r="AE68" s="30">
        <f>AB68</f>
        <v>230.76923076923077</v>
      </c>
      <c r="AF68" s="28" t="s">
        <v>1570</v>
      </c>
      <c r="AG68" s="28"/>
    </row>
    <row r="69" spans="1:33" ht="32.25" customHeight="1" x14ac:dyDescent="0.2">
      <c r="A69" s="27">
        <v>72</v>
      </c>
      <c r="B69" s="27" t="s">
        <v>1571</v>
      </c>
      <c r="C69" s="27" t="s">
        <v>343</v>
      </c>
      <c r="D69" s="27">
        <v>2018</v>
      </c>
      <c r="E69" s="27"/>
      <c r="F69" s="27" t="s">
        <v>836</v>
      </c>
      <c r="G69" s="27" t="s">
        <v>268</v>
      </c>
      <c r="H69" s="27"/>
      <c r="I69" s="27" t="s">
        <v>911</v>
      </c>
      <c r="J69" s="27"/>
      <c r="K69" s="27" t="s">
        <v>377</v>
      </c>
      <c r="L69" s="27"/>
      <c r="M69" s="27"/>
      <c r="N69" s="27"/>
      <c r="O69" s="27"/>
      <c r="P69" s="27"/>
      <c r="Q69" s="27"/>
      <c r="R69" s="27"/>
      <c r="S69" s="27"/>
      <c r="T69" s="27">
        <v>1</v>
      </c>
      <c r="U69" s="27">
        <v>1</v>
      </c>
      <c r="V69" s="27"/>
      <c r="W69" s="27"/>
      <c r="X69" s="27"/>
      <c r="Y69" s="27"/>
      <c r="Z69" s="27" t="s">
        <v>1572</v>
      </c>
      <c r="AA69" s="29">
        <v>1</v>
      </c>
      <c r="AB69" s="30">
        <v>200</v>
      </c>
      <c r="AC69" s="50">
        <f>AB69*0.089*24*365/10^6</f>
        <v>0.15592800000000004</v>
      </c>
      <c r="AD69" s="30"/>
      <c r="AE69" s="30">
        <f>AB69</f>
        <v>200</v>
      </c>
      <c r="AF69" s="28" t="s">
        <v>1573</v>
      </c>
      <c r="AG69" s="28"/>
    </row>
    <row r="70" spans="1:33" ht="32.25" customHeight="1" x14ac:dyDescent="0.2">
      <c r="A70" s="27">
        <v>73</v>
      </c>
      <c r="B70" s="27" t="s">
        <v>1574</v>
      </c>
      <c r="C70" s="27" t="s">
        <v>363</v>
      </c>
      <c r="D70" s="27">
        <v>2018</v>
      </c>
      <c r="E70" s="27"/>
      <c r="F70" s="27" t="s">
        <v>836</v>
      </c>
      <c r="G70" s="27" t="s">
        <v>266</v>
      </c>
      <c r="H70" s="27"/>
      <c r="I70" s="27" t="s">
        <v>911</v>
      </c>
      <c r="J70" s="27"/>
      <c r="K70" s="27" t="s">
        <v>377</v>
      </c>
      <c r="L70" s="27"/>
      <c r="M70" s="27"/>
      <c r="N70" s="27"/>
      <c r="O70" s="27"/>
      <c r="P70" s="27"/>
      <c r="Q70" s="27"/>
      <c r="R70" s="27">
        <v>1</v>
      </c>
      <c r="S70" s="27"/>
      <c r="T70" s="27"/>
      <c r="U70" s="27"/>
      <c r="V70" s="27"/>
      <c r="W70" s="27"/>
      <c r="X70" s="27"/>
      <c r="Y70" s="27"/>
      <c r="Z70" s="27" t="s">
        <v>1572</v>
      </c>
      <c r="AA70" s="29">
        <v>1</v>
      </c>
      <c r="AB70" s="30">
        <v>200</v>
      </c>
      <c r="AC70" s="50">
        <f>AB70*0.089*24*365/10^6</f>
        <v>0.15592800000000004</v>
      </c>
      <c r="AD70" s="30"/>
      <c r="AE70" s="30">
        <f>AB70</f>
        <v>200</v>
      </c>
      <c r="AF70" s="28" t="s">
        <v>1575</v>
      </c>
      <c r="AG70" s="28"/>
    </row>
    <row r="71" spans="1:33" ht="32.25" customHeight="1" x14ac:dyDescent="0.2">
      <c r="A71" s="27">
        <v>74</v>
      </c>
      <c r="B71" s="27" t="s">
        <v>1576</v>
      </c>
      <c r="C71" s="27" t="s">
        <v>804</v>
      </c>
      <c r="D71" s="27">
        <v>2018</v>
      </c>
      <c r="E71" s="27"/>
      <c r="F71" s="27" t="s">
        <v>836</v>
      </c>
      <c r="G71" s="27" t="s">
        <v>266</v>
      </c>
      <c r="H71" s="27"/>
      <c r="I71" s="27" t="s">
        <v>911</v>
      </c>
      <c r="J71" s="27"/>
      <c r="K71" s="27" t="s">
        <v>377</v>
      </c>
      <c r="L71" s="27"/>
      <c r="M71" s="27"/>
      <c r="N71" s="27"/>
      <c r="O71" s="27"/>
      <c r="P71" s="27"/>
      <c r="Q71" s="27">
        <v>1</v>
      </c>
      <c r="R71" s="27">
        <v>1</v>
      </c>
      <c r="S71" s="27"/>
      <c r="T71" s="27">
        <v>1</v>
      </c>
      <c r="U71" s="27"/>
      <c r="V71" s="27"/>
      <c r="W71" s="27"/>
      <c r="X71" s="27"/>
      <c r="Y71" s="27"/>
      <c r="Z71" s="27" t="s">
        <v>1459</v>
      </c>
      <c r="AA71" s="29">
        <v>1</v>
      </c>
      <c r="AB71" s="30">
        <f>AA71/0.0052</f>
        <v>192.30769230769232</v>
      </c>
      <c r="AC71" s="50">
        <f>AB71*0.089*24*365/10^6</f>
        <v>0.14993076923076926</v>
      </c>
      <c r="AD71" s="30"/>
      <c r="AE71" s="30">
        <f>AB71</f>
        <v>192.30769230769232</v>
      </c>
      <c r="AF71" s="28" t="s">
        <v>1577</v>
      </c>
      <c r="AG71" s="28"/>
    </row>
    <row r="72" spans="1:33" ht="32.25" customHeight="1" x14ac:dyDescent="0.2">
      <c r="A72" s="27">
        <v>75</v>
      </c>
      <c r="B72" s="27" t="s">
        <v>1578</v>
      </c>
      <c r="C72" s="27" t="s">
        <v>332</v>
      </c>
      <c r="D72" s="27">
        <v>2018</v>
      </c>
      <c r="E72" s="27"/>
      <c r="F72" s="27" t="s">
        <v>836</v>
      </c>
      <c r="G72" s="27" t="s">
        <v>268</v>
      </c>
      <c r="H72" s="27"/>
      <c r="I72" s="27" t="s">
        <v>911</v>
      </c>
      <c r="J72" s="27"/>
      <c r="K72" s="27" t="s">
        <v>377</v>
      </c>
      <c r="L72" s="27"/>
      <c r="M72" s="27"/>
      <c r="N72" s="27"/>
      <c r="O72" s="27"/>
      <c r="P72" s="27"/>
      <c r="Q72" s="27">
        <v>1</v>
      </c>
      <c r="R72" s="27"/>
      <c r="S72" s="27"/>
      <c r="T72" s="27"/>
      <c r="U72" s="27"/>
      <c r="V72" s="27"/>
      <c r="W72" s="27"/>
      <c r="X72" s="27"/>
      <c r="Y72" s="27"/>
      <c r="Z72" s="27" t="s">
        <v>1579</v>
      </c>
      <c r="AA72" s="29">
        <f>AB72*0.0046</f>
        <v>0.69</v>
      </c>
      <c r="AB72" s="30">
        <v>150</v>
      </c>
      <c r="AC72" s="50">
        <f>AB72*0.089*24*365/10^6</f>
        <v>0.11694599999999998</v>
      </c>
      <c r="AD72" s="30"/>
      <c r="AE72" s="30">
        <f>AB72</f>
        <v>150</v>
      </c>
      <c r="AF72" s="28" t="s">
        <v>1580</v>
      </c>
      <c r="AG72" s="28"/>
    </row>
    <row r="73" spans="1:33" ht="32.25" customHeight="1" x14ac:dyDescent="0.2">
      <c r="A73" s="27">
        <v>76</v>
      </c>
      <c r="B73" s="27" t="s">
        <v>1581</v>
      </c>
      <c r="C73" s="27" t="s">
        <v>341</v>
      </c>
      <c r="D73" s="27">
        <v>2018</v>
      </c>
      <c r="E73" s="27"/>
      <c r="F73" s="27" t="s">
        <v>836</v>
      </c>
      <c r="G73" s="27" t="s">
        <v>268</v>
      </c>
      <c r="H73" s="27"/>
      <c r="I73" s="27" t="s">
        <v>768</v>
      </c>
      <c r="J73" s="27" t="s">
        <v>861</v>
      </c>
      <c r="K73" s="27" t="s">
        <v>396</v>
      </c>
      <c r="L73" s="27"/>
      <c r="M73" s="27"/>
      <c r="N73" s="27"/>
      <c r="O73" s="27"/>
      <c r="P73" s="27"/>
      <c r="Q73" s="27"/>
      <c r="R73" s="27"/>
      <c r="S73" s="27"/>
      <c r="T73" s="27"/>
      <c r="U73" s="27"/>
      <c r="V73" s="27"/>
      <c r="W73" s="27"/>
      <c r="X73" s="27">
        <v>1</v>
      </c>
      <c r="Y73" s="27"/>
      <c r="Z73" s="27" t="s">
        <v>1582</v>
      </c>
      <c r="AA73" s="29">
        <v>0.6</v>
      </c>
      <c r="AB73" s="30">
        <f>AA73/0.0046</f>
        <v>130.43478260869566</v>
      </c>
      <c r="AC73" s="50">
        <f>AB73*0.089*24*365/10^6</f>
        <v>0.10169217391304347</v>
      </c>
      <c r="AD73" s="30"/>
      <c r="AE73" s="30">
        <f>AB73</f>
        <v>130.43478260869566</v>
      </c>
      <c r="AF73" s="28" t="s">
        <v>1583</v>
      </c>
      <c r="AG73" s="28"/>
    </row>
    <row r="74" spans="1:33" ht="32.25" customHeight="1" x14ac:dyDescent="0.2">
      <c r="A74" s="27">
        <v>77</v>
      </c>
      <c r="B74" s="27" t="s">
        <v>1584</v>
      </c>
      <c r="C74" s="27" t="s">
        <v>343</v>
      </c>
      <c r="D74" s="27">
        <v>2018</v>
      </c>
      <c r="E74" s="27"/>
      <c r="F74" s="27" t="s">
        <v>836</v>
      </c>
      <c r="G74" s="27" t="s">
        <v>266</v>
      </c>
      <c r="H74" s="27"/>
      <c r="I74" s="27" t="s">
        <v>768</v>
      </c>
      <c r="J74" s="27" t="s">
        <v>862</v>
      </c>
      <c r="K74" s="27" t="s">
        <v>377</v>
      </c>
      <c r="L74" s="27"/>
      <c r="M74" s="27"/>
      <c r="N74" s="27"/>
      <c r="O74" s="27"/>
      <c r="P74" s="27"/>
      <c r="Q74" s="27">
        <v>1</v>
      </c>
      <c r="R74" s="27">
        <v>1</v>
      </c>
      <c r="S74" s="27">
        <v>1</v>
      </c>
      <c r="T74" s="27"/>
      <c r="U74" s="27"/>
      <c r="V74" s="27"/>
      <c r="W74" s="27"/>
      <c r="X74" s="27"/>
      <c r="Y74" s="27"/>
      <c r="Z74" s="27" t="s">
        <v>1504</v>
      </c>
      <c r="AA74" s="29">
        <v>0.5</v>
      </c>
      <c r="AB74" s="30">
        <f>AA74/0.0052</f>
        <v>96.15384615384616</v>
      </c>
      <c r="AC74" s="50">
        <f>AB74*0.089*24*365/10^6</f>
        <v>7.4965384615384628E-2</v>
      </c>
      <c r="AD74" s="30"/>
      <c r="AE74" s="30">
        <f>AB74</f>
        <v>96.15384615384616</v>
      </c>
      <c r="AF74" s="28" t="s">
        <v>1585</v>
      </c>
      <c r="AG74" s="28"/>
    </row>
    <row r="75" spans="1:33" ht="32.25" customHeight="1" x14ac:dyDescent="0.2">
      <c r="A75" s="27">
        <v>80</v>
      </c>
      <c r="B75" s="27" t="s">
        <v>1586</v>
      </c>
      <c r="C75" s="27" t="s">
        <v>804</v>
      </c>
      <c r="D75" s="27">
        <v>2018</v>
      </c>
      <c r="E75" s="27"/>
      <c r="F75" s="27" t="s">
        <v>836</v>
      </c>
      <c r="G75" s="27" t="s">
        <v>266</v>
      </c>
      <c r="H75" s="27"/>
      <c r="I75" s="27" t="s">
        <v>768</v>
      </c>
      <c r="J75" s="27" t="s">
        <v>862</v>
      </c>
      <c r="K75" s="27" t="s">
        <v>377</v>
      </c>
      <c r="L75" s="27"/>
      <c r="M75" s="27"/>
      <c r="N75" s="27"/>
      <c r="O75" s="27"/>
      <c r="P75" s="27"/>
      <c r="Q75" s="27"/>
      <c r="R75" s="27"/>
      <c r="S75" s="27">
        <v>1</v>
      </c>
      <c r="T75" s="27"/>
      <c r="U75" s="27"/>
      <c r="V75" s="27"/>
      <c r="W75" s="27"/>
      <c r="X75" s="27"/>
      <c r="Y75" s="27"/>
      <c r="Z75" s="27" t="s">
        <v>1587</v>
      </c>
      <c r="AA75" s="29">
        <v>0.22500000000000001</v>
      </c>
      <c r="AB75" s="30">
        <f>AA75/0.0052</f>
        <v>43.269230769230774</v>
      </c>
      <c r="AC75" s="50">
        <f>AB75*0.089*24*365/10^6</f>
        <v>3.3734423076923079E-2</v>
      </c>
      <c r="AD75" s="30"/>
      <c r="AE75" s="30">
        <f>AB75</f>
        <v>43.269230769230774</v>
      </c>
      <c r="AF75" s="28" t="s">
        <v>1588</v>
      </c>
      <c r="AG75" s="28"/>
    </row>
    <row r="76" spans="1:33" ht="32.25" customHeight="1" x14ac:dyDescent="0.2">
      <c r="A76" s="27">
        <v>82</v>
      </c>
      <c r="B76" s="27" t="s">
        <v>1590</v>
      </c>
      <c r="C76" s="27" t="s">
        <v>342</v>
      </c>
      <c r="D76" s="27">
        <v>2018</v>
      </c>
      <c r="E76" s="27"/>
      <c r="F76" s="27" t="s">
        <v>836</v>
      </c>
      <c r="G76" s="27" t="s">
        <v>266</v>
      </c>
      <c r="H76" s="27"/>
      <c r="I76" s="27" t="s">
        <v>866</v>
      </c>
      <c r="J76" s="27"/>
      <c r="K76" s="27" t="s">
        <v>396</v>
      </c>
      <c r="L76" s="27"/>
      <c r="M76" s="27"/>
      <c r="N76" s="27"/>
      <c r="O76" s="27"/>
      <c r="P76" s="27"/>
      <c r="Q76" s="27"/>
      <c r="R76" s="27"/>
      <c r="S76" s="27"/>
      <c r="T76" s="27"/>
      <c r="U76" s="27"/>
      <c r="V76" s="27"/>
      <c r="W76" s="27"/>
      <c r="X76" s="27">
        <v>1</v>
      </c>
      <c r="Y76" s="27"/>
      <c r="Z76" s="27" t="s">
        <v>1591</v>
      </c>
      <c r="AA76" s="29">
        <v>0.2</v>
      </c>
      <c r="AB76" s="30">
        <f>AA76/0.0052</f>
        <v>38.461538461538467</v>
      </c>
      <c r="AC76" s="50">
        <f>AB76*0.089*24*365/10^6</f>
        <v>2.9986153846153846E-2</v>
      </c>
      <c r="AD76" s="30"/>
      <c r="AE76" s="30">
        <f>AB76</f>
        <v>38.461538461538467</v>
      </c>
      <c r="AF76" s="28" t="s">
        <v>1514</v>
      </c>
      <c r="AG76" s="28"/>
    </row>
    <row r="77" spans="1:33" ht="32.25" customHeight="1" x14ac:dyDescent="0.2">
      <c r="A77" s="27">
        <v>83</v>
      </c>
      <c r="B77" s="27" t="s">
        <v>1592</v>
      </c>
      <c r="C77" s="27" t="s">
        <v>331</v>
      </c>
      <c r="D77" s="27">
        <v>2018</v>
      </c>
      <c r="E77" s="27"/>
      <c r="F77" s="27" t="s">
        <v>836</v>
      </c>
      <c r="G77" s="27" t="s">
        <v>266</v>
      </c>
      <c r="H77" s="27"/>
      <c r="I77" s="27" t="s">
        <v>911</v>
      </c>
      <c r="J77" s="27"/>
      <c r="K77" s="27" t="s">
        <v>377</v>
      </c>
      <c r="L77" s="27"/>
      <c r="M77" s="27"/>
      <c r="N77" s="27"/>
      <c r="O77" s="27"/>
      <c r="P77" s="27"/>
      <c r="Q77" s="27">
        <v>1</v>
      </c>
      <c r="R77" s="27"/>
      <c r="S77" s="27"/>
      <c r="T77" s="27"/>
      <c r="U77" s="27"/>
      <c r="V77" s="27"/>
      <c r="W77" s="27"/>
      <c r="X77" s="27"/>
      <c r="Y77" s="27"/>
      <c r="Z77" s="27" t="s">
        <v>1593</v>
      </c>
      <c r="AA77" s="29">
        <f>AB77*0.0052</f>
        <v>0.19239999999999999</v>
      </c>
      <c r="AB77" s="30">
        <v>37</v>
      </c>
      <c r="AC77" s="50">
        <f>AB77*0.089*24*365/10^6</f>
        <v>2.884668E-2</v>
      </c>
      <c r="AD77" s="30"/>
      <c r="AE77" s="30">
        <f>AB77</f>
        <v>37</v>
      </c>
      <c r="AF77" s="28" t="s">
        <v>1594</v>
      </c>
      <c r="AG77" s="28"/>
    </row>
    <row r="78" spans="1:33" ht="32.25" customHeight="1" x14ac:dyDescent="0.2">
      <c r="A78" s="27">
        <v>85</v>
      </c>
      <c r="B78" s="27" t="s">
        <v>1595</v>
      </c>
      <c r="C78" s="27" t="s">
        <v>338</v>
      </c>
      <c r="D78" s="27">
        <v>2018</v>
      </c>
      <c r="E78" s="27"/>
      <c r="F78" s="27" t="s">
        <v>836</v>
      </c>
      <c r="G78" s="27" t="s">
        <v>758</v>
      </c>
      <c r="H78" s="27" t="s">
        <v>1406</v>
      </c>
      <c r="I78" s="27" t="s">
        <v>768</v>
      </c>
      <c r="J78" s="27" t="s">
        <v>861</v>
      </c>
      <c r="K78" s="27" t="s">
        <v>377</v>
      </c>
      <c r="L78" s="27"/>
      <c r="M78" s="27"/>
      <c r="N78" s="27"/>
      <c r="O78" s="27"/>
      <c r="P78" s="27"/>
      <c r="Q78" s="27">
        <v>1</v>
      </c>
      <c r="R78" s="27"/>
      <c r="S78" s="27"/>
      <c r="T78" s="27"/>
      <c r="U78" s="27"/>
      <c r="V78" s="27"/>
      <c r="W78" s="27"/>
      <c r="X78" s="27"/>
      <c r="Y78" s="27"/>
      <c r="Z78" s="27" t="s">
        <v>1596</v>
      </c>
      <c r="AA78" s="29">
        <f>AB78*0.0045</f>
        <v>0.11249999999999999</v>
      </c>
      <c r="AB78" s="30">
        <v>25</v>
      </c>
      <c r="AC78" s="50">
        <f>AB78*0.089*24*365/10^6</f>
        <v>1.9491000000000005E-2</v>
      </c>
      <c r="AD78" s="30"/>
      <c r="AE78" s="30">
        <f>AB78</f>
        <v>25</v>
      </c>
      <c r="AF78" s="28"/>
      <c r="AG78" s="28"/>
    </row>
    <row r="79" spans="1:33" ht="32.25" customHeight="1" x14ac:dyDescent="0.2">
      <c r="A79" s="27">
        <v>87</v>
      </c>
      <c r="B79" s="27" t="s">
        <v>1597</v>
      </c>
      <c r="C79" s="27" t="s">
        <v>804</v>
      </c>
      <c r="D79" s="27">
        <v>2018</v>
      </c>
      <c r="E79" s="27"/>
      <c r="F79" s="27" t="s">
        <v>836</v>
      </c>
      <c r="G79" s="27" t="s">
        <v>266</v>
      </c>
      <c r="H79" s="27"/>
      <c r="I79" s="27" t="s">
        <v>911</v>
      </c>
      <c r="J79" s="27"/>
      <c r="K79" s="27" t="s">
        <v>396</v>
      </c>
      <c r="L79" s="27"/>
      <c r="M79" s="27"/>
      <c r="N79" s="27"/>
      <c r="O79" s="27"/>
      <c r="P79" s="27"/>
      <c r="Q79" s="27"/>
      <c r="R79" s="27"/>
      <c r="S79" s="27"/>
      <c r="T79" s="27"/>
      <c r="U79" s="27"/>
      <c r="V79" s="27"/>
      <c r="W79" s="27"/>
      <c r="X79" s="27">
        <v>1</v>
      </c>
      <c r="Y79" s="27"/>
      <c r="Z79" s="27" t="s">
        <v>1598</v>
      </c>
      <c r="AA79" s="29">
        <v>0.05</v>
      </c>
      <c r="AB79" s="30">
        <f>AA79/0.0052</f>
        <v>9.6153846153846168</v>
      </c>
      <c r="AC79" s="50">
        <f>AB79*0.089*24*365/10^6</f>
        <v>7.4965384615384616E-3</v>
      </c>
      <c r="AD79" s="30"/>
      <c r="AE79" s="30">
        <f>AB79</f>
        <v>9.6153846153846168</v>
      </c>
      <c r="AF79" s="28"/>
      <c r="AG79" s="28"/>
    </row>
    <row r="80" spans="1:33" ht="32.25" customHeight="1" x14ac:dyDescent="0.2">
      <c r="A80" s="27">
        <v>88</v>
      </c>
      <c r="B80" s="27" t="s">
        <v>1599</v>
      </c>
      <c r="C80" s="27" t="s">
        <v>980</v>
      </c>
      <c r="D80" s="27">
        <v>2018</v>
      </c>
      <c r="E80" s="27"/>
      <c r="F80" s="27" t="s">
        <v>836</v>
      </c>
      <c r="G80" s="27" t="s">
        <v>267</v>
      </c>
      <c r="H80" s="27"/>
      <c r="I80" s="27" t="s">
        <v>911</v>
      </c>
      <c r="J80" s="27"/>
      <c r="K80" s="27" t="s">
        <v>396</v>
      </c>
      <c r="L80" s="27"/>
      <c r="M80" s="27"/>
      <c r="N80" s="27"/>
      <c r="O80" s="27"/>
      <c r="P80" s="27"/>
      <c r="Q80" s="27"/>
      <c r="R80" s="27"/>
      <c r="S80" s="27"/>
      <c r="T80" s="27"/>
      <c r="U80" s="27"/>
      <c r="V80" s="27"/>
      <c r="W80" s="27"/>
      <c r="X80" s="27">
        <v>1</v>
      </c>
      <c r="Y80" s="27"/>
      <c r="Z80" s="27" t="s">
        <v>1600</v>
      </c>
      <c r="AA80" s="29">
        <f>AB80*0.0038</f>
        <v>3.3440000000000004E-2</v>
      </c>
      <c r="AB80" s="30">
        <v>8.8000000000000007</v>
      </c>
      <c r="AC80" s="50">
        <f>AB80*0.089*24*365/10^6</f>
        <v>6.8608320000000007E-3</v>
      </c>
      <c r="AD80" s="30"/>
      <c r="AE80" s="30">
        <f>AB80</f>
        <v>8.8000000000000007</v>
      </c>
      <c r="AF80" s="28" t="s">
        <v>1601</v>
      </c>
      <c r="AG80" s="28"/>
    </row>
    <row r="81" spans="1:33" ht="32.25" customHeight="1" x14ac:dyDescent="0.2">
      <c r="A81" s="27">
        <v>89</v>
      </c>
      <c r="B81" s="27" t="s">
        <v>1602</v>
      </c>
      <c r="C81" s="27" t="s">
        <v>342</v>
      </c>
      <c r="D81" s="27">
        <v>2018</v>
      </c>
      <c r="E81" s="27"/>
      <c r="F81" s="27" t="s">
        <v>836</v>
      </c>
      <c r="G81" s="27" t="s">
        <v>267</v>
      </c>
      <c r="H81" s="27"/>
      <c r="I81" s="27" t="s">
        <v>911</v>
      </c>
      <c r="J81" s="27"/>
      <c r="K81" s="27" t="s">
        <v>377</v>
      </c>
      <c r="L81" s="27"/>
      <c r="M81" s="27"/>
      <c r="N81" s="27"/>
      <c r="O81" s="27"/>
      <c r="P81" s="27"/>
      <c r="Q81" s="27"/>
      <c r="R81" s="27">
        <v>1</v>
      </c>
      <c r="S81" s="27"/>
      <c r="T81" s="27"/>
      <c r="U81" s="27"/>
      <c r="V81" s="27"/>
      <c r="W81" s="27"/>
      <c r="X81" s="27"/>
      <c r="Y81" s="27"/>
      <c r="Z81" s="27" t="s">
        <v>1603</v>
      </c>
      <c r="AA81" s="29">
        <f>AB81*0.0038</f>
        <v>3.7999999999999999E-2</v>
      </c>
      <c r="AB81" s="30">
        <v>10</v>
      </c>
      <c r="AC81" s="30">
        <f>AB81*0.089*24*365/10^6</f>
        <v>7.7963999999999993E-3</v>
      </c>
      <c r="AD81" s="30"/>
      <c r="AE81" s="30">
        <f>AB81</f>
        <v>10</v>
      </c>
      <c r="AF81" s="28" t="s">
        <v>1604</v>
      </c>
      <c r="AG81" s="28"/>
    </row>
    <row r="82" spans="1:33" ht="32.25" customHeight="1" x14ac:dyDescent="0.2">
      <c r="A82" s="27">
        <v>90</v>
      </c>
      <c r="B82" s="27" t="s">
        <v>1605</v>
      </c>
      <c r="C82" s="27" t="s">
        <v>339</v>
      </c>
      <c r="D82" s="27">
        <v>2018</v>
      </c>
      <c r="E82" s="27"/>
      <c r="F82" s="27" t="s">
        <v>836</v>
      </c>
      <c r="G82" s="27" t="s">
        <v>266</v>
      </c>
      <c r="H82" s="27"/>
      <c r="I82" s="27" t="s">
        <v>911</v>
      </c>
      <c r="J82" s="27"/>
      <c r="K82" s="27" t="s">
        <v>377</v>
      </c>
      <c r="L82" s="27"/>
      <c r="M82" s="27"/>
      <c r="N82" s="27"/>
      <c r="O82" s="27"/>
      <c r="P82" s="27"/>
      <c r="Q82" s="27"/>
      <c r="R82" s="27">
        <v>1</v>
      </c>
      <c r="S82" s="27"/>
      <c r="T82" s="27"/>
      <c r="U82" s="27"/>
      <c r="V82" s="27"/>
      <c r="W82" s="27"/>
      <c r="X82" s="27"/>
      <c r="Y82" s="27"/>
      <c r="Z82" s="27" t="s">
        <v>1533</v>
      </c>
      <c r="AA82" s="29">
        <v>2.5000000000000001E-2</v>
      </c>
      <c r="AB82" s="30">
        <f>AA82/0.0052</f>
        <v>4.8076923076923084</v>
      </c>
      <c r="AC82" s="30">
        <f>AB82*0.089*24*365/10^6</f>
        <v>3.7482692307692308E-3</v>
      </c>
      <c r="AD82" s="30"/>
      <c r="AE82" s="30">
        <f>AB82</f>
        <v>4.8076923076923084</v>
      </c>
      <c r="AF82" s="28" t="s">
        <v>1606</v>
      </c>
      <c r="AG82" s="28"/>
    </row>
    <row r="83" spans="1:33" ht="32.25" customHeight="1" x14ac:dyDescent="0.2">
      <c r="A83" s="27">
        <v>92</v>
      </c>
      <c r="B83" s="27" t="s">
        <v>1608</v>
      </c>
      <c r="C83" s="27" t="s">
        <v>804</v>
      </c>
      <c r="D83" s="27">
        <v>2018</v>
      </c>
      <c r="E83" s="27"/>
      <c r="F83" s="27" t="s">
        <v>836</v>
      </c>
      <c r="G83" s="27" t="s">
        <v>268</v>
      </c>
      <c r="H83" s="27"/>
      <c r="I83" s="27" t="s">
        <v>866</v>
      </c>
      <c r="J83" s="27"/>
      <c r="K83" s="27" t="s">
        <v>396</v>
      </c>
      <c r="L83" s="27"/>
      <c r="M83" s="27"/>
      <c r="N83" s="27"/>
      <c r="O83" s="27"/>
      <c r="P83" s="27"/>
      <c r="Q83" s="27"/>
      <c r="R83" s="27"/>
      <c r="S83" s="27"/>
      <c r="T83" s="27"/>
      <c r="U83" s="27"/>
      <c r="V83" s="27"/>
      <c r="W83" s="27"/>
      <c r="X83" s="27">
        <v>1</v>
      </c>
      <c r="Y83" s="27"/>
      <c r="Z83" s="27" t="s">
        <v>1609</v>
      </c>
      <c r="AA83" s="29">
        <f>AB83*0.0046</f>
        <v>1.84E-2</v>
      </c>
      <c r="AB83" s="30">
        <v>4</v>
      </c>
      <c r="AC83" s="30">
        <f>AB83*0.089*24*365/10^6</f>
        <v>3.1185600000000003E-3</v>
      </c>
      <c r="AD83" s="30"/>
      <c r="AE83" s="30">
        <f>AB83</f>
        <v>4</v>
      </c>
      <c r="AF83" s="28" t="s">
        <v>1610</v>
      </c>
      <c r="AG83" s="28"/>
    </row>
    <row r="84" spans="1:33" ht="32.25" customHeight="1" x14ac:dyDescent="0.2">
      <c r="A84" s="27">
        <v>93</v>
      </c>
      <c r="B84" s="27" t="s">
        <v>1611</v>
      </c>
      <c r="C84" s="27" t="s">
        <v>339</v>
      </c>
      <c r="D84" s="27">
        <v>2018</v>
      </c>
      <c r="E84" s="27"/>
      <c r="F84" s="27" t="s">
        <v>836</v>
      </c>
      <c r="G84" s="27" t="s">
        <v>266</v>
      </c>
      <c r="H84" s="27"/>
      <c r="I84" s="27" t="s">
        <v>911</v>
      </c>
      <c r="J84" s="27"/>
      <c r="K84" s="27" t="s">
        <v>377</v>
      </c>
      <c r="L84" s="27"/>
      <c r="M84" s="27"/>
      <c r="N84" s="27"/>
      <c r="O84" s="27"/>
      <c r="P84" s="27"/>
      <c r="Q84" s="27"/>
      <c r="R84" s="27">
        <v>1</v>
      </c>
      <c r="S84" s="27"/>
      <c r="T84" s="27"/>
      <c r="U84" s="27"/>
      <c r="V84" s="27"/>
      <c r="W84" s="27"/>
      <c r="X84" s="27"/>
      <c r="Y84" s="27"/>
      <c r="Z84" s="27" t="s">
        <v>1612</v>
      </c>
      <c r="AA84" s="29">
        <f>AB84*0.0052</f>
        <v>5.1999999999999998E-3</v>
      </c>
      <c r="AB84" s="30">
        <v>1</v>
      </c>
      <c r="AC84" s="30">
        <f>AB84*0.089*24*365/10^6</f>
        <v>7.7964000000000006E-4</v>
      </c>
      <c r="AD84" s="30"/>
      <c r="AE84" s="30">
        <f>AB84</f>
        <v>1</v>
      </c>
      <c r="AF84" s="28" t="s">
        <v>1613</v>
      </c>
      <c r="AG84" s="28"/>
    </row>
    <row r="85" spans="1:33" ht="32.25" customHeight="1" x14ac:dyDescent="0.2">
      <c r="A85" s="27">
        <v>94</v>
      </c>
      <c r="B85" s="27" t="s">
        <v>1614</v>
      </c>
      <c r="C85" s="27" t="s">
        <v>339</v>
      </c>
      <c r="D85" s="27">
        <v>2018</v>
      </c>
      <c r="E85" s="27"/>
      <c r="F85" s="27" t="s">
        <v>836</v>
      </c>
      <c r="G85" s="27" t="s">
        <v>266</v>
      </c>
      <c r="H85" s="27"/>
      <c r="I85" s="27" t="s">
        <v>911</v>
      </c>
      <c r="J85" s="27"/>
      <c r="K85" s="27" t="s">
        <v>377</v>
      </c>
      <c r="L85" s="27"/>
      <c r="M85" s="27"/>
      <c r="N85" s="27"/>
      <c r="O85" s="27"/>
      <c r="P85" s="27"/>
      <c r="Q85" s="27"/>
      <c r="R85" s="27"/>
      <c r="S85" s="27"/>
      <c r="T85" s="27">
        <v>1</v>
      </c>
      <c r="U85" s="27"/>
      <c r="V85" s="27"/>
      <c r="W85" s="27"/>
      <c r="X85" s="27"/>
      <c r="Y85" s="27"/>
      <c r="Z85" s="27" t="s">
        <v>1612</v>
      </c>
      <c r="AA85" s="29">
        <f>AB85*0.0052</f>
        <v>5.1999999999999998E-3</v>
      </c>
      <c r="AB85" s="30">
        <v>1</v>
      </c>
      <c r="AC85" s="30">
        <f>AB85*0.089*24*365/10^6</f>
        <v>7.7964000000000006E-4</v>
      </c>
      <c r="AD85" s="30"/>
      <c r="AE85" s="30">
        <f>AB85</f>
        <v>1</v>
      </c>
      <c r="AF85" s="28"/>
      <c r="AG85" s="28"/>
    </row>
    <row r="86" spans="1:33" ht="32.25" customHeight="1" x14ac:dyDescent="0.2">
      <c r="A86" s="27">
        <v>95</v>
      </c>
      <c r="B86" s="27" t="s">
        <v>1615</v>
      </c>
      <c r="C86" s="27" t="s">
        <v>804</v>
      </c>
      <c r="D86" s="27">
        <v>2018</v>
      </c>
      <c r="E86" s="27"/>
      <c r="F86" s="27" t="s">
        <v>836</v>
      </c>
      <c r="G86" s="27" t="s">
        <v>758</v>
      </c>
      <c r="H86" s="27" t="s">
        <v>1406</v>
      </c>
      <c r="I86" s="27" t="s">
        <v>911</v>
      </c>
      <c r="J86" s="27"/>
      <c r="K86" s="27" t="s">
        <v>396</v>
      </c>
      <c r="L86" s="27"/>
      <c r="M86" s="27"/>
      <c r="N86" s="27"/>
      <c r="O86" s="27"/>
      <c r="P86" s="27"/>
      <c r="Q86" s="27"/>
      <c r="R86" s="27"/>
      <c r="S86" s="27"/>
      <c r="T86" s="27"/>
      <c r="U86" s="27"/>
      <c r="V86" s="27"/>
      <c r="W86" s="27"/>
      <c r="X86" s="27">
        <v>1</v>
      </c>
      <c r="Y86" s="27"/>
      <c r="Z86" s="27" t="s">
        <v>1616</v>
      </c>
      <c r="AA86" s="29">
        <f>AB86*0.0045</f>
        <v>1.1249999999999999E-3</v>
      </c>
      <c r="AB86" s="30">
        <v>0.25</v>
      </c>
      <c r="AC86" s="30">
        <f>AB86*0.089*24*365/10^6</f>
        <v>1.9491000000000002E-4</v>
      </c>
      <c r="AD86" s="30"/>
      <c r="AE86" s="30">
        <f>AB86</f>
        <v>0.25</v>
      </c>
      <c r="AF86" s="28" t="s">
        <v>1617</v>
      </c>
      <c r="AG86" s="28"/>
    </row>
    <row r="87" spans="1:33" ht="32.25" customHeight="1" x14ac:dyDescent="0.2">
      <c r="A87" s="27">
        <v>96</v>
      </c>
      <c r="B87" s="27" t="s">
        <v>1618</v>
      </c>
      <c r="C87" s="27" t="s">
        <v>360</v>
      </c>
      <c r="D87" s="27">
        <v>2018</v>
      </c>
      <c r="E87" s="27"/>
      <c r="F87" s="27" t="s">
        <v>836</v>
      </c>
      <c r="G87" s="27" t="s">
        <v>266</v>
      </c>
      <c r="H87" s="27"/>
      <c r="I87" s="27" t="s">
        <v>911</v>
      </c>
      <c r="J87" s="27"/>
      <c r="K87" s="27" t="s">
        <v>377</v>
      </c>
      <c r="L87" s="27"/>
      <c r="M87" s="27"/>
      <c r="N87" s="27"/>
      <c r="O87" s="27"/>
      <c r="P87" s="27"/>
      <c r="Q87" s="27">
        <v>1</v>
      </c>
      <c r="R87" s="27"/>
      <c r="S87" s="27"/>
      <c r="T87" s="27"/>
      <c r="U87" s="27"/>
      <c r="V87" s="27"/>
      <c r="W87" s="27"/>
      <c r="X87" s="27"/>
      <c r="Y87" s="27"/>
      <c r="Z87" s="27"/>
      <c r="AA87" s="29"/>
      <c r="AB87" s="30"/>
      <c r="AC87" s="50"/>
      <c r="AD87" s="30"/>
      <c r="AE87" s="30"/>
      <c r="AF87" s="28" t="s">
        <v>1619</v>
      </c>
      <c r="AG87" s="28"/>
    </row>
    <row r="88" spans="1:33" ht="32.25" customHeight="1" x14ac:dyDescent="0.2">
      <c r="A88" s="27">
        <v>97</v>
      </c>
      <c r="B88" s="27" t="s">
        <v>1620</v>
      </c>
      <c r="C88" s="27" t="s">
        <v>343</v>
      </c>
      <c r="D88" s="27">
        <v>2035</v>
      </c>
      <c r="E88" s="27"/>
      <c r="F88" s="27" t="s">
        <v>832</v>
      </c>
      <c r="G88" s="27" t="s">
        <v>760</v>
      </c>
      <c r="H88" s="27" t="s">
        <v>1437</v>
      </c>
      <c r="I88" s="27"/>
      <c r="J88" s="27"/>
      <c r="K88" s="27" t="s">
        <v>377</v>
      </c>
      <c r="L88" s="27">
        <v>1</v>
      </c>
      <c r="M88" s="27"/>
      <c r="N88" s="27"/>
      <c r="O88" s="27"/>
      <c r="P88" s="27">
        <v>1</v>
      </c>
      <c r="Q88" s="27">
        <v>1</v>
      </c>
      <c r="R88" s="27"/>
      <c r="S88" s="27">
        <v>1</v>
      </c>
      <c r="T88" s="27"/>
      <c r="U88" s="27"/>
      <c r="V88" s="27"/>
      <c r="W88" s="27"/>
      <c r="X88" s="27"/>
      <c r="Y88" s="27"/>
      <c r="Z88" s="27" t="s">
        <v>3296</v>
      </c>
      <c r="AA88" s="29"/>
      <c r="AB88" s="30">
        <f>IF(OR(G88="ALK",G88="PEM",G88="SOEC",G88="Other Electrolysis"),
AA88/VLOOKUP(G88,ElectrolysisConvF,3,FALSE),
AC88*10^6/(H2dens*HoursInYear))</f>
        <v>3890730.3370786519</v>
      </c>
      <c r="AC88" s="50">
        <f>12150*365*24*0.95*3.6/120/1000</f>
        <v>3033.3690000000001</v>
      </c>
      <c r="AD88" s="30">
        <v>20000000</v>
      </c>
      <c r="AE88" s="53">
        <f>AD88*1000/(24*365*0.9105)</f>
        <v>2507528.8553883033</v>
      </c>
      <c r="AF88" s="28" t="s">
        <v>1621</v>
      </c>
      <c r="AG88" s="28"/>
    </row>
    <row r="89" spans="1:33" ht="32.25" customHeight="1" x14ac:dyDescent="0.2">
      <c r="A89" s="27">
        <v>98</v>
      </c>
      <c r="B89" s="27" t="s">
        <v>1622</v>
      </c>
      <c r="C89" s="27" t="s">
        <v>343</v>
      </c>
      <c r="D89" s="27">
        <v>2025</v>
      </c>
      <c r="E89" s="27"/>
      <c r="F89" s="27" t="s">
        <v>832</v>
      </c>
      <c r="G89" s="27" t="s">
        <v>760</v>
      </c>
      <c r="H89" s="27" t="s">
        <v>1437</v>
      </c>
      <c r="I89" s="27"/>
      <c r="J89" s="27"/>
      <c r="K89" s="27" t="s">
        <v>377</v>
      </c>
      <c r="L89" s="27">
        <v>1</v>
      </c>
      <c r="M89" s="27"/>
      <c r="N89" s="27"/>
      <c r="O89" s="27"/>
      <c r="P89" s="27">
        <v>1</v>
      </c>
      <c r="Q89" s="27">
        <v>1</v>
      </c>
      <c r="R89" s="27">
        <v>1</v>
      </c>
      <c r="S89" s="27">
        <v>1</v>
      </c>
      <c r="T89" s="27"/>
      <c r="U89" s="27"/>
      <c r="V89" s="27"/>
      <c r="W89" s="27"/>
      <c r="X89" s="27"/>
      <c r="Y89" s="27"/>
      <c r="Z89" s="27"/>
      <c r="AA89" s="29"/>
      <c r="AB89" s="30"/>
      <c r="AC89" s="50"/>
      <c r="AD89" s="30"/>
      <c r="AE89" s="53"/>
      <c r="AF89" s="28" t="s">
        <v>1438</v>
      </c>
      <c r="AG89" s="28"/>
    </row>
    <row r="90" spans="1:33" ht="32.25" customHeight="1" x14ac:dyDescent="0.2">
      <c r="A90" s="27">
        <v>111</v>
      </c>
      <c r="B90" s="27" t="s">
        <v>3313</v>
      </c>
      <c r="C90" s="27" t="s">
        <v>343</v>
      </c>
      <c r="D90" s="27">
        <v>2025</v>
      </c>
      <c r="E90" s="27"/>
      <c r="F90" s="27" t="s">
        <v>832</v>
      </c>
      <c r="G90" s="27" t="s">
        <v>760</v>
      </c>
      <c r="H90" s="27" t="s">
        <v>1437</v>
      </c>
      <c r="I90" s="27"/>
      <c r="J90" s="27"/>
      <c r="K90" s="27" t="s">
        <v>377</v>
      </c>
      <c r="L90" s="27">
        <v>1</v>
      </c>
      <c r="M90" s="27"/>
      <c r="N90" s="27"/>
      <c r="O90" s="27"/>
      <c r="P90" s="27">
        <v>1</v>
      </c>
      <c r="Q90" s="27">
        <v>1</v>
      </c>
      <c r="R90" s="27">
        <v>1</v>
      </c>
      <c r="S90" s="27">
        <v>1</v>
      </c>
      <c r="T90" s="27"/>
      <c r="U90" s="27"/>
      <c r="V90" s="27"/>
      <c r="W90" s="27"/>
      <c r="X90" s="27"/>
      <c r="Y90" s="27"/>
      <c r="Z90" s="27" t="s">
        <v>1624</v>
      </c>
      <c r="AA90" s="29"/>
      <c r="AB90" s="30">
        <f>AC90/365/24/0.089*10^6</f>
        <v>115437.89441280592</v>
      </c>
      <c r="AC90" s="30">
        <f>3*3.6/0.12</f>
        <v>90.000000000000014</v>
      </c>
      <c r="AD90" s="30">
        <f>0.9105*AB90*0.9*365*24/1000</f>
        <v>828657.30337078671</v>
      </c>
      <c r="AE90" s="30">
        <f>AB90*0.9</f>
        <v>103894.10497152533</v>
      </c>
      <c r="AF90" s="28" t="s">
        <v>1625</v>
      </c>
      <c r="AG90" s="28"/>
    </row>
    <row r="91" spans="1:33" ht="32.25" customHeight="1" x14ac:dyDescent="0.2">
      <c r="A91" s="27">
        <v>113</v>
      </c>
      <c r="B91" s="27" t="s">
        <v>1626</v>
      </c>
      <c r="C91" s="27" t="s">
        <v>338</v>
      </c>
      <c r="D91" s="27">
        <v>2035</v>
      </c>
      <c r="E91" s="27"/>
      <c r="F91" s="27" t="s">
        <v>1336</v>
      </c>
      <c r="G91" s="27" t="s">
        <v>758</v>
      </c>
      <c r="H91" s="27" t="s">
        <v>1406</v>
      </c>
      <c r="I91" s="27" t="s">
        <v>768</v>
      </c>
      <c r="J91" s="27" t="s">
        <v>865</v>
      </c>
      <c r="K91" s="27" t="s">
        <v>377</v>
      </c>
      <c r="L91" s="27"/>
      <c r="M91" s="27"/>
      <c r="N91" s="27"/>
      <c r="O91" s="27"/>
      <c r="P91" s="27"/>
      <c r="Q91" s="27"/>
      <c r="R91" s="27"/>
      <c r="S91" s="27"/>
      <c r="T91" s="27"/>
      <c r="U91" s="27"/>
      <c r="V91" s="27"/>
      <c r="W91" s="27"/>
      <c r="X91" s="27"/>
      <c r="Y91" s="27"/>
      <c r="Z91" s="27" t="s">
        <v>2868</v>
      </c>
      <c r="AA91" s="29">
        <f>AB91*0.0045</f>
        <v>5771.8947206402945</v>
      </c>
      <c r="AB91" s="30">
        <f>AC91/(0.089*24*365/10^6)</f>
        <v>1282643.2712533989</v>
      </c>
      <c r="AC91" s="30">
        <v>1000</v>
      </c>
      <c r="AD91" s="30"/>
      <c r="AE91" s="30"/>
      <c r="AF91" s="28" t="s">
        <v>1627</v>
      </c>
      <c r="AG91" s="28"/>
    </row>
    <row r="92" spans="1:33" ht="32.25" customHeight="1" x14ac:dyDescent="0.2">
      <c r="A92" s="27">
        <v>115</v>
      </c>
      <c r="B92" s="27" t="s">
        <v>1628</v>
      </c>
      <c r="C92" s="27" t="s">
        <v>804</v>
      </c>
      <c r="D92" s="27">
        <v>2017</v>
      </c>
      <c r="E92" s="27"/>
      <c r="F92" s="27" t="s">
        <v>836</v>
      </c>
      <c r="G92" s="27" t="s">
        <v>268</v>
      </c>
      <c r="H92" s="27"/>
      <c r="I92" s="27" t="s">
        <v>911</v>
      </c>
      <c r="J92" s="27"/>
      <c r="K92" s="27" t="s">
        <v>377</v>
      </c>
      <c r="L92" s="27"/>
      <c r="M92" s="27"/>
      <c r="N92" s="27"/>
      <c r="O92" s="27"/>
      <c r="P92" s="27"/>
      <c r="Q92" s="27"/>
      <c r="R92" s="27">
        <v>1</v>
      </c>
      <c r="S92" s="27"/>
      <c r="T92" s="27">
        <v>1</v>
      </c>
      <c r="U92" s="27"/>
      <c r="V92" s="27"/>
      <c r="W92" s="27"/>
      <c r="X92" s="27"/>
      <c r="Y92" s="27"/>
      <c r="Z92" s="27" t="s">
        <v>1629</v>
      </c>
      <c r="AA92" s="29">
        <v>6.25E-2</v>
      </c>
      <c r="AB92" s="30">
        <f>AA92/0.0046</f>
        <v>13.586956521739131</v>
      </c>
      <c r="AC92" s="50">
        <f>AB92*0.089*24*365/10^6</f>
        <v>1.0592934782608697E-2</v>
      </c>
      <c r="AD92" s="30"/>
      <c r="AE92" s="30">
        <f>AB92</f>
        <v>13.586956521739131</v>
      </c>
      <c r="AF92" s="28" t="s">
        <v>1630</v>
      </c>
      <c r="AG92" s="28"/>
    </row>
    <row r="93" spans="1:33" ht="32.25" customHeight="1" x14ac:dyDescent="0.2">
      <c r="A93" s="27">
        <v>119</v>
      </c>
      <c r="B93" s="27" t="s">
        <v>1631</v>
      </c>
      <c r="C93" s="27" t="s">
        <v>331</v>
      </c>
      <c r="D93" s="27">
        <v>2017</v>
      </c>
      <c r="E93" s="27"/>
      <c r="F93" s="27" t="s">
        <v>836</v>
      </c>
      <c r="G93" s="27" t="s">
        <v>266</v>
      </c>
      <c r="H93" s="27"/>
      <c r="I93" s="27" t="s">
        <v>911</v>
      </c>
      <c r="J93" s="27"/>
      <c r="K93" s="27" t="s">
        <v>377</v>
      </c>
      <c r="L93" s="27"/>
      <c r="M93" s="27"/>
      <c r="N93" s="27"/>
      <c r="O93" s="27"/>
      <c r="P93" s="27"/>
      <c r="Q93" s="27">
        <v>1</v>
      </c>
      <c r="R93" s="27">
        <v>1</v>
      </c>
      <c r="S93" s="27"/>
      <c r="T93" s="27"/>
      <c r="U93" s="27"/>
      <c r="V93" s="27"/>
      <c r="W93" s="27"/>
      <c r="X93" s="27"/>
      <c r="Y93" s="27"/>
      <c r="Z93" s="27" t="s">
        <v>1632</v>
      </c>
      <c r="AA93" s="29">
        <f>AB93*0.0052</f>
        <v>4.6799999999999994E-2</v>
      </c>
      <c r="AB93" s="30">
        <v>9</v>
      </c>
      <c r="AC93" s="50">
        <f>AB93*0.089*24*365/10^6</f>
        <v>7.0167599999999986E-3</v>
      </c>
      <c r="AD93" s="30"/>
      <c r="AE93" s="30">
        <f>AB93</f>
        <v>9</v>
      </c>
      <c r="AF93" s="28" t="s">
        <v>1633</v>
      </c>
      <c r="AG93" s="28"/>
    </row>
    <row r="94" spans="1:33" ht="32.25" customHeight="1" x14ac:dyDescent="0.2">
      <c r="A94" s="27">
        <v>120</v>
      </c>
      <c r="B94" s="27" t="s">
        <v>1634</v>
      </c>
      <c r="C94" s="27" t="s">
        <v>346</v>
      </c>
      <c r="D94" s="27">
        <v>2017</v>
      </c>
      <c r="E94" s="27">
        <v>2020</v>
      </c>
      <c r="F94" s="27" t="s">
        <v>916</v>
      </c>
      <c r="G94" s="27" t="s">
        <v>267</v>
      </c>
      <c r="H94" s="27"/>
      <c r="I94" s="27" t="s">
        <v>911</v>
      </c>
      <c r="J94" s="27"/>
      <c r="K94" s="27" t="s">
        <v>396</v>
      </c>
      <c r="L94" s="27"/>
      <c r="M94" s="27"/>
      <c r="N94" s="27"/>
      <c r="O94" s="27"/>
      <c r="P94" s="27"/>
      <c r="Q94" s="27"/>
      <c r="R94" s="27"/>
      <c r="S94" s="27"/>
      <c r="T94" s="27"/>
      <c r="U94" s="27"/>
      <c r="V94" s="27"/>
      <c r="W94" s="27"/>
      <c r="X94" s="27">
        <v>1</v>
      </c>
      <c r="Y94" s="27"/>
      <c r="Z94" s="27" t="s">
        <v>1623</v>
      </c>
      <c r="AA94" s="29">
        <f>AB94*0.0038</f>
        <v>3.7999999999999999E-2</v>
      </c>
      <c r="AB94" s="30">
        <v>10</v>
      </c>
      <c r="AC94" s="50">
        <f>AB94*0.089*24*365/10^6</f>
        <v>7.7963999999999993E-3</v>
      </c>
      <c r="AD94" s="30"/>
      <c r="AE94" s="30">
        <f>AB94</f>
        <v>10</v>
      </c>
      <c r="AF94" s="28" t="s">
        <v>1635</v>
      </c>
      <c r="AG94" s="28"/>
    </row>
    <row r="95" spans="1:33" ht="32.25" customHeight="1" x14ac:dyDescent="0.2">
      <c r="A95" s="27">
        <v>121</v>
      </c>
      <c r="B95" s="27" t="s">
        <v>1636</v>
      </c>
      <c r="C95" s="27" t="s">
        <v>339</v>
      </c>
      <c r="D95" s="27">
        <v>2017</v>
      </c>
      <c r="E95" s="27"/>
      <c r="F95" s="27" t="s">
        <v>836</v>
      </c>
      <c r="G95" s="27" t="s">
        <v>266</v>
      </c>
      <c r="H95" s="27"/>
      <c r="I95" s="27" t="s">
        <v>911</v>
      </c>
      <c r="J95" s="27"/>
      <c r="K95" s="27" t="s">
        <v>377</v>
      </c>
      <c r="L95" s="27"/>
      <c r="M95" s="27"/>
      <c r="N95" s="27"/>
      <c r="O95" s="27"/>
      <c r="P95" s="27"/>
      <c r="Q95" s="27"/>
      <c r="R95" s="27">
        <v>1</v>
      </c>
      <c r="S95" s="27"/>
      <c r="T95" s="27"/>
      <c r="U95" s="27"/>
      <c r="V95" s="27"/>
      <c r="W95" s="27"/>
      <c r="X95" s="27"/>
      <c r="Y95" s="27"/>
      <c r="Z95" s="27" t="s">
        <v>1589</v>
      </c>
      <c r="AA95" s="29">
        <f>AB95*0.0052</f>
        <v>5.1999999999999998E-3</v>
      </c>
      <c r="AB95" s="30">
        <v>1</v>
      </c>
      <c r="AC95" s="50">
        <f>AB95*0.089*24*365/10^6</f>
        <v>7.7964000000000006E-4</v>
      </c>
      <c r="AD95" s="30"/>
      <c r="AE95" s="30">
        <f>AB95</f>
        <v>1</v>
      </c>
      <c r="AF95" s="28" t="s">
        <v>1637</v>
      </c>
      <c r="AG95" s="28"/>
    </row>
    <row r="96" spans="1:33" ht="32.25" customHeight="1" x14ac:dyDescent="0.2">
      <c r="A96" s="27">
        <v>122</v>
      </c>
      <c r="B96" s="27" t="s">
        <v>1638</v>
      </c>
      <c r="C96" s="27" t="s">
        <v>339</v>
      </c>
      <c r="D96" s="27">
        <v>2017</v>
      </c>
      <c r="E96" s="27"/>
      <c r="F96" s="27" t="s">
        <v>836</v>
      </c>
      <c r="G96" s="27" t="s">
        <v>266</v>
      </c>
      <c r="H96" s="27"/>
      <c r="I96" s="27" t="s">
        <v>911</v>
      </c>
      <c r="J96" s="27"/>
      <c r="K96" s="27" t="s">
        <v>377</v>
      </c>
      <c r="L96" s="27"/>
      <c r="M96" s="27"/>
      <c r="N96" s="27"/>
      <c r="O96" s="27"/>
      <c r="P96" s="27"/>
      <c r="Q96" s="27">
        <v>1</v>
      </c>
      <c r="R96" s="27"/>
      <c r="S96" s="27"/>
      <c r="T96" s="27"/>
      <c r="U96" s="27"/>
      <c r="V96" s="27"/>
      <c r="W96" s="27"/>
      <c r="X96" s="27"/>
      <c r="Y96" s="27"/>
      <c r="Z96" s="27" t="s">
        <v>1589</v>
      </c>
      <c r="AA96" s="29">
        <f>AB96*0.0052</f>
        <v>5.1999999999999998E-3</v>
      </c>
      <c r="AB96" s="30">
        <v>1</v>
      </c>
      <c r="AC96" s="50">
        <f>AB96*0.089*24*365/10^6</f>
        <v>7.7964000000000006E-4</v>
      </c>
      <c r="AD96" s="30"/>
      <c r="AE96" s="30">
        <f>AB96</f>
        <v>1</v>
      </c>
      <c r="AF96" s="28" t="s">
        <v>1639</v>
      </c>
      <c r="AG96" s="28"/>
    </row>
    <row r="97" spans="1:33" ht="32.25" customHeight="1" x14ac:dyDescent="0.2">
      <c r="A97" s="27">
        <v>123</v>
      </c>
      <c r="B97" s="27" t="s">
        <v>1640</v>
      </c>
      <c r="C97" s="27" t="s">
        <v>339</v>
      </c>
      <c r="D97" s="27">
        <v>2017</v>
      </c>
      <c r="E97" s="27"/>
      <c r="F97" s="27" t="s">
        <v>836</v>
      </c>
      <c r="G97" s="27" t="s">
        <v>266</v>
      </c>
      <c r="H97" s="27"/>
      <c r="I97" s="27" t="s">
        <v>911</v>
      </c>
      <c r="J97" s="27"/>
      <c r="K97" s="27" t="s">
        <v>377</v>
      </c>
      <c r="L97" s="27"/>
      <c r="M97" s="27"/>
      <c r="N97" s="27"/>
      <c r="O97" s="27"/>
      <c r="P97" s="27"/>
      <c r="Q97" s="27">
        <v>1</v>
      </c>
      <c r="R97" s="27"/>
      <c r="S97" s="27"/>
      <c r="T97" s="27"/>
      <c r="U97" s="27"/>
      <c r="V97" s="27"/>
      <c r="W97" s="27"/>
      <c r="X97" s="27"/>
      <c r="Y97" s="27"/>
      <c r="Z97" s="27" t="s">
        <v>1589</v>
      </c>
      <c r="AA97" s="29">
        <f>AB97*0.0052</f>
        <v>5.1999999999999998E-3</v>
      </c>
      <c r="AB97" s="30">
        <v>1</v>
      </c>
      <c r="AC97" s="50">
        <f>AB97*0.089*24*365/10^6</f>
        <v>7.7964000000000006E-4</v>
      </c>
      <c r="AD97" s="30"/>
      <c r="AE97" s="30">
        <f>AB97</f>
        <v>1</v>
      </c>
      <c r="AF97" s="28" t="s">
        <v>1641</v>
      </c>
      <c r="AG97" s="28"/>
    </row>
    <row r="98" spans="1:33" ht="32.25" customHeight="1" x14ac:dyDescent="0.2">
      <c r="A98" s="27">
        <v>124</v>
      </c>
      <c r="B98" s="27" t="s">
        <v>1642</v>
      </c>
      <c r="C98" s="27" t="s">
        <v>698</v>
      </c>
      <c r="D98" s="27">
        <v>2017</v>
      </c>
      <c r="E98" s="27"/>
      <c r="F98" s="27" t="s">
        <v>836</v>
      </c>
      <c r="G98" s="27" t="s">
        <v>266</v>
      </c>
      <c r="H98" s="27"/>
      <c r="I98" s="27" t="s">
        <v>768</v>
      </c>
      <c r="J98" s="27" t="s">
        <v>865</v>
      </c>
      <c r="K98" s="27" t="s">
        <v>377</v>
      </c>
      <c r="L98" s="27"/>
      <c r="M98" s="27"/>
      <c r="N98" s="27"/>
      <c r="O98" s="27"/>
      <c r="P98" s="27"/>
      <c r="Q98" s="27">
        <v>1</v>
      </c>
      <c r="R98" s="27"/>
      <c r="S98" s="27"/>
      <c r="T98" s="27"/>
      <c r="U98" s="27"/>
      <c r="V98" s="27"/>
      <c r="W98" s="27"/>
      <c r="X98" s="27"/>
      <c r="Y98" s="27"/>
      <c r="Z98" s="27" t="s">
        <v>1589</v>
      </c>
      <c r="AA98" s="29">
        <f>AB98*0.0052</f>
        <v>5.1999999999999998E-3</v>
      </c>
      <c r="AB98" s="30">
        <v>1</v>
      </c>
      <c r="AC98" s="50">
        <f>AB98*0.089*24*365/10^6</f>
        <v>7.7964000000000006E-4</v>
      </c>
      <c r="AD98" s="30"/>
      <c r="AE98" s="30">
        <f>AB98</f>
        <v>1</v>
      </c>
      <c r="AF98" s="28"/>
      <c r="AG98" s="28"/>
    </row>
    <row r="99" spans="1:33" ht="32.25" customHeight="1" x14ac:dyDescent="0.2">
      <c r="A99" s="27">
        <v>125</v>
      </c>
      <c r="B99" s="27" t="s">
        <v>1643</v>
      </c>
      <c r="C99" s="27" t="s">
        <v>361</v>
      </c>
      <c r="D99" s="27">
        <v>2017</v>
      </c>
      <c r="E99" s="27"/>
      <c r="F99" s="27" t="s">
        <v>836</v>
      </c>
      <c r="G99" s="27" t="s">
        <v>758</v>
      </c>
      <c r="H99" s="27" t="s">
        <v>1406</v>
      </c>
      <c r="I99" s="27" t="s">
        <v>768</v>
      </c>
      <c r="J99" s="27" t="s">
        <v>861</v>
      </c>
      <c r="K99" s="27" t="s">
        <v>377</v>
      </c>
      <c r="L99" s="27"/>
      <c r="M99" s="27"/>
      <c r="N99" s="27"/>
      <c r="O99" s="27"/>
      <c r="P99" s="27"/>
      <c r="Q99" s="27"/>
      <c r="R99" s="27">
        <v>1</v>
      </c>
      <c r="S99" s="27"/>
      <c r="T99" s="27"/>
      <c r="U99" s="27"/>
      <c r="V99" s="27"/>
      <c r="W99" s="27"/>
      <c r="X99" s="27"/>
      <c r="Y99" s="27"/>
      <c r="Z99" s="27" t="s">
        <v>1470</v>
      </c>
      <c r="AA99" s="29">
        <v>0.05</v>
      </c>
      <c r="AB99" s="30">
        <f>AA99/0.0045</f>
        <v>11.111111111111112</v>
      </c>
      <c r="AC99" s="50">
        <f>AB99*0.089*24*365/10^6</f>
        <v>8.6626666666666675E-3</v>
      </c>
      <c r="AD99" s="30"/>
      <c r="AE99" s="30">
        <f>AB99</f>
        <v>11.111111111111112</v>
      </c>
      <c r="AF99" s="28" t="s">
        <v>1644</v>
      </c>
      <c r="AG99" s="28"/>
    </row>
    <row r="100" spans="1:33" ht="32.25" customHeight="1" x14ac:dyDescent="0.2">
      <c r="A100" s="27">
        <v>126</v>
      </c>
      <c r="B100" s="27" t="s">
        <v>1645</v>
      </c>
      <c r="C100" s="27" t="s">
        <v>804</v>
      </c>
      <c r="D100" s="27">
        <v>2017</v>
      </c>
      <c r="E100" s="27"/>
      <c r="F100" s="27" t="s">
        <v>916</v>
      </c>
      <c r="G100" s="27" t="s">
        <v>266</v>
      </c>
      <c r="H100" s="27"/>
      <c r="I100" s="27" t="s">
        <v>911</v>
      </c>
      <c r="J100" s="27"/>
      <c r="K100" s="27" t="s">
        <v>377</v>
      </c>
      <c r="L100" s="27"/>
      <c r="M100" s="27"/>
      <c r="N100" s="27"/>
      <c r="O100" s="27"/>
      <c r="P100" s="27"/>
      <c r="Q100" s="27"/>
      <c r="R100" s="27">
        <v>1</v>
      </c>
      <c r="S100" s="27"/>
      <c r="T100" s="27"/>
      <c r="U100" s="27"/>
      <c r="V100" s="27"/>
      <c r="W100" s="27"/>
      <c r="X100" s="27"/>
      <c r="Y100" s="27"/>
      <c r="Z100" s="27"/>
      <c r="AA100" s="29"/>
      <c r="AB100" s="30"/>
      <c r="AC100" s="50"/>
      <c r="AD100" s="30"/>
      <c r="AE100" s="30"/>
      <c r="AF100" s="28"/>
      <c r="AG100" s="28"/>
    </row>
    <row r="101" spans="1:33" ht="32.25" customHeight="1" x14ac:dyDescent="0.2">
      <c r="A101" s="27">
        <v>127</v>
      </c>
      <c r="B101" s="27" t="s">
        <v>1646</v>
      </c>
      <c r="C101" s="27" t="s">
        <v>804</v>
      </c>
      <c r="D101" s="27">
        <v>2016</v>
      </c>
      <c r="E101" s="27"/>
      <c r="F101" s="27" t="s">
        <v>836</v>
      </c>
      <c r="G101" s="27" t="s">
        <v>266</v>
      </c>
      <c r="H101" s="27"/>
      <c r="I101" s="27" t="s">
        <v>866</v>
      </c>
      <c r="J101" s="27"/>
      <c r="K101" s="27" t="s">
        <v>377</v>
      </c>
      <c r="L101" s="27"/>
      <c r="M101" s="27"/>
      <c r="N101" s="27"/>
      <c r="O101" s="27"/>
      <c r="P101" s="27"/>
      <c r="Q101" s="27"/>
      <c r="R101" s="27">
        <v>1</v>
      </c>
      <c r="S101" s="27">
        <v>1</v>
      </c>
      <c r="T101" s="27">
        <v>1</v>
      </c>
      <c r="U101" s="27"/>
      <c r="V101" s="27"/>
      <c r="W101" s="27"/>
      <c r="X101" s="27"/>
      <c r="Y101" s="27"/>
      <c r="Z101" s="27" t="s">
        <v>1647</v>
      </c>
      <c r="AA101" s="29">
        <v>1.25</v>
      </c>
      <c r="AB101" s="30">
        <f>AA101/0.0052</f>
        <v>240.38461538461539</v>
      </c>
      <c r="AC101" s="50">
        <f>AB101*0.089*24*365/10^6</f>
        <v>0.18741346153846153</v>
      </c>
      <c r="AD101" s="30"/>
      <c r="AE101" s="30">
        <f>AB101</f>
        <v>240.38461538461539</v>
      </c>
      <c r="AF101" s="28" t="s">
        <v>1648</v>
      </c>
      <c r="AG101" s="28"/>
    </row>
    <row r="102" spans="1:33" ht="32.25" customHeight="1" x14ac:dyDescent="0.2">
      <c r="A102" s="27">
        <v>130</v>
      </c>
      <c r="B102" s="27" t="s">
        <v>1649</v>
      </c>
      <c r="C102" s="27" t="s">
        <v>804</v>
      </c>
      <c r="D102" s="27">
        <v>2024</v>
      </c>
      <c r="E102" s="27"/>
      <c r="F102" s="27" t="s">
        <v>832</v>
      </c>
      <c r="G102" s="27" t="s">
        <v>266</v>
      </c>
      <c r="H102" s="27"/>
      <c r="I102" s="27" t="s">
        <v>911</v>
      </c>
      <c r="J102" s="27"/>
      <c r="K102" s="27" t="s">
        <v>377</v>
      </c>
      <c r="L102" s="27">
        <v>1</v>
      </c>
      <c r="M102" s="27"/>
      <c r="N102" s="27"/>
      <c r="O102" s="27"/>
      <c r="P102" s="27">
        <v>1</v>
      </c>
      <c r="Q102" s="27"/>
      <c r="R102" s="27">
        <v>1</v>
      </c>
      <c r="S102" s="27"/>
      <c r="T102" s="27"/>
      <c r="U102" s="27"/>
      <c r="V102" s="27"/>
      <c r="W102" s="27"/>
      <c r="X102" s="27"/>
      <c r="Y102" s="27"/>
      <c r="Z102" s="27" t="s">
        <v>1650</v>
      </c>
      <c r="AA102" s="29">
        <v>120</v>
      </c>
      <c r="AB102" s="30">
        <f>AA102/0.0052</f>
        <v>23076.923076923078</v>
      </c>
      <c r="AC102" s="50">
        <f>AB102*0.089*24*365/10^6</f>
        <v>17.991692307692304</v>
      </c>
      <c r="AD102" s="30"/>
      <c r="AE102" s="30">
        <f>AB102</f>
        <v>23076.923076923078</v>
      </c>
      <c r="AF102" s="28" t="s">
        <v>1651</v>
      </c>
      <c r="AG102" s="28"/>
    </row>
    <row r="103" spans="1:33" ht="32.25" customHeight="1" x14ac:dyDescent="0.2">
      <c r="A103" s="27">
        <v>134</v>
      </c>
      <c r="B103" s="27" t="s">
        <v>1652</v>
      </c>
      <c r="C103" s="27" t="s">
        <v>804</v>
      </c>
      <c r="D103" s="27">
        <v>2016</v>
      </c>
      <c r="E103" s="27"/>
      <c r="F103" s="27" t="s">
        <v>836</v>
      </c>
      <c r="G103" s="27" t="s">
        <v>266</v>
      </c>
      <c r="H103" s="27"/>
      <c r="I103" s="27" t="s">
        <v>911</v>
      </c>
      <c r="J103" s="27"/>
      <c r="K103" s="27" t="s">
        <v>377</v>
      </c>
      <c r="L103" s="27"/>
      <c r="M103" s="27"/>
      <c r="N103" s="27"/>
      <c r="O103" s="27"/>
      <c r="P103" s="27"/>
      <c r="Q103" s="27"/>
      <c r="R103" s="27"/>
      <c r="S103" s="27">
        <v>1</v>
      </c>
      <c r="T103" s="27"/>
      <c r="U103" s="27"/>
      <c r="V103" s="27"/>
      <c r="W103" s="27"/>
      <c r="X103" s="27"/>
      <c r="Y103" s="27"/>
      <c r="Z103" s="27" t="s">
        <v>1591</v>
      </c>
      <c r="AA103" s="29">
        <v>0.2</v>
      </c>
      <c r="AB103" s="30">
        <f>AA103/0.0052</f>
        <v>38.461538461538467</v>
      </c>
      <c r="AC103" s="50">
        <f>AB103*0.089*24*365/10^6</f>
        <v>2.9986153846153846E-2</v>
      </c>
      <c r="AD103" s="30"/>
      <c r="AE103" s="30">
        <f>AB103</f>
        <v>38.461538461538467</v>
      </c>
      <c r="AF103" s="28" t="s">
        <v>1653</v>
      </c>
      <c r="AG103" s="28"/>
    </row>
    <row r="104" spans="1:33" ht="32.25" customHeight="1" x14ac:dyDescent="0.2">
      <c r="A104" s="27">
        <v>135</v>
      </c>
      <c r="B104" s="27" t="s">
        <v>1654</v>
      </c>
      <c r="C104" s="27" t="s">
        <v>804</v>
      </c>
      <c r="D104" s="27">
        <v>2016</v>
      </c>
      <c r="E104" s="27"/>
      <c r="F104" s="27" t="s">
        <v>836</v>
      </c>
      <c r="G104" s="27" t="s">
        <v>266</v>
      </c>
      <c r="H104" s="27"/>
      <c r="I104" s="27" t="s">
        <v>866</v>
      </c>
      <c r="J104" s="27"/>
      <c r="K104" s="27" t="s">
        <v>377</v>
      </c>
      <c r="L104" s="27"/>
      <c r="M104" s="27"/>
      <c r="N104" s="27"/>
      <c r="O104" s="27"/>
      <c r="P104" s="27"/>
      <c r="Q104" s="27">
        <v>1</v>
      </c>
      <c r="R104" s="27"/>
      <c r="S104" s="27"/>
      <c r="T104" s="27"/>
      <c r="U104" s="27"/>
      <c r="V104" s="27"/>
      <c r="W104" s="27"/>
      <c r="X104" s="27"/>
      <c r="Y104" s="27"/>
      <c r="Z104" s="27" t="s">
        <v>1655</v>
      </c>
      <c r="AA104" s="29">
        <v>0.185</v>
      </c>
      <c r="AB104" s="30">
        <f>AA104/0.0052</f>
        <v>35.57692307692308</v>
      </c>
      <c r="AC104" s="50">
        <f>AB104*0.089*24*365/10^6</f>
        <v>2.773719230769231E-2</v>
      </c>
      <c r="AD104" s="30"/>
      <c r="AE104" s="30">
        <f>AB104</f>
        <v>35.57692307692308</v>
      </c>
      <c r="AF104" s="28" t="s">
        <v>1656</v>
      </c>
      <c r="AG104" s="28"/>
    </row>
    <row r="105" spans="1:33" ht="32.25" customHeight="1" x14ac:dyDescent="0.2">
      <c r="A105" s="27">
        <v>136</v>
      </c>
      <c r="B105" s="27" t="s">
        <v>1657</v>
      </c>
      <c r="C105" s="27" t="s">
        <v>804</v>
      </c>
      <c r="D105" s="27">
        <v>2016</v>
      </c>
      <c r="E105" s="27">
        <v>2017</v>
      </c>
      <c r="F105" s="27" t="s">
        <v>916</v>
      </c>
      <c r="G105" s="27" t="s">
        <v>266</v>
      </c>
      <c r="H105" s="27"/>
      <c r="I105" s="27" t="s">
        <v>768</v>
      </c>
      <c r="J105" s="27" t="s">
        <v>861</v>
      </c>
      <c r="K105" s="27" t="s">
        <v>377</v>
      </c>
      <c r="L105" s="27"/>
      <c r="M105" s="27"/>
      <c r="N105" s="27"/>
      <c r="O105" s="27"/>
      <c r="P105" s="27"/>
      <c r="Q105" s="27"/>
      <c r="R105" s="27">
        <v>1</v>
      </c>
      <c r="S105" s="27">
        <v>1</v>
      </c>
      <c r="T105" s="27"/>
      <c r="U105" s="27"/>
      <c r="V105" s="27"/>
      <c r="W105" s="27"/>
      <c r="X105" s="27"/>
      <c r="Y105" s="27"/>
      <c r="Z105" s="27" t="s">
        <v>1658</v>
      </c>
      <c r="AA105" s="29">
        <v>7.4999999999999997E-2</v>
      </c>
      <c r="AB105" s="30">
        <f>AA105/0.0052</f>
        <v>14.423076923076923</v>
      </c>
      <c r="AC105" s="50">
        <f>AB105*0.089*24*365/10^6</f>
        <v>1.1244807692307691E-2</v>
      </c>
      <c r="AD105" s="30"/>
      <c r="AE105" s="30">
        <f>AB105</f>
        <v>14.423076923076923</v>
      </c>
      <c r="AF105" s="28" t="s">
        <v>1659</v>
      </c>
      <c r="AG105" s="28"/>
    </row>
    <row r="106" spans="1:33" ht="32.25" customHeight="1" x14ac:dyDescent="0.2">
      <c r="A106" s="27">
        <v>137</v>
      </c>
      <c r="B106" s="27" t="s">
        <v>1660</v>
      </c>
      <c r="C106" s="27" t="s">
        <v>337</v>
      </c>
      <c r="D106" s="27">
        <v>2016</v>
      </c>
      <c r="E106" s="27"/>
      <c r="F106" s="27" t="s">
        <v>916</v>
      </c>
      <c r="G106" s="27" t="s">
        <v>267</v>
      </c>
      <c r="H106" s="27"/>
      <c r="I106" s="27" t="s">
        <v>911</v>
      </c>
      <c r="J106" s="27"/>
      <c r="K106" s="27" t="s">
        <v>377</v>
      </c>
      <c r="L106" s="27"/>
      <c r="M106" s="27"/>
      <c r="N106" s="27"/>
      <c r="O106" s="27"/>
      <c r="P106" s="27"/>
      <c r="Q106" s="27"/>
      <c r="R106" s="27">
        <v>1</v>
      </c>
      <c r="S106" s="27"/>
      <c r="T106" s="27"/>
      <c r="U106" s="27"/>
      <c r="V106" s="27"/>
      <c r="W106" s="27"/>
      <c r="X106" s="27"/>
      <c r="Y106" s="27"/>
      <c r="Z106" s="27" t="s">
        <v>1661</v>
      </c>
      <c r="AA106" s="29">
        <v>0.05</v>
      </c>
      <c r="AB106" s="30">
        <f>AA106/0.0038</f>
        <v>13.157894736842106</v>
      </c>
      <c r="AC106" s="50">
        <f>AB106*0.089*24*365/10^6</f>
        <v>1.0258421052631578E-2</v>
      </c>
      <c r="AD106" s="30"/>
      <c r="AE106" s="30">
        <f>AB106</f>
        <v>13.157894736842106</v>
      </c>
      <c r="AF106" s="28" t="s">
        <v>1662</v>
      </c>
      <c r="AG106" s="28"/>
    </row>
    <row r="107" spans="1:33" ht="32.25" customHeight="1" x14ac:dyDescent="0.2">
      <c r="A107" s="27">
        <v>138</v>
      </c>
      <c r="B107" s="27" t="s">
        <v>1663</v>
      </c>
      <c r="C107" s="27" t="s">
        <v>332</v>
      </c>
      <c r="D107" s="27">
        <v>2016</v>
      </c>
      <c r="E107" s="27"/>
      <c r="F107" s="27" t="s">
        <v>836</v>
      </c>
      <c r="G107" s="27" t="s">
        <v>266</v>
      </c>
      <c r="H107" s="27"/>
      <c r="I107" s="27" t="s">
        <v>911</v>
      </c>
      <c r="J107" s="27"/>
      <c r="K107" s="27" t="s">
        <v>377</v>
      </c>
      <c r="L107" s="27"/>
      <c r="M107" s="27"/>
      <c r="N107" s="27"/>
      <c r="O107" s="27"/>
      <c r="P107" s="27"/>
      <c r="Q107" s="27"/>
      <c r="R107" s="27">
        <v>1</v>
      </c>
      <c r="S107" s="27"/>
      <c r="T107" s="27"/>
      <c r="U107" s="27"/>
      <c r="V107" s="27"/>
      <c r="W107" s="27"/>
      <c r="X107" s="27"/>
      <c r="Y107" s="27"/>
      <c r="Z107" s="27" t="s">
        <v>1664</v>
      </c>
      <c r="AA107" s="29">
        <f>AB107*0.0052</f>
        <v>1.04E-2</v>
      </c>
      <c r="AB107" s="30">
        <v>2</v>
      </c>
      <c r="AC107" s="50">
        <f>AB107*0.089*24*365/10^6</f>
        <v>1.5592800000000001E-3</v>
      </c>
      <c r="AD107" s="30"/>
      <c r="AE107" s="30">
        <f>AB107</f>
        <v>2</v>
      </c>
      <c r="AF107" s="28" t="s">
        <v>1665</v>
      </c>
      <c r="AG107" s="28"/>
    </row>
    <row r="108" spans="1:33" ht="32.25" customHeight="1" x14ac:dyDescent="0.2">
      <c r="A108" s="27">
        <v>139</v>
      </c>
      <c r="B108" s="27" t="s">
        <v>1666</v>
      </c>
      <c r="C108" s="27" t="s">
        <v>339</v>
      </c>
      <c r="D108" s="27">
        <v>2016</v>
      </c>
      <c r="E108" s="27"/>
      <c r="F108" s="27" t="s">
        <v>836</v>
      </c>
      <c r="G108" s="27" t="s">
        <v>266</v>
      </c>
      <c r="H108" s="27"/>
      <c r="I108" s="27" t="s">
        <v>765</v>
      </c>
      <c r="J108" s="27"/>
      <c r="K108" s="27" t="s">
        <v>377</v>
      </c>
      <c r="L108" s="27"/>
      <c r="M108" s="27"/>
      <c r="N108" s="27"/>
      <c r="O108" s="27"/>
      <c r="P108" s="27"/>
      <c r="Q108" s="27"/>
      <c r="R108" s="27">
        <v>1</v>
      </c>
      <c r="S108" s="27"/>
      <c r="T108" s="27"/>
      <c r="U108" s="27"/>
      <c r="V108" s="27"/>
      <c r="W108" s="27"/>
      <c r="X108" s="27"/>
      <c r="Y108" s="27"/>
      <c r="Z108" s="27" t="s">
        <v>1612</v>
      </c>
      <c r="AA108" s="29">
        <f>AB108*0.0052</f>
        <v>5.1999999999999998E-3</v>
      </c>
      <c r="AB108" s="30">
        <v>1</v>
      </c>
      <c r="AC108" s="50">
        <f>AB108*0.089*24*365/10^6</f>
        <v>7.7964000000000006E-4</v>
      </c>
      <c r="AD108" s="30"/>
      <c r="AE108" s="30">
        <f>AB108</f>
        <v>1</v>
      </c>
      <c r="AF108" s="28" t="s">
        <v>1667</v>
      </c>
      <c r="AG108" s="28"/>
    </row>
    <row r="109" spans="1:33" ht="32.25" customHeight="1" x14ac:dyDescent="0.2">
      <c r="A109" s="27">
        <v>140</v>
      </c>
      <c r="B109" s="27" t="s">
        <v>1668</v>
      </c>
      <c r="C109" s="27" t="s">
        <v>339</v>
      </c>
      <c r="D109" s="27">
        <v>2016</v>
      </c>
      <c r="E109" s="27"/>
      <c r="F109" s="27" t="s">
        <v>836</v>
      </c>
      <c r="G109" s="27" t="s">
        <v>266</v>
      </c>
      <c r="H109" s="27"/>
      <c r="I109" s="27" t="s">
        <v>765</v>
      </c>
      <c r="J109" s="27"/>
      <c r="K109" s="27" t="s">
        <v>377</v>
      </c>
      <c r="L109" s="27"/>
      <c r="M109" s="27"/>
      <c r="N109" s="27"/>
      <c r="O109" s="27"/>
      <c r="P109" s="27"/>
      <c r="Q109" s="27"/>
      <c r="R109" s="27">
        <v>1</v>
      </c>
      <c r="S109" s="27"/>
      <c r="T109" s="27"/>
      <c r="U109" s="27"/>
      <c r="V109" s="27"/>
      <c r="W109" s="27"/>
      <c r="X109" s="27"/>
      <c r="Y109" s="27"/>
      <c r="Z109" s="27" t="s">
        <v>1612</v>
      </c>
      <c r="AA109" s="29">
        <f>AB109*0.0052</f>
        <v>5.1999999999999998E-3</v>
      </c>
      <c r="AB109" s="30">
        <v>1</v>
      </c>
      <c r="AC109" s="50">
        <f>AB109*0.089*24*365/10^6</f>
        <v>7.7964000000000006E-4</v>
      </c>
      <c r="AD109" s="30"/>
      <c r="AE109" s="30">
        <f>AB109</f>
        <v>1</v>
      </c>
      <c r="AF109" s="28" t="s">
        <v>1669</v>
      </c>
      <c r="AG109" s="28"/>
    </row>
    <row r="110" spans="1:33" ht="32.25" customHeight="1" x14ac:dyDescent="0.2">
      <c r="A110" s="27">
        <v>142</v>
      </c>
      <c r="B110" s="27" t="s">
        <v>1670</v>
      </c>
      <c r="C110" s="27" t="s">
        <v>804</v>
      </c>
      <c r="D110" s="27">
        <v>2015</v>
      </c>
      <c r="E110" s="27"/>
      <c r="F110" s="27" t="s">
        <v>836</v>
      </c>
      <c r="G110" s="27" t="s">
        <v>266</v>
      </c>
      <c r="H110" s="27"/>
      <c r="I110" s="27" t="s">
        <v>768</v>
      </c>
      <c r="J110" s="27" t="s">
        <v>862</v>
      </c>
      <c r="K110" s="27" t="s">
        <v>377</v>
      </c>
      <c r="L110" s="27"/>
      <c r="M110" s="27"/>
      <c r="N110" s="27"/>
      <c r="O110" s="27"/>
      <c r="P110" s="27"/>
      <c r="Q110" s="27">
        <v>1</v>
      </c>
      <c r="R110" s="27"/>
      <c r="S110" s="27"/>
      <c r="T110" s="27"/>
      <c r="U110" s="27"/>
      <c r="V110" s="27"/>
      <c r="W110" s="27"/>
      <c r="X110" s="27"/>
      <c r="Y110" s="27"/>
      <c r="Z110" s="27" t="s">
        <v>1551</v>
      </c>
      <c r="AA110" s="29">
        <v>1.5</v>
      </c>
      <c r="AB110" s="30">
        <f>AA110/0.0052</f>
        <v>288.46153846153845</v>
      </c>
      <c r="AC110" s="30">
        <f>AB110*0.089*24*365/10^6</f>
        <v>0.2248961538461538</v>
      </c>
      <c r="AD110" s="30"/>
      <c r="AE110" s="30">
        <f>AB110</f>
        <v>288.46153846153845</v>
      </c>
      <c r="AF110" s="28" t="s">
        <v>1671</v>
      </c>
      <c r="AG110" s="28"/>
    </row>
    <row r="111" spans="1:33" ht="32.25" customHeight="1" x14ac:dyDescent="0.2">
      <c r="A111" s="27">
        <v>143</v>
      </c>
      <c r="B111" s="27" t="s">
        <v>1672</v>
      </c>
      <c r="C111" s="27" t="s">
        <v>804</v>
      </c>
      <c r="D111" s="27">
        <v>2015</v>
      </c>
      <c r="E111" s="27"/>
      <c r="F111" s="27" t="s">
        <v>836</v>
      </c>
      <c r="G111" s="27" t="s">
        <v>268</v>
      </c>
      <c r="H111" s="27"/>
      <c r="I111" s="27" t="s">
        <v>768</v>
      </c>
      <c r="J111" s="27" t="s">
        <v>862</v>
      </c>
      <c r="K111" s="27" t="s">
        <v>377</v>
      </c>
      <c r="L111" s="27"/>
      <c r="M111" s="27"/>
      <c r="N111" s="27"/>
      <c r="O111" s="27"/>
      <c r="P111" s="27"/>
      <c r="Q111" s="27"/>
      <c r="R111" s="27">
        <v>1</v>
      </c>
      <c r="S111" s="27"/>
      <c r="T111" s="27"/>
      <c r="U111" s="27"/>
      <c r="V111" s="27"/>
      <c r="W111" s="27"/>
      <c r="X111" s="27"/>
      <c r="Y111" s="27"/>
      <c r="Z111" s="27" t="s">
        <v>1572</v>
      </c>
      <c r="AA111" s="29">
        <v>1</v>
      </c>
      <c r="AB111" s="30">
        <v>200</v>
      </c>
      <c r="AC111" s="30">
        <f>AB111*0.089*24*365/10^6</f>
        <v>0.15592800000000004</v>
      </c>
      <c r="AD111" s="30"/>
      <c r="AE111" s="30">
        <f>AB111</f>
        <v>200</v>
      </c>
      <c r="AF111" s="28" t="s">
        <v>1673</v>
      </c>
      <c r="AG111" s="28"/>
    </row>
    <row r="112" spans="1:33" ht="32.25" customHeight="1" x14ac:dyDescent="0.2">
      <c r="A112" s="27">
        <v>146</v>
      </c>
      <c r="B112" s="27" t="s">
        <v>1674</v>
      </c>
      <c r="C112" s="27" t="s">
        <v>346</v>
      </c>
      <c r="D112" s="27">
        <v>2015</v>
      </c>
      <c r="E112" s="27"/>
      <c r="F112" s="27" t="s">
        <v>836</v>
      </c>
      <c r="G112" s="27" t="s">
        <v>268</v>
      </c>
      <c r="H112" s="27"/>
      <c r="I112" s="27" t="s">
        <v>911</v>
      </c>
      <c r="J112" s="27"/>
      <c r="K112" s="27" t="s">
        <v>396</v>
      </c>
      <c r="L112" s="27"/>
      <c r="M112" s="27"/>
      <c r="N112" s="27"/>
      <c r="O112" s="27"/>
      <c r="P112" s="27"/>
      <c r="Q112" s="27"/>
      <c r="R112" s="27"/>
      <c r="S112" s="27"/>
      <c r="T112" s="27"/>
      <c r="U112" s="27"/>
      <c r="V112" s="27"/>
      <c r="W112" s="27"/>
      <c r="X112" s="27">
        <v>1</v>
      </c>
      <c r="Y112" s="27"/>
      <c r="Z112" s="27" t="s">
        <v>1675</v>
      </c>
      <c r="AA112" s="29">
        <v>0.5</v>
      </c>
      <c r="AB112" s="30">
        <v>100</v>
      </c>
      <c r="AC112" s="50">
        <f>AB112*0.089*24*365/10^6</f>
        <v>7.7964000000000019E-2</v>
      </c>
      <c r="AD112" s="30"/>
      <c r="AE112" s="30">
        <f>AB112</f>
        <v>100</v>
      </c>
      <c r="AF112" s="28" t="s">
        <v>1676</v>
      </c>
      <c r="AG112" s="28"/>
    </row>
    <row r="113" spans="1:33" ht="32.25" customHeight="1" x14ac:dyDescent="0.2">
      <c r="A113" s="27">
        <v>147</v>
      </c>
      <c r="B113" s="27" t="s">
        <v>1677</v>
      </c>
      <c r="C113" s="27" t="s">
        <v>334</v>
      </c>
      <c r="D113" s="27">
        <v>2015</v>
      </c>
      <c r="E113" s="27"/>
      <c r="F113" s="27" t="s">
        <v>836</v>
      </c>
      <c r="G113" s="27" t="s">
        <v>268</v>
      </c>
      <c r="H113" s="27"/>
      <c r="I113" s="27" t="s">
        <v>911</v>
      </c>
      <c r="J113" s="27"/>
      <c r="K113" s="27" t="s">
        <v>377</v>
      </c>
      <c r="L113" s="27"/>
      <c r="M113" s="27"/>
      <c r="N113" s="27"/>
      <c r="O113" s="27"/>
      <c r="P113" s="27"/>
      <c r="Q113" s="27"/>
      <c r="R113" s="27">
        <v>1</v>
      </c>
      <c r="S113" s="27"/>
      <c r="T113" s="27"/>
      <c r="U113" s="27"/>
      <c r="V113" s="27"/>
      <c r="W113" s="27"/>
      <c r="X113" s="27"/>
      <c r="Y113" s="27"/>
      <c r="Z113" s="27" t="s">
        <v>1516</v>
      </c>
      <c r="AA113" s="29">
        <f>AB113*0.0046</f>
        <v>0.27600000000000002</v>
      </c>
      <c r="AB113" s="30">
        <v>60</v>
      </c>
      <c r="AC113" s="30">
        <f>AB113*0.089*24*365/10^6</f>
        <v>4.6778400000000005E-2</v>
      </c>
      <c r="AD113" s="30"/>
      <c r="AE113" s="30">
        <f>AB113</f>
        <v>60</v>
      </c>
      <c r="AF113" s="28" t="s">
        <v>1678</v>
      </c>
      <c r="AG113" s="28"/>
    </row>
    <row r="114" spans="1:33" ht="32.25" customHeight="1" x14ac:dyDescent="0.2">
      <c r="A114" s="27">
        <v>148</v>
      </c>
      <c r="B114" s="27" t="s">
        <v>1679</v>
      </c>
      <c r="C114" s="27" t="s">
        <v>349</v>
      </c>
      <c r="D114" s="27">
        <v>2015</v>
      </c>
      <c r="E114" s="27"/>
      <c r="F114" s="27" t="s">
        <v>836</v>
      </c>
      <c r="G114" s="27" t="s">
        <v>268</v>
      </c>
      <c r="H114" s="27"/>
      <c r="I114" s="27" t="s">
        <v>768</v>
      </c>
      <c r="J114" s="27" t="s">
        <v>862</v>
      </c>
      <c r="K114" s="27" t="s">
        <v>377</v>
      </c>
      <c r="L114" s="27"/>
      <c r="M114" s="27"/>
      <c r="N114" s="27"/>
      <c r="O114" s="27"/>
      <c r="P114" s="27"/>
      <c r="Q114" s="27">
        <v>1</v>
      </c>
      <c r="R114" s="27"/>
      <c r="S114" s="27"/>
      <c r="T114" s="27"/>
      <c r="U114" s="27"/>
      <c r="V114" s="27"/>
      <c r="W114" s="27"/>
      <c r="X114" s="27"/>
      <c r="Y114" s="27"/>
      <c r="Z114" s="27" t="s">
        <v>1680</v>
      </c>
      <c r="AA114" s="29">
        <v>0.3</v>
      </c>
      <c r="AB114" s="30">
        <v>60</v>
      </c>
      <c r="AC114" s="50">
        <f>AB114*0.089*24*365/10^6</f>
        <v>4.6778400000000005E-2</v>
      </c>
      <c r="AD114" s="30"/>
      <c r="AE114" s="30">
        <f>AB114</f>
        <v>60</v>
      </c>
      <c r="AF114" s="28" t="s">
        <v>1681</v>
      </c>
      <c r="AG114" s="28"/>
    </row>
    <row r="115" spans="1:33" ht="32.25" customHeight="1" x14ac:dyDescent="0.2">
      <c r="A115" s="27">
        <v>149</v>
      </c>
      <c r="B115" s="27" t="s">
        <v>1682</v>
      </c>
      <c r="C115" s="27" t="s">
        <v>356</v>
      </c>
      <c r="D115" s="27">
        <v>2015</v>
      </c>
      <c r="E115" s="27"/>
      <c r="F115" s="27" t="s">
        <v>916</v>
      </c>
      <c r="G115" s="27" t="s">
        <v>266</v>
      </c>
      <c r="H115" s="27"/>
      <c r="I115" s="27" t="s">
        <v>911</v>
      </c>
      <c r="J115" s="27"/>
      <c r="K115" s="27" t="s">
        <v>377</v>
      </c>
      <c r="L115" s="27"/>
      <c r="M115" s="27"/>
      <c r="N115" s="27"/>
      <c r="O115" s="27"/>
      <c r="P115" s="27"/>
      <c r="Q115" s="27"/>
      <c r="R115" s="27"/>
      <c r="S115" s="27">
        <v>1</v>
      </c>
      <c r="T115" s="27"/>
      <c r="U115" s="27"/>
      <c r="V115" s="27"/>
      <c r="W115" s="27"/>
      <c r="X115" s="27"/>
      <c r="Y115" s="27"/>
      <c r="Z115" s="27" t="s">
        <v>1683</v>
      </c>
      <c r="AA115" s="29">
        <v>0.7</v>
      </c>
      <c r="AB115" s="30">
        <v>60</v>
      </c>
      <c r="AC115" s="30">
        <f>AB115*0.089*24*365/10^6</f>
        <v>4.6778400000000005E-2</v>
      </c>
      <c r="AD115" s="30"/>
      <c r="AE115" s="30">
        <f>AB115</f>
        <v>60</v>
      </c>
      <c r="AF115" s="28" t="s">
        <v>1684</v>
      </c>
      <c r="AG115" s="28"/>
    </row>
    <row r="116" spans="1:33" ht="32.25" customHeight="1" x14ac:dyDescent="0.2">
      <c r="A116" s="27">
        <v>151</v>
      </c>
      <c r="B116" s="27" t="s">
        <v>1685</v>
      </c>
      <c r="C116" s="27" t="s">
        <v>804</v>
      </c>
      <c r="D116" s="27">
        <v>2015</v>
      </c>
      <c r="E116" s="27"/>
      <c r="F116" s="27" t="s">
        <v>836</v>
      </c>
      <c r="G116" s="27" t="s">
        <v>266</v>
      </c>
      <c r="H116" s="27"/>
      <c r="I116" s="27" t="s">
        <v>866</v>
      </c>
      <c r="J116" s="27"/>
      <c r="K116" s="27" t="s">
        <v>377</v>
      </c>
      <c r="L116" s="27"/>
      <c r="M116" s="27"/>
      <c r="N116" s="27"/>
      <c r="O116" s="27"/>
      <c r="P116" s="27"/>
      <c r="Q116" s="27"/>
      <c r="R116" s="27">
        <v>1</v>
      </c>
      <c r="S116" s="27">
        <v>1</v>
      </c>
      <c r="T116" s="27">
        <v>1</v>
      </c>
      <c r="U116" s="27"/>
      <c r="V116" s="27"/>
      <c r="W116" s="27"/>
      <c r="X116" s="27"/>
      <c r="Y116" s="27"/>
      <c r="Z116" s="27" t="s">
        <v>1526</v>
      </c>
      <c r="AA116" s="29">
        <v>0.15</v>
      </c>
      <c r="AB116" s="30">
        <f>AA116/0.0052</f>
        <v>28.846153846153847</v>
      </c>
      <c r="AC116" s="50">
        <f>AB116*0.089*24*365/10^6</f>
        <v>2.2489615384615382E-2</v>
      </c>
      <c r="AD116" s="30"/>
      <c r="AE116" s="30">
        <f>AB116</f>
        <v>28.846153846153847</v>
      </c>
      <c r="AF116" s="28" t="s">
        <v>1686</v>
      </c>
      <c r="AG116" s="28"/>
    </row>
    <row r="117" spans="1:33" ht="32.25" customHeight="1" x14ac:dyDescent="0.2">
      <c r="A117" s="27">
        <v>155</v>
      </c>
      <c r="B117" s="27" t="s">
        <v>1688</v>
      </c>
      <c r="C117" s="27" t="s">
        <v>360</v>
      </c>
      <c r="D117" s="27">
        <v>2015</v>
      </c>
      <c r="E117" s="27"/>
      <c r="F117" s="27" t="s">
        <v>916</v>
      </c>
      <c r="G117" s="27" t="s">
        <v>266</v>
      </c>
      <c r="H117" s="27"/>
      <c r="I117" s="27" t="s">
        <v>911</v>
      </c>
      <c r="J117" s="27"/>
      <c r="K117" s="27" t="s">
        <v>396</v>
      </c>
      <c r="L117" s="27"/>
      <c r="M117" s="27"/>
      <c r="N117" s="27"/>
      <c r="O117" s="27"/>
      <c r="P117" s="27"/>
      <c r="Q117" s="27"/>
      <c r="R117" s="27"/>
      <c r="S117" s="27"/>
      <c r="T117" s="27"/>
      <c r="U117" s="27"/>
      <c r="V117" s="27"/>
      <c r="W117" s="27"/>
      <c r="X117" s="27">
        <v>1</v>
      </c>
      <c r="Y117" s="27"/>
      <c r="Z117" s="27" t="s">
        <v>1689</v>
      </c>
      <c r="AA117" s="29">
        <f>AB117*0.0052</f>
        <v>0.14560000000000001</v>
      </c>
      <c r="AB117" s="30">
        <v>28</v>
      </c>
      <c r="AC117" s="30">
        <f>AB117*0.089*24*365/10^6</f>
        <v>2.1829919999999999E-2</v>
      </c>
      <c r="AD117" s="30"/>
      <c r="AE117" s="30">
        <f>AB117</f>
        <v>28</v>
      </c>
      <c r="AF117" s="28" t="s">
        <v>1690</v>
      </c>
      <c r="AG117" s="28"/>
    </row>
    <row r="118" spans="1:33" ht="32.25" customHeight="1" x14ac:dyDescent="0.2">
      <c r="A118" s="27">
        <v>163</v>
      </c>
      <c r="B118" s="27" t="s">
        <v>1691</v>
      </c>
      <c r="C118" s="27" t="s">
        <v>804</v>
      </c>
      <c r="D118" s="27">
        <v>2015</v>
      </c>
      <c r="E118" s="27"/>
      <c r="F118" s="27" t="s">
        <v>836</v>
      </c>
      <c r="G118" s="27" t="s">
        <v>266</v>
      </c>
      <c r="H118" s="27"/>
      <c r="I118" s="27" t="s">
        <v>866</v>
      </c>
      <c r="J118" s="27"/>
      <c r="K118" s="27" t="s">
        <v>377</v>
      </c>
      <c r="L118" s="27"/>
      <c r="M118" s="27"/>
      <c r="N118" s="27"/>
      <c r="O118" s="27"/>
      <c r="P118" s="27"/>
      <c r="Q118" s="27"/>
      <c r="R118" s="27">
        <v>1</v>
      </c>
      <c r="S118" s="27"/>
      <c r="T118" s="27"/>
      <c r="U118" s="27"/>
      <c r="V118" s="27"/>
      <c r="W118" s="27"/>
      <c r="X118" s="27"/>
      <c r="Y118" s="27"/>
      <c r="Z118" s="27" t="s">
        <v>1692</v>
      </c>
      <c r="AA118" s="29">
        <v>0.02</v>
      </c>
      <c r="AB118" s="30">
        <f>AA118/0.0052</f>
        <v>3.8461538461538463</v>
      </c>
      <c r="AC118" s="50">
        <f>AB118*0.089*24*365/10^6</f>
        <v>2.9986153846153843E-3</v>
      </c>
      <c r="AD118" s="30"/>
      <c r="AE118" s="30">
        <f>AB118</f>
        <v>3.8461538461538463</v>
      </c>
      <c r="AF118" s="28" t="s">
        <v>1524</v>
      </c>
      <c r="AG118" s="28"/>
    </row>
    <row r="119" spans="1:33" ht="32.25" customHeight="1" x14ac:dyDescent="0.2">
      <c r="A119" s="27">
        <v>164</v>
      </c>
      <c r="B119" s="27" t="s">
        <v>1693</v>
      </c>
      <c r="C119" s="27" t="s">
        <v>339</v>
      </c>
      <c r="D119" s="27">
        <v>2015</v>
      </c>
      <c r="E119" s="27">
        <v>2021</v>
      </c>
      <c r="F119" s="27" t="s">
        <v>916</v>
      </c>
      <c r="G119" s="27" t="s">
        <v>266</v>
      </c>
      <c r="H119" s="27"/>
      <c r="I119" s="27" t="s">
        <v>768</v>
      </c>
      <c r="J119" s="27" t="s">
        <v>861</v>
      </c>
      <c r="K119" s="27" t="s">
        <v>377</v>
      </c>
      <c r="L119" s="27"/>
      <c r="M119" s="27"/>
      <c r="N119" s="27"/>
      <c r="O119" s="27"/>
      <c r="P119" s="27"/>
      <c r="Q119" s="27"/>
      <c r="R119" s="27"/>
      <c r="S119" s="27"/>
      <c r="T119" s="27"/>
      <c r="U119" s="27">
        <v>1</v>
      </c>
      <c r="V119" s="27"/>
      <c r="W119" s="27"/>
      <c r="X119" s="27"/>
      <c r="Y119" s="27"/>
      <c r="Z119" s="27" t="s">
        <v>1589</v>
      </c>
      <c r="AA119" s="29">
        <f>AB119*0.0052</f>
        <v>5.1999999999999998E-3</v>
      </c>
      <c r="AB119" s="30">
        <v>1</v>
      </c>
      <c r="AC119" s="50">
        <f>AB119*0.089*24*365/10^6</f>
        <v>7.7964000000000006E-4</v>
      </c>
      <c r="AD119" s="30"/>
      <c r="AE119" s="30">
        <f>AB119</f>
        <v>1</v>
      </c>
      <c r="AF119" s="28" t="s">
        <v>1694</v>
      </c>
      <c r="AG119" s="28"/>
    </row>
    <row r="120" spans="1:33" ht="32.25" customHeight="1" x14ac:dyDescent="0.2">
      <c r="A120" s="27">
        <v>165</v>
      </c>
      <c r="B120" s="27" t="s">
        <v>1695</v>
      </c>
      <c r="C120" s="27" t="s">
        <v>804</v>
      </c>
      <c r="D120" s="27">
        <v>2015</v>
      </c>
      <c r="E120" s="27">
        <v>2020</v>
      </c>
      <c r="F120" s="27" t="s">
        <v>916</v>
      </c>
      <c r="G120" s="27" t="s">
        <v>266</v>
      </c>
      <c r="H120" s="27"/>
      <c r="I120" s="27" t="s">
        <v>911</v>
      </c>
      <c r="J120" s="27"/>
      <c r="K120" s="27" t="s">
        <v>396</v>
      </c>
      <c r="L120" s="27"/>
      <c r="M120" s="27"/>
      <c r="N120" s="27"/>
      <c r="O120" s="27"/>
      <c r="P120" s="27"/>
      <c r="Q120" s="27"/>
      <c r="R120" s="27">
        <v>1</v>
      </c>
      <c r="S120" s="27"/>
      <c r="T120" s="27"/>
      <c r="U120" s="27"/>
      <c r="V120" s="27"/>
      <c r="W120" s="27"/>
      <c r="X120" s="27">
        <v>1</v>
      </c>
      <c r="Y120" s="27"/>
      <c r="Z120" s="27"/>
      <c r="AA120" s="29"/>
      <c r="AB120" s="30"/>
      <c r="AC120" s="50"/>
      <c r="AD120" s="30"/>
      <c r="AE120" s="30"/>
      <c r="AF120" s="28" t="s">
        <v>1696</v>
      </c>
      <c r="AG120" s="28"/>
    </row>
    <row r="121" spans="1:33" ht="32.25" customHeight="1" x14ac:dyDescent="0.2">
      <c r="A121" s="27">
        <v>167</v>
      </c>
      <c r="B121" s="27" t="s">
        <v>1697</v>
      </c>
      <c r="C121" s="27" t="s">
        <v>346</v>
      </c>
      <c r="D121" s="27">
        <v>2015</v>
      </c>
      <c r="E121" s="27">
        <v>2018</v>
      </c>
      <c r="F121" s="27" t="s">
        <v>916</v>
      </c>
      <c r="G121" s="27" t="s">
        <v>267</v>
      </c>
      <c r="H121" s="27"/>
      <c r="I121" s="27" t="s">
        <v>911</v>
      </c>
      <c r="J121" s="27"/>
      <c r="K121" s="27" t="s">
        <v>766</v>
      </c>
      <c r="L121" s="27"/>
      <c r="M121" s="27"/>
      <c r="N121" s="27"/>
      <c r="O121" s="27"/>
      <c r="P121" s="27"/>
      <c r="Q121" s="27"/>
      <c r="R121" s="27"/>
      <c r="S121" s="27"/>
      <c r="T121" s="27"/>
      <c r="U121" s="27"/>
      <c r="V121" s="27"/>
      <c r="W121" s="27">
        <v>1</v>
      </c>
      <c r="X121" s="27"/>
      <c r="Y121" s="27"/>
      <c r="Z121" s="27"/>
      <c r="AA121" s="29"/>
      <c r="AB121" s="30"/>
      <c r="AC121" s="50"/>
      <c r="AD121" s="30"/>
      <c r="AE121" s="30"/>
      <c r="AF121" s="28" t="s">
        <v>1698</v>
      </c>
      <c r="AG121" s="28"/>
    </row>
    <row r="122" spans="1:33" ht="32.25" customHeight="1" x14ac:dyDescent="0.2">
      <c r="A122" s="27">
        <v>169</v>
      </c>
      <c r="B122" s="27" t="s">
        <v>2869</v>
      </c>
      <c r="C122" s="27" t="s">
        <v>342</v>
      </c>
      <c r="D122" s="27">
        <v>2014</v>
      </c>
      <c r="E122" s="27"/>
      <c r="F122" s="27" t="s">
        <v>836</v>
      </c>
      <c r="G122" s="27" t="s">
        <v>268</v>
      </c>
      <c r="H122" s="27"/>
      <c r="I122" s="27" t="s">
        <v>911</v>
      </c>
      <c r="J122" s="27"/>
      <c r="K122" s="27" t="s">
        <v>377</v>
      </c>
      <c r="L122" s="27"/>
      <c r="M122" s="27"/>
      <c r="N122" s="27"/>
      <c r="O122" s="27"/>
      <c r="P122" s="27"/>
      <c r="Q122" s="27">
        <v>1</v>
      </c>
      <c r="R122" s="27"/>
      <c r="S122" s="27"/>
      <c r="T122" s="27"/>
      <c r="U122" s="27"/>
      <c r="V122" s="27"/>
      <c r="W122" s="27"/>
      <c r="X122" s="27"/>
      <c r="Y122" s="27"/>
      <c r="Z122" s="27" t="s">
        <v>1699</v>
      </c>
      <c r="AA122" s="29">
        <v>1</v>
      </c>
      <c r="AB122" s="30">
        <v>180</v>
      </c>
      <c r="AC122" s="50">
        <f>AB122*0.089*24*365/10^6</f>
        <v>0.14033520000000002</v>
      </c>
      <c r="AD122" s="30"/>
      <c r="AE122" s="30">
        <f>AB122</f>
        <v>180</v>
      </c>
      <c r="AF122" s="28" t="s">
        <v>2870</v>
      </c>
      <c r="AG122" s="28"/>
    </row>
    <row r="123" spans="1:33" ht="32.25" customHeight="1" x14ac:dyDescent="0.2">
      <c r="A123" s="27">
        <v>173</v>
      </c>
      <c r="B123" s="27" t="s">
        <v>1700</v>
      </c>
      <c r="C123" s="27" t="s">
        <v>804</v>
      </c>
      <c r="D123" s="27">
        <v>2014</v>
      </c>
      <c r="E123" s="27"/>
      <c r="F123" s="27" t="s">
        <v>836</v>
      </c>
      <c r="G123" s="27" t="s">
        <v>268</v>
      </c>
      <c r="H123" s="27"/>
      <c r="I123" s="27" t="s">
        <v>768</v>
      </c>
      <c r="J123" s="27" t="s">
        <v>862</v>
      </c>
      <c r="K123" s="27" t="s">
        <v>377</v>
      </c>
      <c r="L123" s="27"/>
      <c r="M123" s="27"/>
      <c r="N123" s="27"/>
      <c r="O123" s="27"/>
      <c r="P123" s="27"/>
      <c r="Q123" s="27">
        <v>1</v>
      </c>
      <c r="R123" s="27"/>
      <c r="S123" s="27"/>
      <c r="T123" s="27"/>
      <c r="U123" s="27"/>
      <c r="V123" s="27"/>
      <c r="W123" s="27"/>
      <c r="X123" s="27"/>
      <c r="Y123" s="27"/>
      <c r="Z123" s="27" t="s">
        <v>1675</v>
      </c>
      <c r="AA123" s="29">
        <v>0.5</v>
      </c>
      <c r="AB123" s="30">
        <v>100</v>
      </c>
      <c r="AC123" s="50">
        <f>AB123*0.089*24*365/10^6</f>
        <v>7.7964000000000019E-2</v>
      </c>
      <c r="AD123" s="30"/>
      <c r="AE123" s="30">
        <f>AB123</f>
        <v>100</v>
      </c>
      <c r="AF123" s="28" t="s">
        <v>1701</v>
      </c>
      <c r="AG123" s="28"/>
    </row>
    <row r="124" spans="1:33" ht="32.25" customHeight="1" x14ac:dyDescent="0.2">
      <c r="A124" s="27">
        <v>178</v>
      </c>
      <c r="B124" s="27" t="s">
        <v>3251</v>
      </c>
      <c r="C124" s="27" t="s">
        <v>804</v>
      </c>
      <c r="D124" s="27">
        <v>2023</v>
      </c>
      <c r="E124" s="27"/>
      <c r="F124" s="27" t="s">
        <v>753</v>
      </c>
      <c r="G124" s="27" t="s">
        <v>758</v>
      </c>
      <c r="H124" s="27" t="s">
        <v>1406</v>
      </c>
      <c r="I124" s="27" t="s">
        <v>768</v>
      </c>
      <c r="J124" s="27" t="s">
        <v>862</v>
      </c>
      <c r="K124" s="27" t="s">
        <v>377</v>
      </c>
      <c r="L124" s="27">
        <v>1</v>
      </c>
      <c r="M124" s="27"/>
      <c r="N124" s="27"/>
      <c r="O124" s="27"/>
      <c r="P124" s="27"/>
      <c r="Q124" s="27"/>
      <c r="R124" s="27"/>
      <c r="S124" s="27"/>
      <c r="T124" s="27"/>
      <c r="U124" s="27"/>
      <c r="V124" s="27"/>
      <c r="W124" s="27"/>
      <c r="X124" s="27"/>
      <c r="Y124" s="27"/>
      <c r="Z124" s="27" t="s">
        <v>1702</v>
      </c>
      <c r="AA124" s="29">
        <v>30</v>
      </c>
      <c r="AB124" s="30">
        <f>AA124/0.0045</f>
        <v>6666.666666666667</v>
      </c>
      <c r="AC124" s="50">
        <f>AB124*0.089*24*365/10^6</f>
        <v>5.1976000000000004</v>
      </c>
      <c r="AD124" s="30"/>
      <c r="AE124" s="30">
        <f>AB124</f>
        <v>6666.666666666667</v>
      </c>
      <c r="AF124" s="28" t="s">
        <v>1703</v>
      </c>
      <c r="AG124" s="28"/>
    </row>
    <row r="125" spans="1:33" ht="32.25" customHeight="1" x14ac:dyDescent="0.2">
      <c r="A125" s="27">
        <v>198</v>
      </c>
      <c r="B125" s="27" t="s">
        <v>1704</v>
      </c>
      <c r="C125" s="27" t="s">
        <v>804</v>
      </c>
      <c r="D125" s="27">
        <v>2014</v>
      </c>
      <c r="E125" s="27"/>
      <c r="F125" s="27" t="s">
        <v>836</v>
      </c>
      <c r="G125" s="27" t="s">
        <v>266</v>
      </c>
      <c r="H125" s="27"/>
      <c r="I125" s="27" t="s">
        <v>911</v>
      </c>
      <c r="J125" s="27"/>
      <c r="K125" s="27" t="s">
        <v>377</v>
      </c>
      <c r="L125" s="27"/>
      <c r="M125" s="27"/>
      <c r="N125" s="27"/>
      <c r="O125" s="27"/>
      <c r="P125" s="27"/>
      <c r="Q125" s="27"/>
      <c r="R125" s="27">
        <v>1</v>
      </c>
      <c r="S125" s="27">
        <v>1</v>
      </c>
      <c r="T125" s="27"/>
      <c r="U125" s="27"/>
      <c r="V125" s="27"/>
      <c r="W125" s="27"/>
      <c r="X125" s="27"/>
      <c r="Y125" s="27"/>
      <c r="Z125" s="27" t="s">
        <v>1609</v>
      </c>
      <c r="AA125" s="29">
        <f>AB125*0.0046</f>
        <v>1.84E-2</v>
      </c>
      <c r="AB125" s="30">
        <v>4</v>
      </c>
      <c r="AC125" s="50">
        <f>AB125*0.089*24*365/10^6</f>
        <v>3.1185600000000003E-3</v>
      </c>
      <c r="AD125" s="30"/>
      <c r="AE125" s="30">
        <f>AB125</f>
        <v>4</v>
      </c>
      <c r="AF125" s="28" t="s">
        <v>1705</v>
      </c>
      <c r="AG125" s="28"/>
    </row>
    <row r="126" spans="1:33" ht="32.25" customHeight="1" x14ac:dyDescent="0.2">
      <c r="A126" s="27">
        <v>199</v>
      </c>
      <c r="B126" s="27" t="s">
        <v>1706</v>
      </c>
      <c r="C126" s="27" t="s">
        <v>804</v>
      </c>
      <c r="D126" s="27">
        <v>2014</v>
      </c>
      <c r="E126" s="27"/>
      <c r="F126" s="27" t="s">
        <v>836</v>
      </c>
      <c r="G126" s="27" t="s">
        <v>758</v>
      </c>
      <c r="H126" s="27"/>
      <c r="I126" s="27" t="s">
        <v>911</v>
      </c>
      <c r="J126" s="27"/>
      <c r="K126" s="27" t="s">
        <v>396</v>
      </c>
      <c r="L126" s="27"/>
      <c r="M126" s="27"/>
      <c r="N126" s="27"/>
      <c r="O126" s="27"/>
      <c r="P126" s="27"/>
      <c r="Q126" s="27"/>
      <c r="R126" s="27"/>
      <c r="S126" s="27"/>
      <c r="T126" s="27"/>
      <c r="U126" s="27"/>
      <c r="V126" s="27"/>
      <c r="W126" s="27"/>
      <c r="X126" s="27">
        <v>1</v>
      </c>
      <c r="Y126" s="27"/>
      <c r="Z126" s="27"/>
      <c r="AA126" s="29"/>
      <c r="AB126" s="30"/>
      <c r="AC126" s="50"/>
      <c r="AD126" s="30"/>
      <c r="AE126" s="30"/>
      <c r="AF126" s="28" t="s">
        <v>1707</v>
      </c>
      <c r="AG126" s="28"/>
    </row>
    <row r="127" spans="1:33" ht="32.25" customHeight="1" x14ac:dyDescent="0.2">
      <c r="A127" s="27">
        <v>200</v>
      </c>
      <c r="B127" s="27" t="s">
        <v>1708</v>
      </c>
      <c r="C127" s="27" t="s">
        <v>804</v>
      </c>
      <c r="D127" s="27">
        <v>2013</v>
      </c>
      <c r="E127" s="27"/>
      <c r="F127" s="27" t="s">
        <v>836</v>
      </c>
      <c r="G127" s="27" t="s">
        <v>268</v>
      </c>
      <c r="H127" s="27"/>
      <c r="I127" s="27" t="s">
        <v>866</v>
      </c>
      <c r="J127" s="27"/>
      <c r="K127" s="27" t="s">
        <v>396</v>
      </c>
      <c r="L127" s="27"/>
      <c r="M127" s="27"/>
      <c r="N127" s="27"/>
      <c r="O127" s="27"/>
      <c r="P127" s="27"/>
      <c r="Q127" s="27"/>
      <c r="R127" s="27"/>
      <c r="S127" s="27"/>
      <c r="T127" s="27"/>
      <c r="U127" s="27"/>
      <c r="V127" s="27"/>
      <c r="W127" s="27"/>
      <c r="X127" s="27">
        <v>1</v>
      </c>
      <c r="Y127" s="27">
        <v>1</v>
      </c>
      <c r="Z127" s="27" t="s">
        <v>1480</v>
      </c>
      <c r="AA127" s="29">
        <v>6</v>
      </c>
      <c r="AB127" s="30">
        <f>AA127/0.0046</f>
        <v>1304.3478260869565</v>
      </c>
      <c r="AC127" s="50">
        <f>AB127*0.089*24*365/10^6</f>
        <v>1.0169217391304346</v>
      </c>
      <c r="AD127" s="30"/>
      <c r="AE127" s="30">
        <f>AB127</f>
        <v>1304.3478260869565</v>
      </c>
      <c r="AF127" s="28" t="s">
        <v>1709</v>
      </c>
      <c r="AG127" s="28"/>
    </row>
    <row r="128" spans="1:33" ht="32.25" customHeight="1" x14ac:dyDescent="0.2">
      <c r="A128" s="27">
        <v>201</v>
      </c>
      <c r="B128" s="27" t="s">
        <v>1710</v>
      </c>
      <c r="C128" s="27" t="s">
        <v>346</v>
      </c>
      <c r="D128" s="27">
        <v>2013</v>
      </c>
      <c r="E128" s="27"/>
      <c r="F128" s="27" t="s">
        <v>836</v>
      </c>
      <c r="G128" s="27" t="s">
        <v>268</v>
      </c>
      <c r="H128" s="27"/>
      <c r="I128" s="27" t="s">
        <v>866</v>
      </c>
      <c r="J128" s="27"/>
      <c r="K128" s="27" t="s">
        <v>377</v>
      </c>
      <c r="L128" s="27"/>
      <c r="M128" s="27"/>
      <c r="N128" s="27"/>
      <c r="O128" s="27"/>
      <c r="P128" s="27"/>
      <c r="Q128" s="27">
        <v>1</v>
      </c>
      <c r="R128" s="27"/>
      <c r="S128" s="27"/>
      <c r="T128" s="27"/>
      <c r="U128" s="27"/>
      <c r="V128" s="27"/>
      <c r="W128" s="27"/>
      <c r="X128" s="27"/>
      <c r="Y128" s="27"/>
      <c r="Z128" s="27" t="s">
        <v>1711</v>
      </c>
      <c r="AA128" s="29">
        <f>AB128*0.0046</f>
        <v>0.43071161048689133</v>
      </c>
      <c r="AB128" s="30">
        <f>AC128/(0.089*24*365/10^6)</f>
        <v>93.63295880149812</v>
      </c>
      <c r="AC128" s="30">
        <v>7.2999999999999995E-2</v>
      </c>
      <c r="AD128" s="30"/>
      <c r="AE128" s="30">
        <f>AB128</f>
        <v>93.63295880149812</v>
      </c>
      <c r="AF128" s="52" t="s">
        <v>1712</v>
      </c>
      <c r="AG128" s="52"/>
    </row>
    <row r="129" spans="1:33" ht="32.25" customHeight="1" x14ac:dyDescent="0.2">
      <c r="A129" s="27">
        <v>202</v>
      </c>
      <c r="B129" s="27" t="s">
        <v>1713</v>
      </c>
      <c r="C129" s="27" t="s">
        <v>804</v>
      </c>
      <c r="D129" s="27">
        <v>2013</v>
      </c>
      <c r="E129" s="27"/>
      <c r="F129" s="27" t="s">
        <v>836</v>
      </c>
      <c r="G129" s="27" t="s">
        <v>268</v>
      </c>
      <c r="H129" s="27"/>
      <c r="I129" s="27" t="s">
        <v>768</v>
      </c>
      <c r="J129" s="27" t="s">
        <v>862</v>
      </c>
      <c r="K129" s="27" t="s">
        <v>377</v>
      </c>
      <c r="L129" s="27"/>
      <c r="M129" s="27"/>
      <c r="N129" s="27"/>
      <c r="O129" s="27"/>
      <c r="P129" s="27"/>
      <c r="Q129" s="27"/>
      <c r="R129" s="27"/>
      <c r="S129" s="27">
        <v>1</v>
      </c>
      <c r="T129" s="27"/>
      <c r="U129" s="27"/>
      <c r="V129" s="27"/>
      <c r="W129" s="27"/>
      <c r="X129" s="27"/>
      <c r="Y129" s="27"/>
      <c r="Z129" s="27" t="s">
        <v>1548</v>
      </c>
      <c r="AA129" s="29">
        <v>1</v>
      </c>
      <c r="AB129" s="30">
        <v>180</v>
      </c>
      <c r="AC129" s="50">
        <f>AB129*0.089*24*365/10^6</f>
        <v>0.14033520000000002</v>
      </c>
      <c r="AD129" s="30"/>
      <c r="AE129" s="30">
        <f>AB129</f>
        <v>180</v>
      </c>
      <c r="AF129" s="28" t="s">
        <v>1549</v>
      </c>
      <c r="AG129" s="28"/>
    </row>
    <row r="130" spans="1:33" ht="32.25" customHeight="1" x14ac:dyDescent="0.2">
      <c r="A130" s="27">
        <v>203</v>
      </c>
      <c r="B130" s="27" t="s">
        <v>1714</v>
      </c>
      <c r="C130" s="27" t="s">
        <v>804</v>
      </c>
      <c r="D130" s="27">
        <v>2013</v>
      </c>
      <c r="E130" s="27"/>
      <c r="F130" s="27" t="s">
        <v>836</v>
      </c>
      <c r="G130" s="27" t="s">
        <v>266</v>
      </c>
      <c r="H130" s="27"/>
      <c r="I130" s="27" t="s">
        <v>911</v>
      </c>
      <c r="J130" s="27"/>
      <c r="K130" s="27" t="s">
        <v>377</v>
      </c>
      <c r="L130" s="27"/>
      <c r="M130" s="27"/>
      <c r="N130" s="27"/>
      <c r="O130" s="27"/>
      <c r="P130" s="27"/>
      <c r="Q130" s="27"/>
      <c r="R130" s="27"/>
      <c r="S130" s="27">
        <v>1</v>
      </c>
      <c r="T130" s="27"/>
      <c r="U130" s="27"/>
      <c r="V130" s="27"/>
      <c r="W130" s="27"/>
      <c r="X130" s="27"/>
      <c r="Y130" s="27"/>
      <c r="Z130" s="27" t="s">
        <v>1715</v>
      </c>
      <c r="AA130" s="29">
        <v>1</v>
      </c>
      <c r="AB130" s="30">
        <f>AA130/0.0052</f>
        <v>192.30769230769232</v>
      </c>
      <c r="AC130" s="50">
        <f>AB130*0.089*24*365/10^6</f>
        <v>0.14993076923076926</v>
      </c>
      <c r="AD130" s="30"/>
      <c r="AE130" s="30">
        <f>AB130</f>
        <v>192.30769230769232</v>
      </c>
      <c r="AF130" s="28" t="s">
        <v>1716</v>
      </c>
      <c r="AG130" s="28"/>
    </row>
    <row r="131" spans="1:33" ht="32.25" customHeight="1" x14ac:dyDescent="0.2">
      <c r="A131" s="27">
        <v>204</v>
      </c>
      <c r="B131" s="27" t="s">
        <v>1717</v>
      </c>
      <c r="C131" s="27" t="s">
        <v>332</v>
      </c>
      <c r="D131" s="27">
        <v>2013</v>
      </c>
      <c r="E131" s="27"/>
      <c r="F131" s="27" t="s">
        <v>836</v>
      </c>
      <c r="G131" s="27" t="s">
        <v>268</v>
      </c>
      <c r="H131" s="27"/>
      <c r="I131" s="27" t="s">
        <v>911</v>
      </c>
      <c r="J131" s="27"/>
      <c r="K131" s="27" t="s">
        <v>377</v>
      </c>
      <c r="L131" s="27"/>
      <c r="M131" s="27"/>
      <c r="N131" s="27"/>
      <c r="O131" s="27"/>
      <c r="P131" s="27"/>
      <c r="Q131" s="27">
        <v>1</v>
      </c>
      <c r="R131" s="27"/>
      <c r="S131" s="27"/>
      <c r="T131" s="27"/>
      <c r="U131" s="27"/>
      <c r="V131" s="27"/>
      <c r="W131" s="27"/>
      <c r="X131" s="27"/>
      <c r="Y131" s="27"/>
      <c r="Z131" s="27" t="s">
        <v>1718</v>
      </c>
      <c r="AA131" s="29">
        <v>0.6</v>
      </c>
      <c r="AB131" s="30">
        <v>120</v>
      </c>
      <c r="AC131" s="50">
        <f>AB131*0.089*24*365/10^6</f>
        <v>9.3556800000000009E-2</v>
      </c>
      <c r="AD131" s="30"/>
      <c r="AE131" s="30">
        <f>AB131</f>
        <v>120</v>
      </c>
      <c r="AF131" s="28"/>
      <c r="AG131" s="28"/>
    </row>
    <row r="132" spans="1:33" ht="32.25" customHeight="1" x14ac:dyDescent="0.2">
      <c r="A132" s="27">
        <v>205</v>
      </c>
      <c r="B132" s="27" t="s">
        <v>1719</v>
      </c>
      <c r="C132" s="27" t="s">
        <v>346</v>
      </c>
      <c r="D132" s="27">
        <v>2022</v>
      </c>
      <c r="E132" s="27"/>
      <c r="F132" s="27" t="s">
        <v>754</v>
      </c>
      <c r="G132" s="27" t="s">
        <v>266</v>
      </c>
      <c r="H132" s="27"/>
      <c r="I132" s="27" t="s">
        <v>866</v>
      </c>
      <c r="J132" s="27"/>
      <c r="K132" s="27" t="s">
        <v>377</v>
      </c>
      <c r="L132" s="27">
        <v>1</v>
      </c>
      <c r="M132" s="27"/>
      <c r="N132" s="27"/>
      <c r="O132" s="27"/>
      <c r="P132" s="27"/>
      <c r="Q132" s="27"/>
      <c r="R132" s="27"/>
      <c r="S132" s="27"/>
      <c r="T132" s="27"/>
      <c r="U132" s="27"/>
      <c r="V132" s="27"/>
      <c r="W132" s="27"/>
      <c r="X132" s="27"/>
      <c r="Y132" s="27"/>
      <c r="Z132" s="27" t="s">
        <v>1403</v>
      </c>
      <c r="AA132" s="29">
        <v>20</v>
      </c>
      <c r="AB132" s="30">
        <f>AA132/0.0052</f>
        <v>3846.1538461538462</v>
      </c>
      <c r="AC132" s="30">
        <f>AB132*0.089*24*365/10^6</f>
        <v>2.9986153846153845</v>
      </c>
      <c r="AD132" s="30"/>
      <c r="AE132" s="30">
        <f>AB132</f>
        <v>3846.1538461538462</v>
      </c>
      <c r="AF132" s="28" t="s">
        <v>1720</v>
      </c>
      <c r="AG132" s="74" t="s">
        <v>3953</v>
      </c>
    </row>
    <row r="133" spans="1:33" ht="32.25" customHeight="1" x14ac:dyDescent="0.2">
      <c r="A133" s="27">
        <v>207</v>
      </c>
      <c r="B133" s="27" t="s">
        <v>1721</v>
      </c>
      <c r="C133" s="27" t="s">
        <v>804</v>
      </c>
      <c r="D133" s="27">
        <v>2013</v>
      </c>
      <c r="E133" s="27"/>
      <c r="F133" s="27" t="s">
        <v>836</v>
      </c>
      <c r="G133" s="27" t="s">
        <v>266</v>
      </c>
      <c r="H133" s="27"/>
      <c r="I133" s="27" t="s">
        <v>866</v>
      </c>
      <c r="J133" s="27"/>
      <c r="K133" s="27" t="s">
        <v>396</v>
      </c>
      <c r="L133" s="27"/>
      <c r="M133" s="27"/>
      <c r="N133" s="27"/>
      <c r="O133" s="27"/>
      <c r="P133" s="27"/>
      <c r="Q133" s="27"/>
      <c r="R133" s="27"/>
      <c r="S133" s="27"/>
      <c r="T133" s="27"/>
      <c r="U133" s="27"/>
      <c r="V133" s="27"/>
      <c r="W133" s="27"/>
      <c r="X133" s="27">
        <v>1</v>
      </c>
      <c r="Y133" s="27"/>
      <c r="Z133" s="27" t="s">
        <v>1722</v>
      </c>
      <c r="AA133" s="29">
        <f>AB133*0.0046</f>
        <v>0.22999999999999998</v>
      </c>
      <c r="AB133" s="30">
        <v>50</v>
      </c>
      <c r="AC133" s="50">
        <f>AB133*0.089*24*365/10^6</f>
        <v>3.898200000000001E-2</v>
      </c>
      <c r="AD133" s="30"/>
      <c r="AE133" s="30">
        <f>AB133</f>
        <v>50</v>
      </c>
      <c r="AF133" s="28" t="s">
        <v>1723</v>
      </c>
      <c r="AG133" s="28"/>
    </row>
    <row r="134" spans="1:33" ht="32.25" customHeight="1" x14ac:dyDescent="0.2">
      <c r="A134" s="27">
        <v>211</v>
      </c>
      <c r="B134" s="27" t="s">
        <v>1724</v>
      </c>
      <c r="C134" s="27" t="s">
        <v>336</v>
      </c>
      <c r="D134" s="27">
        <v>2013</v>
      </c>
      <c r="E134" s="27"/>
      <c r="F134" s="27" t="s">
        <v>836</v>
      </c>
      <c r="G134" s="27" t="s">
        <v>268</v>
      </c>
      <c r="H134" s="27"/>
      <c r="I134" s="27" t="s">
        <v>911</v>
      </c>
      <c r="J134" s="27"/>
      <c r="K134" s="27" t="s">
        <v>377</v>
      </c>
      <c r="L134" s="27"/>
      <c r="M134" s="27"/>
      <c r="N134" s="27"/>
      <c r="O134" s="27"/>
      <c r="P134" s="27"/>
      <c r="Q134" s="27"/>
      <c r="R134" s="27">
        <v>1</v>
      </c>
      <c r="S134" s="27"/>
      <c r="T134" s="27"/>
      <c r="U134" s="27"/>
      <c r="V134" s="27"/>
      <c r="W134" s="27"/>
      <c r="X134" s="27"/>
      <c r="Y134" s="27"/>
      <c r="Z134" s="27" t="s">
        <v>1725</v>
      </c>
      <c r="AA134" s="29">
        <v>0.2</v>
      </c>
      <c r="AB134" s="30">
        <v>30</v>
      </c>
      <c r="AC134" s="30">
        <f>AB134*0.089*24*365/10^6</f>
        <v>2.3389200000000002E-2</v>
      </c>
      <c r="AD134" s="30"/>
      <c r="AE134" s="30">
        <f>AB134</f>
        <v>30</v>
      </c>
      <c r="AF134" s="28" t="s">
        <v>1726</v>
      </c>
      <c r="AG134" s="28"/>
    </row>
    <row r="135" spans="1:33" ht="32.25" customHeight="1" x14ac:dyDescent="0.2">
      <c r="A135" s="27">
        <v>213</v>
      </c>
      <c r="B135" s="27" t="s">
        <v>1727</v>
      </c>
      <c r="C135" s="27" t="s">
        <v>804</v>
      </c>
      <c r="D135" s="27">
        <v>2013</v>
      </c>
      <c r="E135" s="27"/>
      <c r="F135" s="27" t="s">
        <v>836</v>
      </c>
      <c r="G135" s="27" t="s">
        <v>266</v>
      </c>
      <c r="H135" s="27"/>
      <c r="I135" s="27" t="s">
        <v>866</v>
      </c>
      <c r="J135" s="27"/>
      <c r="K135" s="27" t="s">
        <v>396</v>
      </c>
      <c r="L135" s="27"/>
      <c r="M135" s="27"/>
      <c r="N135" s="27"/>
      <c r="O135" s="27"/>
      <c r="P135" s="27"/>
      <c r="Q135" s="27"/>
      <c r="R135" s="27"/>
      <c r="S135" s="27"/>
      <c r="T135" s="27"/>
      <c r="U135" s="27"/>
      <c r="V135" s="27"/>
      <c r="W135" s="27"/>
      <c r="X135" s="27">
        <v>1</v>
      </c>
      <c r="Y135" s="27"/>
      <c r="Z135" s="27" t="s">
        <v>1728</v>
      </c>
      <c r="AA135" s="29">
        <v>0.18</v>
      </c>
      <c r="AB135" s="30">
        <f>AA135/0.0052</f>
        <v>34.615384615384613</v>
      </c>
      <c r="AC135" s="50">
        <f>AB135*0.089*24*365/10^6</f>
        <v>2.6987538461538459E-2</v>
      </c>
      <c r="AD135" s="30"/>
      <c r="AE135" s="30">
        <f>AB135</f>
        <v>34.615384615384613</v>
      </c>
      <c r="AF135" s="28" t="s">
        <v>1729</v>
      </c>
      <c r="AG135" s="28"/>
    </row>
    <row r="136" spans="1:33" ht="32.25" customHeight="1" x14ac:dyDescent="0.2">
      <c r="A136" s="27">
        <v>221</v>
      </c>
      <c r="B136" s="27" t="s">
        <v>1730</v>
      </c>
      <c r="C136" s="27" t="s">
        <v>804</v>
      </c>
      <c r="D136" s="27">
        <v>2013</v>
      </c>
      <c r="E136" s="27"/>
      <c r="F136" s="27" t="s">
        <v>836</v>
      </c>
      <c r="G136" s="27" t="s">
        <v>266</v>
      </c>
      <c r="H136" s="27"/>
      <c r="I136" s="27" t="s">
        <v>768</v>
      </c>
      <c r="J136" s="27" t="s">
        <v>861</v>
      </c>
      <c r="K136" s="27" t="s">
        <v>377</v>
      </c>
      <c r="L136" s="27"/>
      <c r="M136" s="27"/>
      <c r="N136" s="27"/>
      <c r="O136" s="27"/>
      <c r="P136" s="27"/>
      <c r="Q136" s="27">
        <v>1</v>
      </c>
      <c r="R136" s="27"/>
      <c r="S136" s="27"/>
      <c r="T136" s="27"/>
      <c r="U136" s="27"/>
      <c r="V136" s="27"/>
      <c r="W136" s="27"/>
      <c r="X136" s="27"/>
      <c r="Y136" s="27"/>
      <c r="Z136" s="27" t="s">
        <v>1731</v>
      </c>
      <c r="AA136" s="29">
        <v>0.04</v>
      </c>
      <c r="AB136" s="30">
        <f>AA136/0.0052</f>
        <v>7.6923076923076925</v>
      </c>
      <c r="AC136" s="50">
        <f>AB136*0.089*24*365/10^6</f>
        <v>5.9972307692307686E-3</v>
      </c>
      <c r="AD136" s="30"/>
      <c r="AE136" s="30">
        <f>AB136</f>
        <v>7.6923076923076925</v>
      </c>
      <c r="AF136" s="28" t="s">
        <v>1732</v>
      </c>
      <c r="AG136" s="28"/>
    </row>
    <row r="137" spans="1:33" ht="32.25" customHeight="1" x14ac:dyDescent="0.2">
      <c r="A137" s="27">
        <v>222</v>
      </c>
      <c r="B137" s="27" t="s">
        <v>1733</v>
      </c>
      <c r="C137" s="27" t="s">
        <v>340</v>
      </c>
      <c r="D137" s="27">
        <v>2005</v>
      </c>
      <c r="E137" s="27"/>
      <c r="F137" s="27" t="s">
        <v>836</v>
      </c>
      <c r="G137" s="27" t="s">
        <v>268</v>
      </c>
      <c r="H137" s="27"/>
      <c r="I137" s="27" t="s">
        <v>756</v>
      </c>
      <c r="J137" s="27"/>
      <c r="K137" s="27" t="s">
        <v>377</v>
      </c>
      <c r="L137" s="27"/>
      <c r="M137" s="27"/>
      <c r="N137" s="27"/>
      <c r="O137" s="27"/>
      <c r="P137" s="27"/>
      <c r="Q137" s="27"/>
      <c r="R137" s="27"/>
      <c r="S137" s="27"/>
      <c r="T137" s="27"/>
      <c r="U137" s="27"/>
      <c r="V137" s="27"/>
      <c r="W137" s="27"/>
      <c r="X137" s="27"/>
      <c r="Y137" s="27"/>
      <c r="Z137" s="27"/>
      <c r="AA137" s="29"/>
      <c r="AB137" s="30"/>
      <c r="AC137" s="50"/>
      <c r="AD137" s="30"/>
      <c r="AE137" s="30"/>
      <c r="AF137" s="28" t="s">
        <v>1734</v>
      </c>
      <c r="AG137" s="28"/>
    </row>
    <row r="138" spans="1:33" ht="32.25" customHeight="1" x14ac:dyDescent="0.2">
      <c r="A138" s="27">
        <v>223</v>
      </c>
      <c r="B138" s="27" t="s">
        <v>1735</v>
      </c>
      <c r="C138" s="27" t="s">
        <v>980</v>
      </c>
      <c r="D138" s="27">
        <v>2013</v>
      </c>
      <c r="E138" s="27"/>
      <c r="F138" s="27" t="s">
        <v>916</v>
      </c>
      <c r="G138" s="27" t="s">
        <v>266</v>
      </c>
      <c r="H138" s="27"/>
      <c r="I138" s="27" t="s">
        <v>911</v>
      </c>
      <c r="J138" s="27"/>
      <c r="K138" s="27" t="s">
        <v>377</v>
      </c>
      <c r="L138" s="27"/>
      <c r="M138" s="27"/>
      <c r="N138" s="27"/>
      <c r="O138" s="27"/>
      <c r="P138" s="27"/>
      <c r="Q138" s="27"/>
      <c r="R138" s="27">
        <v>1</v>
      </c>
      <c r="S138" s="27"/>
      <c r="T138" s="27"/>
      <c r="U138" s="27"/>
      <c r="V138" s="27"/>
      <c r="W138" s="27"/>
      <c r="X138" s="27"/>
      <c r="Y138" s="27"/>
      <c r="Z138" s="27" t="s">
        <v>1736</v>
      </c>
      <c r="AA138" s="29">
        <f>AB138*0.0052</f>
        <v>3.1199999999999999E-3</v>
      </c>
      <c r="AB138" s="30">
        <v>0.6</v>
      </c>
      <c r="AC138" s="50">
        <f>AB138*0.089*24*365/10^6</f>
        <v>4.6778399999999995E-4</v>
      </c>
      <c r="AD138" s="30"/>
      <c r="AE138" s="30">
        <f>AB138</f>
        <v>0.6</v>
      </c>
      <c r="AF138" s="28" t="s">
        <v>1737</v>
      </c>
      <c r="AG138" s="28"/>
    </row>
    <row r="139" spans="1:33" ht="32.25" customHeight="1" x14ac:dyDescent="0.2">
      <c r="A139" s="27">
        <v>225</v>
      </c>
      <c r="B139" s="27" t="s">
        <v>1738</v>
      </c>
      <c r="C139" s="27" t="s">
        <v>804</v>
      </c>
      <c r="D139" s="27">
        <v>2021</v>
      </c>
      <c r="E139" s="27"/>
      <c r="F139" s="27" t="s">
        <v>836</v>
      </c>
      <c r="G139" s="27" t="s">
        <v>266</v>
      </c>
      <c r="H139" s="27"/>
      <c r="I139" s="27" t="s">
        <v>911</v>
      </c>
      <c r="J139" s="27"/>
      <c r="K139" s="27" t="s">
        <v>377</v>
      </c>
      <c r="L139" s="27">
        <v>1</v>
      </c>
      <c r="M139" s="27"/>
      <c r="N139" s="27"/>
      <c r="O139" s="27"/>
      <c r="P139" s="27"/>
      <c r="Q139" s="27"/>
      <c r="R139" s="27"/>
      <c r="S139" s="27"/>
      <c r="T139" s="27"/>
      <c r="U139" s="27"/>
      <c r="V139" s="27"/>
      <c r="W139" s="27"/>
      <c r="X139" s="27"/>
      <c r="Y139" s="27"/>
      <c r="Z139" s="29" t="s">
        <v>1446</v>
      </c>
      <c r="AA139" s="29">
        <v>10</v>
      </c>
      <c r="AB139" s="30">
        <f>AA139/0.0052</f>
        <v>1923.0769230769231</v>
      </c>
      <c r="AC139" s="50">
        <f>AB139*0.089*24*365/10^6</f>
        <v>1.4993076923076922</v>
      </c>
      <c r="AD139" s="30"/>
      <c r="AE139" s="30">
        <f>AB139</f>
        <v>1923.0769230769231</v>
      </c>
      <c r="AF139" s="28" t="s">
        <v>1739</v>
      </c>
      <c r="AG139" s="28"/>
    </row>
    <row r="140" spans="1:33" ht="32.25" customHeight="1" x14ac:dyDescent="0.2">
      <c r="A140" s="27">
        <v>227</v>
      </c>
      <c r="B140" s="27" t="s">
        <v>1740</v>
      </c>
      <c r="C140" s="27" t="s">
        <v>804</v>
      </c>
      <c r="D140" s="27">
        <v>2018</v>
      </c>
      <c r="E140" s="27"/>
      <c r="F140" s="27" t="s">
        <v>836</v>
      </c>
      <c r="G140" s="27" t="s">
        <v>266</v>
      </c>
      <c r="H140" s="27"/>
      <c r="I140" s="27" t="s">
        <v>866</v>
      </c>
      <c r="J140" s="27"/>
      <c r="K140" s="27" t="s">
        <v>377</v>
      </c>
      <c r="L140" s="27">
        <v>1</v>
      </c>
      <c r="M140" s="27"/>
      <c r="N140" s="27"/>
      <c r="O140" s="27"/>
      <c r="P140" s="27"/>
      <c r="Q140" s="27"/>
      <c r="R140" s="27"/>
      <c r="S140" s="27"/>
      <c r="T140" s="27"/>
      <c r="U140" s="27"/>
      <c r="V140" s="27"/>
      <c r="W140" s="27"/>
      <c r="X140" s="27"/>
      <c r="Y140" s="27"/>
      <c r="Z140" s="27" t="s">
        <v>1741</v>
      </c>
      <c r="AA140" s="29">
        <v>5</v>
      </c>
      <c r="AB140" s="30">
        <f>AA140/0.0052</f>
        <v>961.53846153846155</v>
      </c>
      <c r="AC140" s="50">
        <f>AB140*0.089*24*365/10^6</f>
        <v>0.74965384615384612</v>
      </c>
      <c r="AD140" s="30"/>
      <c r="AE140" s="30">
        <f>AB140</f>
        <v>961.53846153846155</v>
      </c>
      <c r="AF140" s="28" t="s">
        <v>1742</v>
      </c>
      <c r="AG140" s="28"/>
    </row>
    <row r="141" spans="1:33" ht="32.25" customHeight="1" x14ac:dyDescent="0.2">
      <c r="A141" s="27">
        <v>235</v>
      </c>
      <c r="B141" s="27" t="s">
        <v>1743</v>
      </c>
      <c r="C141" s="27" t="s">
        <v>804</v>
      </c>
      <c r="D141" s="27">
        <v>2012</v>
      </c>
      <c r="E141" s="27"/>
      <c r="F141" s="27" t="s">
        <v>836</v>
      </c>
      <c r="G141" s="27" t="s">
        <v>268</v>
      </c>
      <c r="H141" s="27"/>
      <c r="I141" s="27" t="s">
        <v>911</v>
      </c>
      <c r="J141" s="27"/>
      <c r="K141" s="27" t="s">
        <v>377</v>
      </c>
      <c r="L141" s="27"/>
      <c r="M141" s="27"/>
      <c r="N141" s="27"/>
      <c r="O141" s="27"/>
      <c r="P141" s="27"/>
      <c r="Q141" s="27">
        <v>1</v>
      </c>
      <c r="R141" s="27">
        <v>1</v>
      </c>
      <c r="S141" s="27"/>
      <c r="T141" s="27">
        <v>1</v>
      </c>
      <c r="U141" s="27"/>
      <c r="V141" s="27"/>
      <c r="W141" s="27"/>
      <c r="X141" s="27"/>
      <c r="Y141" s="27"/>
      <c r="Z141" s="27" t="s">
        <v>1744</v>
      </c>
      <c r="AA141" s="29">
        <v>0.16500000000000001</v>
      </c>
      <c r="AB141" s="30">
        <f>AA141/0.0046</f>
        <v>35.869565217391305</v>
      </c>
      <c r="AC141" s="50">
        <f>AB141*0.089*24*365/10^6</f>
        <v>2.7965347826086954E-2</v>
      </c>
      <c r="AD141" s="30"/>
      <c r="AE141" s="30">
        <f>AB141</f>
        <v>35.869565217391305</v>
      </c>
      <c r="AF141" s="28" t="s">
        <v>1745</v>
      </c>
      <c r="AG141" s="28"/>
    </row>
    <row r="142" spans="1:33" ht="32.25" customHeight="1" x14ac:dyDescent="0.2">
      <c r="A142" s="27">
        <v>236</v>
      </c>
      <c r="B142" s="27" t="s">
        <v>1746</v>
      </c>
      <c r="C142" s="27" t="s">
        <v>804</v>
      </c>
      <c r="D142" s="27">
        <v>2012</v>
      </c>
      <c r="E142" s="27"/>
      <c r="F142" s="27" t="s">
        <v>836</v>
      </c>
      <c r="G142" s="27" t="s">
        <v>268</v>
      </c>
      <c r="H142" s="27"/>
      <c r="I142" s="27" t="s">
        <v>911</v>
      </c>
      <c r="J142" s="27"/>
      <c r="K142" s="27" t="s">
        <v>377</v>
      </c>
      <c r="L142" s="27"/>
      <c r="M142" s="27"/>
      <c r="N142" s="27"/>
      <c r="O142" s="27"/>
      <c r="P142" s="27"/>
      <c r="Q142" s="27"/>
      <c r="R142" s="27">
        <v>1</v>
      </c>
      <c r="S142" s="27"/>
      <c r="T142" s="27"/>
      <c r="U142" s="27"/>
      <c r="V142" s="27"/>
      <c r="W142" s="27"/>
      <c r="X142" s="27"/>
      <c r="Y142" s="27"/>
      <c r="Z142" s="27" t="s">
        <v>1747</v>
      </c>
      <c r="AA142" s="29">
        <v>0.14000000000000001</v>
      </c>
      <c r="AB142" s="30">
        <f>AA142/0.0046</f>
        <v>30.434782608695656</v>
      </c>
      <c r="AC142" s="50">
        <f>AB142*0.089*24*365/10^6</f>
        <v>2.3728173913043479E-2</v>
      </c>
      <c r="AD142" s="30"/>
      <c r="AE142" s="30">
        <f>AB142</f>
        <v>30.434782608695656</v>
      </c>
      <c r="AF142" s="28" t="s">
        <v>1748</v>
      </c>
      <c r="AG142" s="28"/>
    </row>
    <row r="143" spans="1:33" ht="32.25" customHeight="1" x14ac:dyDescent="0.2">
      <c r="A143" s="27">
        <v>239</v>
      </c>
      <c r="B143" s="27" t="s">
        <v>1749</v>
      </c>
      <c r="C143" s="27" t="s">
        <v>804</v>
      </c>
      <c r="D143" s="27">
        <v>2012</v>
      </c>
      <c r="E143" s="27"/>
      <c r="F143" s="27" t="s">
        <v>836</v>
      </c>
      <c r="G143" s="27" t="s">
        <v>268</v>
      </c>
      <c r="H143" s="27"/>
      <c r="I143" s="27" t="s">
        <v>911</v>
      </c>
      <c r="J143" s="27"/>
      <c r="K143" s="27" t="s">
        <v>377</v>
      </c>
      <c r="L143" s="27"/>
      <c r="M143" s="27"/>
      <c r="N143" s="27"/>
      <c r="O143" s="27"/>
      <c r="P143" s="27"/>
      <c r="Q143" s="27">
        <v>1</v>
      </c>
      <c r="R143" s="27"/>
      <c r="S143" s="27"/>
      <c r="T143" s="27"/>
      <c r="U143" s="27"/>
      <c r="V143" s="27"/>
      <c r="W143" s="27"/>
      <c r="X143" s="27"/>
      <c r="Y143" s="27"/>
      <c r="Z143" s="27" t="s">
        <v>1750</v>
      </c>
      <c r="AA143" s="29">
        <v>0.12</v>
      </c>
      <c r="AB143" s="30">
        <v>30</v>
      </c>
      <c r="AC143" s="50">
        <f>AB143*0.089*24*365/10^6</f>
        <v>2.3389200000000002E-2</v>
      </c>
      <c r="AD143" s="30"/>
      <c r="AE143" s="30">
        <f>AB143</f>
        <v>30</v>
      </c>
      <c r="AF143" s="28"/>
      <c r="AG143" s="28"/>
    </row>
    <row r="144" spans="1:33" ht="32.25" customHeight="1" x14ac:dyDescent="0.2">
      <c r="A144" s="27">
        <v>240</v>
      </c>
      <c r="B144" s="27" t="s">
        <v>1751</v>
      </c>
      <c r="C144" s="27" t="s">
        <v>804</v>
      </c>
      <c r="D144" s="27">
        <v>2012</v>
      </c>
      <c r="E144" s="27"/>
      <c r="F144" s="27" t="s">
        <v>836</v>
      </c>
      <c r="G144" s="27" t="s">
        <v>758</v>
      </c>
      <c r="H144" s="27" t="s">
        <v>1406</v>
      </c>
      <c r="I144" s="27" t="s">
        <v>911</v>
      </c>
      <c r="J144" s="27"/>
      <c r="K144" s="27" t="s">
        <v>377</v>
      </c>
      <c r="L144" s="27"/>
      <c r="M144" s="27"/>
      <c r="N144" s="27"/>
      <c r="O144" s="27"/>
      <c r="P144" s="27"/>
      <c r="Q144" s="27"/>
      <c r="R144" s="27"/>
      <c r="S144" s="27">
        <v>1</v>
      </c>
      <c r="T144" s="27"/>
      <c r="U144" s="27"/>
      <c r="V144" s="27"/>
      <c r="W144" s="27"/>
      <c r="X144" s="27"/>
      <c r="Y144" s="27"/>
      <c r="Z144" s="27" t="s">
        <v>1752</v>
      </c>
      <c r="AA144" s="29">
        <f>AB144*0.0045</f>
        <v>0.10799999999999998</v>
      </c>
      <c r="AB144" s="30">
        <v>24</v>
      </c>
      <c r="AC144" s="50">
        <f>AB144*0.089*24*365/10^6</f>
        <v>1.871136E-2</v>
      </c>
      <c r="AD144" s="30"/>
      <c r="AE144" s="30">
        <f>AB144</f>
        <v>24</v>
      </c>
      <c r="AF144" s="28" t="s">
        <v>1753</v>
      </c>
      <c r="AG144" s="28"/>
    </row>
    <row r="145" spans="1:33" ht="32.25" customHeight="1" x14ac:dyDescent="0.2">
      <c r="A145" s="27">
        <v>241</v>
      </c>
      <c r="B145" s="27" t="s">
        <v>1754</v>
      </c>
      <c r="C145" s="27" t="s">
        <v>355</v>
      </c>
      <c r="D145" s="27">
        <v>2012</v>
      </c>
      <c r="E145" s="27"/>
      <c r="F145" s="27" t="s">
        <v>836</v>
      </c>
      <c r="G145" s="27" t="s">
        <v>758</v>
      </c>
      <c r="H145" s="27" t="s">
        <v>1406</v>
      </c>
      <c r="I145" s="27" t="s">
        <v>911</v>
      </c>
      <c r="J145" s="27"/>
      <c r="K145" s="27" t="s">
        <v>377</v>
      </c>
      <c r="L145" s="27"/>
      <c r="M145" s="27"/>
      <c r="N145" s="27"/>
      <c r="O145" s="27"/>
      <c r="P145" s="27"/>
      <c r="Q145" s="27"/>
      <c r="R145" s="27">
        <v>1</v>
      </c>
      <c r="S145" s="27"/>
      <c r="T145" s="27"/>
      <c r="U145" s="27"/>
      <c r="V145" s="27"/>
      <c r="W145" s="27"/>
      <c r="X145" s="27"/>
      <c r="Y145" s="27"/>
      <c r="Z145" s="27" t="s">
        <v>1755</v>
      </c>
      <c r="AA145" s="29">
        <v>0.1</v>
      </c>
      <c r="AB145" s="30">
        <f>AA145/0.0045</f>
        <v>22.222222222222225</v>
      </c>
      <c r="AC145" s="50">
        <f>AB145*0.089*24*365/10^6</f>
        <v>1.7325333333333335E-2</v>
      </c>
      <c r="AD145" s="30"/>
      <c r="AE145" s="30">
        <f>AB145</f>
        <v>22.222222222222225</v>
      </c>
      <c r="AF145" s="28" t="s">
        <v>1756</v>
      </c>
      <c r="AG145" s="28"/>
    </row>
    <row r="146" spans="1:33" ht="32.25" customHeight="1" x14ac:dyDescent="0.2">
      <c r="A146" s="27">
        <v>246</v>
      </c>
      <c r="B146" s="27" t="s">
        <v>1757</v>
      </c>
      <c r="C146" s="27" t="s">
        <v>343</v>
      </c>
      <c r="D146" s="27">
        <v>2012</v>
      </c>
      <c r="E146" s="27"/>
      <c r="F146" s="27" t="s">
        <v>836</v>
      </c>
      <c r="G146" s="27" t="s">
        <v>268</v>
      </c>
      <c r="H146" s="27"/>
      <c r="I146" s="27" t="s">
        <v>911</v>
      </c>
      <c r="J146" s="27"/>
      <c r="K146" s="27" t="s">
        <v>377</v>
      </c>
      <c r="L146" s="27"/>
      <c r="M146" s="27"/>
      <c r="N146" s="27"/>
      <c r="O146" s="27"/>
      <c r="P146" s="27"/>
      <c r="Q146" s="27">
        <v>1</v>
      </c>
      <c r="R146" s="27">
        <v>1</v>
      </c>
      <c r="S146" s="27">
        <v>1</v>
      </c>
      <c r="T146" s="27"/>
      <c r="U146" s="27"/>
      <c r="V146" s="27"/>
      <c r="W146" s="27"/>
      <c r="X146" s="27"/>
      <c r="Y146" s="27"/>
      <c r="Z146" s="27" t="s">
        <v>1758</v>
      </c>
      <c r="AA146" s="29">
        <v>0.03</v>
      </c>
      <c r="AB146" s="30">
        <f>AA146/0.0046</f>
        <v>6.5217391304347823</v>
      </c>
      <c r="AC146" s="50">
        <f>AB146*0.089*24*365/10^6</f>
        <v>5.0846086956521739E-3</v>
      </c>
      <c r="AD146" s="30"/>
      <c r="AE146" s="30">
        <f>AB146</f>
        <v>6.5217391304347823</v>
      </c>
      <c r="AF146" s="28" t="s">
        <v>1759</v>
      </c>
      <c r="AG146" s="28"/>
    </row>
    <row r="147" spans="1:33" ht="32.25" customHeight="1" x14ac:dyDescent="0.2">
      <c r="A147" s="27">
        <v>249</v>
      </c>
      <c r="B147" s="27" t="s">
        <v>1761</v>
      </c>
      <c r="C147" s="27" t="s">
        <v>341</v>
      </c>
      <c r="D147" s="27">
        <v>2012</v>
      </c>
      <c r="E147" s="27"/>
      <c r="F147" s="27" t="s">
        <v>916</v>
      </c>
      <c r="G147" s="27" t="s">
        <v>266</v>
      </c>
      <c r="H147" s="27"/>
      <c r="I147" s="27" t="s">
        <v>756</v>
      </c>
      <c r="J147" s="27"/>
      <c r="K147" s="27" t="s">
        <v>377</v>
      </c>
      <c r="L147" s="27"/>
      <c r="M147" s="27"/>
      <c r="N147" s="27"/>
      <c r="O147" s="27"/>
      <c r="P147" s="27"/>
      <c r="Q147" s="27"/>
      <c r="R147" s="27">
        <v>1</v>
      </c>
      <c r="S147" s="27"/>
      <c r="T147" s="27"/>
      <c r="U147" s="27">
        <v>1</v>
      </c>
      <c r="V147" s="27"/>
      <c r="W147" s="27"/>
      <c r="X147" s="27"/>
      <c r="Y147" s="27"/>
      <c r="Z147" s="27" t="s">
        <v>1762</v>
      </c>
      <c r="AA147" s="29">
        <f>AB147*0.0052</f>
        <v>8.8399999999999989E-3</v>
      </c>
      <c r="AB147" s="30">
        <v>1.7</v>
      </c>
      <c r="AC147" s="50">
        <f>AB147*0.089*24*365/10^6</f>
        <v>1.3253879999999998E-3</v>
      </c>
      <c r="AD147" s="30"/>
      <c r="AE147" s="30">
        <f>AB147</f>
        <v>1.7</v>
      </c>
      <c r="AF147" s="28" t="s">
        <v>1763</v>
      </c>
      <c r="AG147" s="28"/>
    </row>
    <row r="148" spans="1:33" ht="32.25" customHeight="1" x14ac:dyDescent="0.2">
      <c r="A148" s="27">
        <v>250</v>
      </c>
      <c r="B148" s="27" t="s">
        <v>1764</v>
      </c>
      <c r="C148" s="27" t="s">
        <v>363</v>
      </c>
      <c r="D148" s="27">
        <v>2012</v>
      </c>
      <c r="E148" s="27"/>
      <c r="F148" s="27" t="s">
        <v>916</v>
      </c>
      <c r="G148" s="27" t="s">
        <v>758</v>
      </c>
      <c r="H148" s="27" t="s">
        <v>1406</v>
      </c>
      <c r="I148" s="27" t="s">
        <v>911</v>
      </c>
      <c r="J148" s="27"/>
      <c r="K148" s="27" t="s">
        <v>396</v>
      </c>
      <c r="L148" s="27"/>
      <c r="M148" s="27"/>
      <c r="N148" s="27"/>
      <c r="O148" s="27"/>
      <c r="P148" s="27"/>
      <c r="Q148" s="27"/>
      <c r="R148" s="27"/>
      <c r="S148" s="27"/>
      <c r="T148" s="27"/>
      <c r="U148" s="27"/>
      <c r="V148" s="27"/>
      <c r="W148" s="27"/>
      <c r="X148" s="27">
        <v>1</v>
      </c>
      <c r="Y148" s="27"/>
      <c r="Z148" s="27"/>
      <c r="AA148" s="29"/>
      <c r="AB148" s="30"/>
      <c r="AC148" s="50"/>
      <c r="AD148" s="30"/>
      <c r="AE148" s="30"/>
      <c r="AF148" s="28" t="s">
        <v>1765</v>
      </c>
      <c r="AG148" s="28"/>
    </row>
    <row r="149" spans="1:33" ht="32.25" customHeight="1" x14ac:dyDescent="0.2">
      <c r="A149" s="27">
        <v>251</v>
      </c>
      <c r="B149" s="27" t="s">
        <v>1766</v>
      </c>
      <c r="C149" s="27" t="s">
        <v>351</v>
      </c>
      <c r="D149" s="27">
        <v>2011</v>
      </c>
      <c r="E149" s="27"/>
      <c r="F149" s="27" t="s">
        <v>836</v>
      </c>
      <c r="G149" s="27" t="s">
        <v>758</v>
      </c>
      <c r="H149" s="27" t="s">
        <v>1406</v>
      </c>
      <c r="I149" s="27" t="s">
        <v>768</v>
      </c>
      <c r="J149" s="27" t="s">
        <v>865</v>
      </c>
      <c r="K149" s="27" t="s">
        <v>739</v>
      </c>
      <c r="L149" s="27"/>
      <c r="M149" s="27"/>
      <c r="N149" s="27">
        <v>1</v>
      </c>
      <c r="O149" s="27"/>
      <c r="P149" s="27"/>
      <c r="Q149" s="27"/>
      <c r="R149" s="27"/>
      <c r="S149" s="27"/>
      <c r="T149" s="27"/>
      <c r="U149" s="27"/>
      <c r="V149" s="27"/>
      <c r="W149" s="27"/>
      <c r="X149" s="27"/>
      <c r="Y149" s="27"/>
      <c r="Z149" s="27" t="s">
        <v>1767</v>
      </c>
      <c r="AA149" s="29">
        <v>6</v>
      </c>
      <c r="AB149" s="30">
        <v>1200</v>
      </c>
      <c r="AC149" s="50">
        <f>AB149*0.089*24*365/10^6</f>
        <v>0.93556799999999984</v>
      </c>
      <c r="AD149" s="30"/>
      <c r="AE149" s="30">
        <f>AB149</f>
        <v>1200</v>
      </c>
      <c r="AF149" s="28" t="s">
        <v>1768</v>
      </c>
      <c r="AG149" s="28"/>
    </row>
    <row r="150" spans="1:33" ht="32.25" customHeight="1" x14ac:dyDescent="0.2">
      <c r="A150" s="27">
        <v>254</v>
      </c>
      <c r="B150" s="27" t="s">
        <v>1769</v>
      </c>
      <c r="C150" s="27" t="s">
        <v>804</v>
      </c>
      <c r="D150" s="27">
        <v>2011</v>
      </c>
      <c r="E150" s="27"/>
      <c r="F150" s="27" t="s">
        <v>836</v>
      </c>
      <c r="G150" s="27" t="s">
        <v>268</v>
      </c>
      <c r="H150" s="27"/>
      <c r="I150" s="27" t="s">
        <v>911</v>
      </c>
      <c r="J150" s="27"/>
      <c r="K150" s="27" t="s">
        <v>377</v>
      </c>
      <c r="L150" s="27"/>
      <c r="M150" s="27"/>
      <c r="N150" s="27"/>
      <c r="O150" s="27"/>
      <c r="P150" s="27"/>
      <c r="Q150" s="27">
        <v>1</v>
      </c>
      <c r="R150" s="27"/>
      <c r="S150" s="27"/>
      <c r="T150" s="27"/>
      <c r="U150" s="27"/>
      <c r="V150" s="27"/>
      <c r="W150" s="27"/>
      <c r="X150" s="27"/>
      <c r="Y150" s="27"/>
      <c r="Z150" s="27" t="s">
        <v>1718</v>
      </c>
      <c r="AA150" s="29">
        <v>0.6</v>
      </c>
      <c r="AB150" s="30">
        <v>120</v>
      </c>
      <c r="AC150" s="50">
        <f>AB150*0.089*24*365/10^6</f>
        <v>9.3556800000000009E-2</v>
      </c>
      <c r="AD150" s="30"/>
      <c r="AE150" s="30">
        <f>AB150</f>
        <v>120</v>
      </c>
      <c r="AF150" s="28" t="s">
        <v>1770</v>
      </c>
      <c r="AG150" s="28"/>
    </row>
    <row r="151" spans="1:33" ht="32.25" customHeight="1" x14ac:dyDescent="0.2">
      <c r="A151" s="27">
        <v>258</v>
      </c>
      <c r="B151" s="27" t="s">
        <v>1771</v>
      </c>
      <c r="C151" s="27" t="s">
        <v>804</v>
      </c>
      <c r="D151" s="27">
        <v>2011</v>
      </c>
      <c r="E151" s="27"/>
      <c r="F151" s="27" t="s">
        <v>836</v>
      </c>
      <c r="G151" s="27" t="s">
        <v>268</v>
      </c>
      <c r="H151" s="27"/>
      <c r="I151" s="27" t="s">
        <v>911</v>
      </c>
      <c r="J151" s="27"/>
      <c r="K151" s="27" t="s">
        <v>377</v>
      </c>
      <c r="L151" s="27"/>
      <c r="M151" s="27"/>
      <c r="N151" s="27"/>
      <c r="O151" s="27"/>
      <c r="P151" s="27"/>
      <c r="Q151" s="27">
        <v>1</v>
      </c>
      <c r="R151" s="27">
        <v>1</v>
      </c>
      <c r="S151" s="27">
        <v>1</v>
      </c>
      <c r="T151" s="27"/>
      <c r="U151" s="27">
        <v>1</v>
      </c>
      <c r="V151" s="27"/>
      <c r="W151" s="27"/>
      <c r="X151" s="27"/>
      <c r="Y151" s="27"/>
      <c r="Z151" s="27" t="s">
        <v>1772</v>
      </c>
      <c r="AA151" s="29">
        <v>0.5</v>
      </c>
      <c r="AB151" s="30">
        <v>120</v>
      </c>
      <c r="AC151" s="30">
        <f>AB151*0.089*24*365/10^6</f>
        <v>9.3556800000000009E-2</v>
      </c>
      <c r="AD151" s="30"/>
      <c r="AE151" s="30">
        <f>AB151</f>
        <v>120</v>
      </c>
      <c r="AF151" s="28" t="s">
        <v>1773</v>
      </c>
      <c r="AG151" s="28"/>
    </row>
    <row r="152" spans="1:33" ht="32.25" customHeight="1" x14ac:dyDescent="0.2">
      <c r="A152" s="27">
        <v>259</v>
      </c>
      <c r="B152" s="27" t="s">
        <v>1774</v>
      </c>
      <c r="C152" s="27" t="s">
        <v>804</v>
      </c>
      <c r="D152" s="27">
        <v>2011</v>
      </c>
      <c r="E152" s="27"/>
      <c r="F152" s="27" t="s">
        <v>836</v>
      </c>
      <c r="G152" s="27" t="s">
        <v>268</v>
      </c>
      <c r="H152" s="27"/>
      <c r="I152" s="27" t="s">
        <v>911</v>
      </c>
      <c r="J152" s="27"/>
      <c r="K152" s="27" t="s">
        <v>377</v>
      </c>
      <c r="L152" s="27"/>
      <c r="M152" s="27"/>
      <c r="N152" s="27"/>
      <c r="O152" s="27"/>
      <c r="P152" s="27"/>
      <c r="Q152" s="27">
        <v>1</v>
      </c>
      <c r="R152" s="27"/>
      <c r="S152" s="27"/>
      <c r="T152" s="27"/>
      <c r="U152" s="27"/>
      <c r="V152" s="27"/>
      <c r="W152" s="27"/>
      <c r="X152" s="27"/>
      <c r="Y152" s="27"/>
      <c r="Z152" s="27" t="s">
        <v>1775</v>
      </c>
      <c r="AA152" s="29">
        <v>0.3</v>
      </c>
      <c r="AB152" s="30">
        <v>60</v>
      </c>
      <c r="AC152" s="30">
        <f>AB152*0.089*24*365/10^6</f>
        <v>4.6778400000000005E-2</v>
      </c>
      <c r="AD152" s="30"/>
      <c r="AE152" s="30">
        <f>AB152</f>
        <v>60</v>
      </c>
      <c r="AF152" s="28" t="s">
        <v>1776</v>
      </c>
      <c r="AG152" s="28"/>
    </row>
    <row r="153" spans="1:33" ht="32.25" customHeight="1" x14ac:dyDescent="0.2">
      <c r="A153" s="27">
        <v>270</v>
      </c>
      <c r="B153" s="27" t="s">
        <v>1777</v>
      </c>
      <c r="C153" s="27" t="s">
        <v>334</v>
      </c>
      <c r="D153" s="27">
        <v>2011</v>
      </c>
      <c r="E153" s="27"/>
      <c r="F153" s="27" t="s">
        <v>836</v>
      </c>
      <c r="G153" s="27" t="s">
        <v>268</v>
      </c>
      <c r="H153" s="27"/>
      <c r="I153" s="27" t="s">
        <v>911</v>
      </c>
      <c r="J153" s="27"/>
      <c r="K153" s="27" t="s">
        <v>377</v>
      </c>
      <c r="L153" s="27"/>
      <c r="M153" s="27"/>
      <c r="N153" s="27"/>
      <c r="O153" s="27"/>
      <c r="P153" s="27"/>
      <c r="Q153" s="27"/>
      <c r="R153" s="27">
        <v>1</v>
      </c>
      <c r="S153" s="27"/>
      <c r="T153" s="27"/>
      <c r="U153" s="27"/>
      <c r="V153" s="27"/>
      <c r="W153" s="27"/>
      <c r="X153" s="27"/>
      <c r="Y153" s="27"/>
      <c r="Z153" s="27" t="s">
        <v>1778</v>
      </c>
      <c r="AA153" s="29">
        <f>AB153*0.0046</f>
        <v>0.1242</v>
      </c>
      <c r="AB153" s="30">
        <v>27</v>
      </c>
      <c r="AC153" s="50">
        <f>AB153*0.089*24*365/10^6</f>
        <v>2.1050279999999998E-2</v>
      </c>
      <c r="AD153" s="30"/>
      <c r="AE153" s="30">
        <f>AB153</f>
        <v>27</v>
      </c>
      <c r="AF153" s="28" t="s">
        <v>1779</v>
      </c>
      <c r="AG153" s="28"/>
    </row>
    <row r="154" spans="1:33" ht="32.25" customHeight="1" x14ac:dyDescent="0.2">
      <c r="A154" s="27">
        <v>275</v>
      </c>
      <c r="B154" s="27" t="s">
        <v>1780</v>
      </c>
      <c r="C154" s="27" t="s">
        <v>354</v>
      </c>
      <c r="D154" s="27">
        <v>2011</v>
      </c>
      <c r="E154" s="27"/>
      <c r="F154" s="27" t="s">
        <v>836</v>
      </c>
      <c r="G154" s="27" t="s">
        <v>758</v>
      </c>
      <c r="H154" s="27" t="s">
        <v>1406</v>
      </c>
      <c r="I154" s="27" t="s">
        <v>911</v>
      </c>
      <c r="J154" s="27"/>
      <c r="K154" s="27" t="s">
        <v>377</v>
      </c>
      <c r="L154" s="27"/>
      <c r="M154" s="27"/>
      <c r="N154" s="27"/>
      <c r="O154" s="27"/>
      <c r="P154" s="27"/>
      <c r="Q154" s="27"/>
      <c r="R154" s="27">
        <v>1</v>
      </c>
      <c r="S154" s="27"/>
      <c r="T154" s="27"/>
      <c r="U154" s="27"/>
      <c r="V154" s="27"/>
      <c r="W154" s="27"/>
      <c r="X154" s="27"/>
      <c r="Y154" s="27"/>
      <c r="Z154" s="27" t="s">
        <v>1781</v>
      </c>
      <c r="AA154" s="29">
        <f>AB154*0.0045</f>
        <v>4.9499999999999995E-2</v>
      </c>
      <c r="AB154" s="30">
        <v>11</v>
      </c>
      <c r="AC154" s="50">
        <f>AB154*0.089*24*365/10^6</f>
        <v>8.5760399999999983E-3</v>
      </c>
      <c r="AD154" s="30"/>
      <c r="AE154" s="30">
        <f>AB154</f>
        <v>11</v>
      </c>
      <c r="AF154" s="28"/>
      <c r="AG154" s="28"/>
    </row>
    <row r="155" spans="1:33" ht="32.25" customHeight="1" x14ac:dyDescent="0.2">
      <c r="A155" s="27">
        <v>279</v>
      </c>
      <c r="B155" s="27" t="s">
        <v>1782</v>
      </c>
      <c r="C155" s="27" t="s">
        <v>347</v>
      </c>
      <c r="D155" s="27">
        <v>2011</v>
      </c>
      <c r="E155" s="27"/>
      <c r="F155" s="27" t="s">
        <v>836</v>
      </c>
      <c r="G155" s="27" t="s">
        <v>266</v>
      </c>
      <c r="H155" s="27"/>
      <c r="I155" s="27" t="s">
        <v>911</v>
      </c>
      <c r="J155" s="27"/>
      <c r="K155" s="27" t="s">
        <v>377</v>
      </c>
      <c r="L155" s="27"/>
      <c r="M155" s="27"/>
      <c r="N155" s="27"/>
      <c r="O155" s="27"/>
      <c r="P155" s="27"/>
      <c r="Q155" s="27"/>
      <c r="R155" s="27"/>
      <c r="S155" s="27">
        <v>1</v>
      </c>
      <c r="T155" s="27">
        <v>1</v>
      </c>
      <c r="U155" s="27"/>
      <c r="V155" s="27"/>
      <c r="W155" s="27"/>
      <c r="X155" s="27"/>
      <c r="Y155" s="27"/>
      <c r="Z155" s="27" t="s">
        <v>1783</v>
      </c>
      <c r="AA155" s="29">
        <v>0.01</v>
      </c>
      <c r="AB155" s="30">
        <f>AA155/0.0052</f>
        <v>1.9230769230769231</v>
      </c>
      <c r="AC155" s="30">
        <f>AB155*0.089*24*365/10^6</f>
        <v>1.4993076923076921E-3</v>
      </c>
      <c r="AD155" s="30"/>
      <c r="AE155" s="30">
        <f>AB155</f>
        <v>1.9230769230769231</v>
      </c>
      <c r="AF155" s="28" t="s">
        <v>1784</v>
      </c>
      <c r="AG155" s="28"/>
    </row>
    <row r="156" spans="1:33" ht="32.25" customHeight="1" x14ac:dyDescent="0.2">
      <c r="A156" s="27">
        <v>282</v>
      </c>
      <c r="B156" s="27" t="s">
        <v>1785</v>
      </c>
      <c r="C156" s="27" t="s">
        <v>334</v>
      </c>
      <c r="D156" s="27">
        <v>2010</v>
      </c>
      <c r="E156" s="27"/>
      <c r="F156" s="27" t="s">
        <v>836</v>
      </c>
      <c r="G156" s="27" t="s">
        <v>268</v>
      </c>
      <c r="H156" s="27"/>
      <c r="I156" s="27" t="s">
        <v>911</v>
      </c>
      <c r="J156" s="27"/>
      <c r="K156" s="27" t="s">
        <v>377</v>
      </c>
      <c r="L156" s="27"/>
      <c r="M156" s="27"/>
      <c r="N156" s="27"/>
      <c r="O156" s="27"/>
      <c r="P156" s="27"/>
      <c r="Q156" s="27">
        <v>1</v>
      </c>
      <c r="R156" s="27">
        <v>1</v>
      </c>
      <c r="S156" s="27"/>
      <c r="T156" s="27"/>
      <c r="U156" s="27"/>
      <c r="V156" s="27"/>
      <c r="W156" s="27"/>
      <c r="X156" s="27"/>
      <c r="Y156" s="27"/>
      <c r="Z156" s="27" t="s">
        <v>1775</v>
      </c>
      <c r="AA156" s="29">
        <v>0.3</v>
      </c>
      <c r="AB156" s="30">
        <v>60</v>
      </c>
      <c r="AC156" s="50">
        <f>AB156*0.089*24*365/10^6</f>
        <v>4.6778400000000005E-2</v>
      </c>
      <c r="AD156" s="30"/>
      <c r="AE156" s="30">
        <f>AB156</f>
        <v>60</v>
      </c>
      <c r="AF156" s="28" t="s">
        <v>1786</v>
      </c>
      <c r="AG156" s="28"/>
    </row>
    <row r="157" spans="1:33" ht="32.25" customHeight="1" x14ac:dyDescent="0.2">
      <c r="A157" s="27">
        <v>286</v>
      </c>
      <c r="B157" s="27" t="s">
        <v>1787</v>
      </c>
      <c r="C157" s="27" t="s">
        <v>346</v>
      </c>
      <c r="D157" s="27">
        <v>2010</v>
      </c>
      <c r="E157" s="27"/>
      <c r="F157" s="27" t="s">
        <v>836</v>
      </c>
      <c r="G157" s="27" t="s">
        <v>268</v>
      </c>
      <c r="H157" s="27"/>
      <c r="I157" s="27" t="s">
        <v>911</v>
      </c>
      <c r="J157" s="27"/>
      <c r="K157" s="27" t="s">
        <v>377</v>
      </c>
      <c r="L157" s="27"/>
      <c r="M157" s="27"/>
      <c r="N157" s="27"/>
      <c r="O157" s="27"/>
      <c r="P157" s="27"/>
      <c r="Q157" s="27">
        <v>1</v>
      </c>
      <c r="R157" s="27">
        <v>1</v>
      </c>
      <c r="S157" s="27">
        <v>1</v>
      </c>
      <c r="T157" s="27"/>
      <c r="U157" s="27"/>
      <c r="V157" s="27"/>
      <c r="W157" s="27"/>
      <c r="X157" s="27"/>
      <c r="Y157" s="27"/>
      <c r="Z157" s="27" t="s">
        <v>1788</v>
      </c>
      <c r="AA157" s="29">
        <f>AB157*0.0046</f>
        <v>8.7400000000000005E-2</v>
      </c>
      <c r="AB157" s="30">
        <v>19</v>
      </c>
      <c r="AC157" s="50">
        <f>AB157*0.089*24*365/10^6</f>
        <v>1.4813159999999999E-2</v>
      </c>
      <c r="AD157" s="30"/>
      <c r="AE157" s="30">
        <f>AB157</f>
        <v>19</v>
      </c>
      <c r="AF157" s="28" t="s">
        <v>1789</v>
      </c>
      <c r="AG157" s="28"/>
    </row>
    <row r="158" spans="1:33" ht="32.25" customHeight="1" x14ac:dyDescent="0.2">
      <c r="A158" s="27">
        <v>288</v>
      </c>
      <c r="B158" s="27" t="s">
        <v>1790</v>
      </c>
      <c r="C158" s="27" t="s">
        <v>980</v>
      </c>
      <c r="D158" s="27">
        <v>2010</v>
      </c>
      <c r="E158" s="27"/>
      <c r="F158" s="27" t="s">
        <v>916</v>
      </c>
      <c r="G158" s="27" t="s">
        <v>268</v>
      </c>
      <c r="H158" s="27"/>
      <c r="I158" s="27" t="s">
        <v>911</v>
      </c>
      <c r="J158" s="27"/>
      <c r="K158" s="27" t="s">
        <v>377</v>
      </c>
      <c r="L158" s="27"/>
      <c r="M158" s="27"/>
      <c r="N158" s="27"/>
      <c r="O158" s="27"/>
      <c r="P158" s="27"/>
      <c r="Q158" s="27">
        <v>1</v>
      </c>
      <c r="R158" s="27"/>
      <c r="S158" s="27"/>
      <c r="T158" s="27"/>
      <c r="U158" s="27"/>
      <c r="V158" s="27"/>
      <c r="W158" s="27"/>
      <c r="X158" s="27"/>
      <c r="Y158" s="27"/>
      <c r="Z158" s="27" t="s">
        <v>1791</v>
      </c>
      <c r="AA158" s="29">
        <v>6.5000000000000002E-2</v>
      </c>
      <c r="AB158" s="30">
        <f>AA158/0.0046</f>
        <v>14.130434782608697</v>
      </c>
      <c r="AC158" s="50">
        <f>AB158*0.089*24*365/10^6</f>
        <v>1.1016652173913044E-2</v>
      </c>
      <c r="AD158" s="30"/>
      <c r="AE158" s="30">
        <f>AB158</f>
        <v>14.130434782608697</v>
      </c>
      <c r="AF158" s="28" t="s">
        <v>1792</v>
      </c>
      <c r="AG158" s="28"/>
    </row>
    <row r="159" spans="1:33" ht="32.25" customHeight="1" x14ac:dyDescent="0.2">
      <c r="A159" s="27">
        <v>295</v>
      </c>
      <c r="B159" s="27" t="s">
        <v>1793</v>
      </c>
      <c r="C159" s="27" t="s">
        <v>355</v>
      </c>
      <c r="D159" s="27">
        <v>2010</v>
      </c>
      <c r="E159" s="27"/>
      <c r="F159" s="27" t="s">
        <v>916</v>
      </c>
      <c r="G159" s="27" t="s">
        <v>758</v>
      </c>
      <c r="H159" s="27" t="s">
        <v>1406</v>
      </c>
      <c r="I159" s="27" t="s">
        <v>911</v>
      </c>
      <c r="J159" s="27"/>
      <c r="K159" s="27" t="s">
        <v>377</v>
      </c>
      <c r="L159" s="27"/>
      <c r="M159" s="27"/>
      <c r="N159" s="27"/>
      <c r="O159" s="27"/>
      <c r="P159" s="27"/>
      <c r="Q159" s="27"/>
      <c r="R159" s="27">
        <v>1</v>
      </c>
      <c r="S159" s="27"/>
      <c r="T159" s="27"/>
      <c r="U159" s="27"/>
      <c r="V159" s="27"/>
      <c r="W159" s="27"/>
      <c r="X159" s="27"/>
      <c r="Y159" s="27"/>
      <c r="Z159" s="27" t="s">
        <v>1794</v>
      </c>
      <c r="AA159" s="29">
        <v>0.22</v>
      </c>
      <c r="AB159" s="30">
        <f>AA159/0.0046</f>
        <v>47.826086956521742</v>
      </c>
      <c r="AC159" s="50">
        <f>AB159*0.089*24*365/10^6</f>
        <v>3.7287130434782607E-2</v>
      </c>
      <c r="AD159" s="30"/>
      <c r="AE159" s="30">
        <f>AB159</f>
        <v>47.826086956521742</v>
      </c>
      <c r="AF159" s="28" t="s">
        <v>1795</v>
      </c>
      <c r="AG159" s="28"/>
    </row>
    <row r="160" spans="1:33" ht="32.25" customHeight="1" x14ac:dyDescent="0.2">
      <c r="A160" s="27">
        <v>296</v>
      </c>
      <c r="B160" s="27" t="s">
        <v>1796</v>
      </c>
      <c r="C160" s="27" t="s">
        <v>337</v>
      </c>
      <c r="D160" s="27">
        <v>2010</v>
      </c>
      <c r="E160" s="27"/>
      <c r="F160" s="27" t="s">
        <v>916</v>
      </c>
      <c r="G160" s="27" t="s">
        <v>266</v>
      </c>
      <c r="H160" s="27"/>
      <c r="I160" s="27" t="s">
        <v>911</v>
      </c>
      <c r="J160" s="27"/>
      <c r="K160" s="27" t="s">
        <v>377</v>
      </c>
      <c r="L160" s="27"/>
      <c r="M160" s="27"/>
      <c r="N160" s="27"/>
      <c r="O160" s="27"/>
      <c r="P160" s="27"/>
      <c r="Q160" s="27"/>
      <c r="R160" s="27">
        <v>1</v>
      </c>
      <c r="S160" s="27"/>
      <c r="T160" s="27"/>
      <c r="U160" s="27"/>
      <c r="V160" s="27"/>
      <c r="W160" s="27"/>
      <c r="X160" s="27"/>
      <c r="Y160" s="27"/>
      <c r="Z160" s="27" t="s">
        <v>1797</v>
      </c>
      <c r="AA160" s="29">
        <v>7.0000000000000001E-3</v>
      </c>
      <c r="AB160" s="30">
        <f>AA160/0.0052</f>
        <v>1.3461538461538463</v>
      </c>
      <c r="AC160" s="50">
        <f>AB160*0.089*24*365/10^6</f>
        <v>1.0495153846153847E-3</v>
      </c>
      <c r="AD160" s="30"/>
      <c r="AE160" s="30">
        <f>AB160</f>
        <v>1.3461538461538463</v>
      </c>
      <c r="AF160" s="28" t="s">
        <v>1798</v>
      </c>
      <c r="AG160" s="28"/>
    </row>
    <row r="161" spans="1:33" ht="32.25" customHeight="1" x14ac:dyDescent="0.2">
      <c r="A161" s="27">
        <v>299</v>
      </c>
      <c r="B161" s="27" t="s">
        <v>1799</v>
      </c>
      <c r="C161" s="27" t="s">
        <v>346</v>
      </c>
      <c r="D161" s="27">
        <v>2010</v>
      </c>
      <c r="E161" s="27"/>
      <c r="F161" s="27" t="s">
        <v>836</v>
      </c>
      <c r="G161" s="27" t="s">
        <v>268</v>
      </c>
      <c r="H161" s="27"/>
      <c r="I161" s="27" t="s">
        <v>911</v>
      </c>
      <c r="J161" s="27"/>
      <c r="K161" s="27" t="s">
        <v>377</v>
      </c>
      <c r="L161" s="27"/>
      <c r="M161" s="27"/>
      <c r="N161" s="27"/>
      <c r="O161" s="27"/>
      <c r="P161" s="27"/>
      <c r="Q161" s="27"/>
      <c r="R161" s="27">
        <v>1</v>
      </c>
      <c r="S161" s="27"/>
      <c r="T161" s="27"/>
      <c r="U161" s="27"/>
      <c r="V161" s="27"/>
      <c r="W161" s="27"/>
      <c r="X161" s="27"/>
      <c r="Y161" s="27"/>
      <c r="Z161" s="27"/>
      <c r="AA161" s="29"/>
      <c r="AB161" s="30"/>
      <c r="AC161" s="50"/>
      <c r="AD161" s="30"/>
      <c r="AE161" s="30"/>
      <c r="AF161" s="28"/>
      <c r="AG161" s="28"/>
    </row>
    <row r="162" spans="1:33" ht="32.25" customHeight="1" x14ac:dyDescent="0.2">
      <c r="A162" s="27">
        <v>302</v>
      </c>
      <c r="B162" s="27" t="s">
        <v>1800</v>
      </c>
      <c r="C162" s="27" t="s">
        <v>340</v>
      </c>
      <c r="D162" s="27">
        <v>2012</v>
      </c>
      <c r="E162" s="27"/>
      <c r="F162" s="27" t="s">
        <v>836</v>
      </c>
      <c r="G162" s="27" t="s">
        <v>266</v>
      </c>
      <c r="H162" s="27"/>
      <c r="I162" s="27" t="s">
        <v>911</v>
      </c>
      <c r="J162" s="27"/>
      <c r="K162" s="27" t="s">
        <v>377</v>
      </c>
      <c r="L162" s="27"/>
      <c r="M162" s="27"/>
      <c r="N162" s="27"/>
      <c r="O162" s="27"/>
      <c r="P162" s="27"/>
      <c r="Q162" s="27"/>
      <c r="R162" s="27">
        <v>1</v>
      </c>
      <c r="S162" s="27"/>
      <c r="T162" s="27"/>
      <c r="U162" s="27"/>
      <c r="V162" s="27"/>
      <c r="W162" s="27"/>
      <c r="X162" s="27"/>
      <c r="Y162" s="27"/>
      <c r="Z162" s="27" t="s">
        <v>1760</v>
      </c>
      <c r="AA162" s="29">
        <f>AB162*0.0052</f>
        <v>1.04E-2</v>
      </c>
      <c r="AB162" s="30">
        <v>2</v>
      </c>
      <c r="AC162" s="50">
        <f>AB162*0.089*24*365/10^6</f>
        <v>1.5592800000000001E-3</v>
      </c>
      <c r="AD162" s="30"/>
      <c r="AE162" s="30">
        <f>AB162</f>
        <v>2</v>
      </c>
      <c r="AF162" s="28" t="s">
        <v>1801</v>
      </c>
      <c r="AG162" s="28"/>
    </row>
    <row r="163" spans="1:33" ht="32.25" customHeight="1" x14ac:dyDescent="0.2">
      <c r="A163" s="27">
        <v>303</v>
      </c>
      <c r="B163" s="27" t="s">
        <v>1802</v>
      </c>
      <c r="C163" s="27" t="s">
        <v>364</v>
      </c>
      <c r="D163" s="27">
        <v>2009</v>
      </c>
      <c r="E163" s="27"/>
      <c r="F163" s="27" t="s">
        <v>836</v>
      </c>
      <c r="G163" s="27" t="s">
        <v>268</v>
      </c>
      <c r="H163" s="27"/>
      <c r="I163" s="27" t="s">
        <v>768</v>
      </c>
      <c r="J163" s="27" t="s">
        <v>862</v>
      </c>
      <c r="K163" s="27" t="s">
        <v>377</v>
      </c>
      <c r="L163" s="27"/>
      <c r="M163" s="27"/>
      <c r="N163" s="27"/>
      <c r="O163" s="27"/>
      <c r="P163" s="27"/>
      <c r="Q163" s="27"/>
      <c r="R163" s="27">
        <v>1</v>
      </c>
      <c r="S163" s="27"/>
      <c r="T163" s="27"/>
      <c r="U163" s="27"/>
      <c r="V163" s="27"/>
      <c r="W163" s="27"/>
      <c r="X163" s="27"/>
      <c r="Y163" s="27"/>
      <c r="Z163" s="27" t="s">
        <v>1803</v>
      </c>
      <c r="AA163" s="29">
        <f>AB163*0.0046</f>
        <v>0.82799999999999996</v>
      </c>
      <c r="AB163" s="30">
        <v>180</v>
      </c>
      <c r="AC163" s="50">
        <f>AB163*0.089*24*365/10^6</f>
        <v>0.14033520000000002</v>
      </c>
      <c r="AD163" s="30"/>
      <c r="AE163" s="30">
        <f>AB163</f>
        <v>180</v>
      </c>
      <c r="AF163" s="28" t="s">
        <v>1804</v>
      </c>
      <c r="AG163" s="28"/>
    </row>
    <row r="164" spans="1:33" ht="32.25" customHeight="1" x14ac:dyDescent="0.2">
      <c r="A164" s="27">
        <v>305</v>
      </c>
      <c r="B164" s="27" t="s">
        <v>1805</v>
      </c>
      <c r="C164" s="27" t="s">
        <v>553</v>
      </c>
      <c r="D164" s="27">
        <v>2009</v>
      </c>
      <c r="E164" s="27"/>
      <c r="F164" s="27" t="s">
        <v>836</v>
      </c>
      <c r="G164" s="27" t="s">
        <v>758</v>
      </c>
      <c r="H164" s="27" t="s">
        <v>1406</v>
      </c>
      <c r="I164" s="27" t="s">
        <v>911</v>
      </c>
      <c r="J164" s="27"/>
      <c r="K164" s="27" t="s">
        <v>377</v>
      </c>
      <c r="L164" s="27"/>
      <c r="M164" s="27"/>
      <c r="N164" s="27"/>
      <c r="O164" s="27"/>
      <c r="P164" s="27"/>
      <c r="Q164" s="27"/>
      <c r="R164" s="27">
        <v>1</v>
      </c>
      <c r="S164" s="27"/>
      <c r="T164" s="27"/>
      <c r="U164" s="27"/>
      <c r="V164" s="27"/>
      <c r="W164" s="27"/>
      <c r="X164" s="27"/>
      <c r="Y164" s="27"/>
      <c r="Z164" s="27" t="s">
        <v>1591</v>
      </c>
      <c r="AA164" s="29">
        <v>0.2</v>
      </c>
      <c r="AB164" s="30">
        <f>AA164/0.0045</f>
        <v>44.44444444444445</v>
      </c>
      <c r="AC164" s="50">
        <f>AB164*0.089*24*365/10^6</f>
        <v>3.465066666666667E-2</v>
      </c>
      <c r="AD164" s="30"/>
      <c r="AE164" s="30">
        <f>AB164</f>
        <v>44.44444444444445</v>
      </c>
      <c r="AF164" s="28" t="s">
        <v>1806</v>
      </c>
      <c r="AG164" s="28"/>
    </row>
    <row r="165" spans="1:33" ht="32.25" customHeight="1" x14ac:dyDescent="0.2">
      <c r="A165" s="27">
        <v>306</v>
      </c>
      <c r="B165" s="27" t="s">
        <v>1807</v>
      </c>
      <c r="C165" s="27" t="s">
        <v>354</v>
      </c>
      <c r="D165" s="27">
        <v>2009</v>
      </c>
      <c r="E165" s="27"/>
      <c r="F165" s="27" t="s">
        <v>836</v>
      </c>
      <c r="G165" s="27" t="s">
        <v>268</v>
      </c>
      <c r="H165" s="27"/>
      <c r="I165" s="27" t="s">
        <v>911</v>
      </c>
      <c r="J165" s="27"/>
      <c r="K165" s="27" t="s">
        <v>377</v>
      </c>
      <c r="L165" s="27"/>
      <c r="M165" s="27"/>
      <c r="N165" s="27"/>
      <c r="O165" s="27"/>
      <c r="P165" s="27"/>
      <c r="Q165" s="27">
        <v>1</v>
      </c>
      <c r="R165" s="27"/>
      <c r="S165" s="27"/>
      <c r="T165" s="27"/>
      <c r="U165" s="27"/>
      <c r="V165" s="27"/>
      <c r="W165" s="27"/>
      <c r="X165" s="27"/>
      <c r="Y165" s="27"/>
      <c r="Z165" s="27" t="s">
        <v>1808</v>
      </c>
      <c r="AA165" s="29">
        <v>0.16</v>
      </c>
      <c r="AB165" s="30">
        <v>30</v>
      </c>
      <c r="AC165" s="50">
        <f>AB165*0.089*24*365/10^6</f>
        <v>2.3389200000000002E-2</v>
      </c>
      <c r="AD165" s="30"/>
      <c r="AE165" s="30">
        <f>AB165</f>
        <v>30</v>
      </c>
      <c r="AF165" s="28"/>
      <c r="AG165" s="28"/>
    </row>
    <row r="166" spans="1:33" ht="32.25" customHeight="1" x14ac:dyDescent="0.2">
      <c r="A166" s="27">
        <v>309</v>
      </c>
      <c r="B166" s="27" t="s">
        <v>1809</v>
      </c>
      <c r="C166" s="27" t="s">
        <v>331</v>
      </c>
      <c r="D166" s="27">
        <v>2009</v>
      </c>
      <c r="E166" s="27"/>
      <c r="F166" s="27" t="s">
        <v>916</v>
      </c>
      <c r="G166" s="27" t="s">
        <v>268</v>
      </c>
      <c r="H166" s="27"/>
      <c r="I166" s="27" t="s">
        <v>911</v>
      </c>
      <c r="J166" s="27"/>
      <c r="K166" s="27" t="s">
        <v>396</v>
      </c>
      <c r="L166" s="27"/>
      <c r="M166" s="27"/>
      <c r="N166" s="27"/>
      <c r="O166" s="27"/>
      <c r="P166" s="27"/>
      <c r="Q166" s="27"/>
      <c r="R166" s="27"/>
      <c r="S166" s="27"/>
      <c r="T166" s="27"/>
      <c r="U166" s="27"/>
      <c r="V166" s="27"/>
      <c r="W166" s="27"/>
      <c r="X166" s="27"/>
      <c r="Y166" s="27">
        <v>1</v>
      </c>
      <c r="Z166" s="27" t="s">
        <v>1810</v>
      </c>
      <c r="AA166" s="29">
        <v>0.08</v>
      </c>
      <c r="AB166" s="30">
        <f>AA166/0.0046</f>
        <v>17.391304347826086</v>
      </c>
      <c r="AC166" s="50">
        <f>AB166*0.089*24*365/10^6</f>
        <v>1.355895652173913E-2</v>
      </c>
      <c r="AD166" s="30"/>
      <c r="AE166" s="30">
        <f>AB166</f>
        <v>17.391304347826086</v>
      </c>
      <c r="AF166" s="28"/>
      <c r="AG166" s="28"/>
    </row>
    <row r="167" spans="1:33" ht="32.25" customHeight="1" x14ac:dyDescent="0.2">
      <c r="A167" s="27">
        <v>312</v>
      </c>
      <c r="B167" s="27" t="s">
        <v>1811</v>
      </c>
      <c r="C167" s="27" t="s">
        <v>804</v>
      </c>
      <c r="D167" s="27">
        <v>2009</v>
      </c>
      <c r="E167" s="27"/>
      <c r="F167" s="27" t="s">
        <v>836</v>
      </c>
      <c r="G167" s="27" t="s">
        <v>268</v>
      </c>
      <c r="H167" s="27"/>
      <c r="I167" s="27" t="s">
        <v>866</v>
      </c>
      <c r="J167" s="27"/>
      <c r="K167" s="27" t="s">
        <v>377</v>
      </c>
      <c r="L167" s="27"/>
      <c r="M167" s="27"/>
      <c r="N167" s="27"/>
      <c r="O167" s="27"/>
      <c r="P167" s="27"/>
      <c r="Q167" s="27"/>
      <c r="R167" s="27">
        <v>1</v>
      </c>
      <c r="S167" s="27"/>
      <c r="T167" s="27"/>
      <c r="U167" s="27"/>
      <c r="V167" s="27"/>
      <c r="W167" s="27"/>
      <c r="X167" s="27"/>
      <c r="Y167" s="27"/>
      <c r="Z167" s="27" t="s">
        <v>1542</v>
      </c>
      <c r="AA167" s="29">
        <v>6.0000000000000001E-3</v>
      </c>
      <c r="AB167" s="30">
        <f>AA167/0.0046</f>
        <v>1.3043478260869565</v>
      </c>
      <c r="AC167" s="30">
        <f>AB167*0.089*24*365/10^6</f>
        <v>1.0169217391304349E-3</v>
      </c>
      <c r="AD167" s="30"/>
      <c r="AE167" s="30">
        <f>AB167</f>
        <v>1.3043478260869565</v>
      </c>
      <c r="AF167" s="28" t="s">
        <v>1812</v>
      </c>
      <c r="AG167" s="28"/>
    </row>
    <row r="168" spans="1:33" ht="32.25" customHeight="1" x14ac:dyDescent="0.2">
      <c r="A168" s="27">
        <v>313</v>
      </c>
      <c r="B168" s="27" t="s">
        <v>1813</v>
      </c>
      <c r="C168" s="27" t="s">
        <v>337</v>
      </c>
      <c r="D168" s="27">
        <v>2009</v>
      </c>
      <c r="E168" s="27"/>
      <c r="F168" s="27" t="s">
        <v>916</v>
      </c>
      <c r="G168" s="27" t="s">
        <v>266</v>
      </c>
      <c r="H168" s="27"/>
      <c r="I168" s="27" t="s">
        <v>911</v>
      </c>
      <c r="J168" s="27"/>
      <c r="K168" s="27"/>
      <c r="L168" s="27"/>
      <c r="M168" s="27"/>
      <c r="N168" s="27"/>
      <c r="O168" s="27"/>
      <c r="P168" s="27">
        <v>1</v>
      </c>
      <c r="Q168" s="27"/>
      <c r="R168" s="27"/>
      <c r="S168" s="27"/>
      <c r="T168" s="27"/>
      <c r="U168" s="27"/>
      <c r="V168" s="27"/>
      <c r="W168" s="27"/>
      <c r="X168" s="27"/>
      <c r="Y168" s="27"/>
      <c r="Z168" s="27" t="s">
        <v>1814</v>
      </c>
      <c r="AA168" s="29">
        <v>5.0000000000000001E-3</v>
      </c>
      <c r="AB168" s="30">
        <f>AA168/0.0052</f>
        <v>0.96153846153846156</v>
      </c>
      <c r="AC168" s="50">
        <f>AB168*0.089*24*365/10^6</f>
        <v>7.4965384615384607E-4</v>
      </c>
      <c r="AD168" s="30"/>
      <c r="AE168" s="30">
        <f>AB168</f>
        <v>0.96153846153846156</v>
      </c>
      <c r="AF168" s="28" t="s">
        <v>1815</v>
      </c>
      <c r="AG168" s="28"/>
    </row>
    <row r="169" spans="1:33" ht="32.25" customHeight="1" x14ac:dyDescent="0.2">
      <c r="A169" s="27">
        <v>314</v>
      </c>
      <c r="B169" s="27" t="s">
        <v>1816</v>
      </c>
      <c r="C169" s="27" t="s">
        <v>355</v>
      </c>
      <c r="D169" s="27">
        <v>2009</v>
      </c>
      <c r="E169" s="27"/>
      <c r="F169" s="27" t="s">
        <v>916</v>
      </c>
      <c r="G169" s="27" t="s">
        <v>266</v>
      </c>
      <c r="H169" s="27"/>
      <c r="I169" s="27" t="s">
        <v>911</v>
      </c>
      <c r="J169" s="27"/>
      <c r="K169" s="27" t="s">
        <v>377</v>
      </c>
      <c r="L169" s="27"/>
      <c r="M169" s="27"/>
      <c r="N169" s="27"/>
      <c r="O169" s="27"/>
      <c r="P169" s="27"/>
      <c r="Q169" s="27"/>
      <c r="R169" s="27">
        <v>1</v>
      </c>
      <c r="S169" s="27"/>
      <c r="T169" s="27"/>
      <c r="U169" s="27"/>
      <c r="V169" s="27"/>
      <c r="W169" s="27"/>
      <c r="X169" s="27"/>
      <c r="Y169" s="27"/>
      <c r="Z169" s="27" t="s">
        <v>1817</v>
      </c>
      <c r="AA169" s="29">
        <v>4.0000000000000001E-3</v>
      </c>
      <c r="AB169" s="30">
        <f>AA169/0.0052</f>
        <v>0.76923076923076927</v>
      </c>
      <c r="AC169" s="50">
        <f>AB169*0.089*24*365/10^6</f>
        <v>5.9972307692307699E-4</v>
      </c>
      <c r="AD169" s="30"/>
      <c r="AE169" s="30">
        <f>AB169</f>
        <v>0.76923076923076927</v>
      </c>
      <c r="AF169" s="28" t="s">
        <v>1818</v>
      </c>
      <c r="AG169" s="28"/>
    </row>
    <row r="170" spans="1:33" ht="32.25" customHeight="1" x14ac:dyDescent="0.2">
      <c r="A170" s="27">
        <v>315</v>
      </c>
      <c r="B170" s="27" t="s">
        <v>1819</v>
      </c>
      <c r="C170" s="27" t="s">
        <v>350</v>
      </c>
      <c r="D170" s="27">
        <v>2009</v>
      </c>
      <c r="E170" s="27"/>
      <c r="F170" s="27" t="s">
        <v>916</v>
      </c>
      <c r="G170" s="27" t="s">
        <v>266</v>
      </c>
      <c r="H170" s="27"/>
      <c r="I170" s="27" t="s">
        <v>911</v>
      </c>
      <c r="J170" s="27"/>
      <c r="K170" s="27" t="s">
        <v>377</v>
      </c>
      <c r="L170" s="27"/>
      <c r="M170" s="27"/>
      <c r="N170" s="27"/>
      <c r="O170" s="27"/>
      <c r="P170" s="27"/>
      <c r="Q170" s="27"/>
      <c r="R170" s="27">
        <v>1</v>
      </c>
      <c r="S170" s="27"/>
      <c r="T170" s="27"/>
      <c r="U170" s="27"/>
      <c r="V170" s="27"/>
      <c r="W170" s="27"/>
      <c r="X170" s="27"/>
      <c r="Y170" s="27"/>
      <c r="Z170" s="27" t="s">
        <v>1820</v>
      </c>
      <c r="AA170" s="29">
        <v>2.5000000000000001E-3</v>
      </c>
      <c r="AB170" s="30">
        <f>AA170/0.0052</f>
        <v>0.48076923076923078</v>
      </c>
      <c r="AC170" s="50">
        <f>AB170*0.089*24*365/10^6</f>
        <v>3.7482692307692304E-4</v>
      </c>
      <c r="AD170" s="30"/>
      <c r="AE170" s="30">
        <f>AB170</f>
        <v>0.48076923076923078</v>
      </c>
      <c r="AF170" s="28" t="s">
        <v>1821</v>
      </c>
      <c r="AG170" s="28"/>
    </row>
    <row r="171" spans="1:33" ht="32.25" customHeight="1" x14ac:dyDescent="0.2">
      <c r="A171" s="27">
        <v>333</v>
      </c>
      <c r="B171" s="27" t="s">
        <v>1822</v>
      </c>
      <c r="C171" s="27" t="s">
        <v>343</v>
      </c>
      <c r="D171" s="27">
        <v>2008</v>
      </c>
      <c r="E171" s="27"/>
      <c r="F171" s="27" t="s">
        <v>836</v>
      </c>
      <c r="G171" s="27" t="s">
        <v>268</v>
      </c>
      <c r="H171" s="27"/>
      <c r="I171" s="27" t="s">
        <v>911</v>
      </c>
      <c r="J171" s="27"/>
      <c r="K171" s="27" t="s">
        <v>377</v>
      </c>
      <c r="L171" s="27"/>
      <c r="M171" s="27"/>
      <c r="N171" s="27"/>
      <c r="O171" s="27"/>
      <c r="P171" s="27"/>
      <c r="Q171" s="27">
        <v>1</v>
      </c>
      <c r="R171" s="27">
        <v>1</v>
      </c>
      <c r="S171" s="27"/>
      <c r="T171" s="27"/>
      <c r="U171" s="27"/>
      <c r="V171" s="27"/>
      <c r="W171" s="27"/>
      <c r="X171" s="27"/>
      <c r="Y171" s="27"/>
      <c r="Z171" s="27" t="s">
        <v>1623</v>
      </c>
      <c r="AA171" s="29">
        <f>AB171*0.0046</f>
        <v>4.5999999999999999E-2</v>
      </c>
      <c r="AB171" s="30">
        <v>10</v>
      </c>
      <c r="AC171" s="30">
        <f>AB171*0.089*24*365/10^6</f>
        <v>7.7963999999999993E-3</v>
      </c>
      <c r="AD171" s="30"/>
      <c r="AE171" s="30">
        <f>AB171</f>
        <v>10</v>
      </c>
      <c r="AF171" s="28" t="s">
        <v>1823</v>
      </c>
      <c r="AG171" s="28"/>
    </row>
    <row r="172" spans="1:33" ht="32.25" customHeight="1" x14ac:dyDescent="0.2">
      <c r="A172" s="27">
        <v>340</v>
      </c>
      <c r="B172" s="27" t="s">
        <v>1824</v>
      </c>
      <c r="C172" s="27" t="s">
        <v>337</v>
      </c>
      <c r="D172" s="27">
        <v>2008</v>
      </c>
      <c r="E172" s="27"/>
      <c r="F172" s="27" t="s">
        <v>916</v>
      </c>
      <c r="G172" s="27" t="s">
        <v>266</v>
      </c>
      <c r="H172" s="27"/>
      <c r="I172" s="27" t="s">
        <v>911</v>
      </c>
      <c r="J172" s="27"/>
      <c r="K172" s="27" t="s">
        <v>377</v>
      </c>
      <c r="L172" s="27"/>
      <c r="M172" s="27"/>
      <c r="N172" s="27"/>
      <c r="O172" s="27"/>
      <c r="P172" s="27">
        <v>1</v>
      </c>
      <c r="Q172" s="27"/>
      <c r="R172" s="27"/>
      <c r="S172" s="27"/>
      <c r="T172" s="27"/>
      <c r="U172" s="27"/>
      <c r="V172" s="27"/>
      <c r="W172" s="27"/>
      <c r="X172" s="27"/>
      <c r="Y172" s="27"/>
      <c r="Z172" s="27" t="s">
        <v>1825</v>
      </c>
      <c r="AA172" s="29">
        <f>AB172*0.0052</f>
        <v>3.6400000000000002E-2</v>
      </c>
      <c r="AB172" s="30">
        <v>7</v>
      </c>
      <c r="AC172" s="50">
        <f>AB172*0.089*24*365/10^6</f>
        <v>5.4574799999999998E-3</v>
      </c>
      <c r="AD172" s="30"/>
      <c r="AE172" s="30">
        <f>AB172</f>
        <v>7</v>
      </c>
      <c r="AF172" s="28"/>
      <c r="AG172" s="28"/>
    </row>
    <row r="173" spans="1:33" ht="32.25" customHeight="1" x14ac:dyDescent="0.2">
      <c r="A173" s="27">
        <v>341</v>
      </c>
      <c r="B173" s="27" t="s">
        <v>1826</v>
      </c>
      <c r="C173" s="27" t="s">
        <v>354</v>
      </c>
      <c r="D173" s="27">
        <v>2008</v>
      </c>
      <c r="E173" s="27"/>
      <c r="F173" s="27" t="s">
        <v>916</v>
      </c>
      <c r="G173" s="27" t="s">
        <v>266</v>
      </c>
      <c r="H173" s="27"/>
      <c r="I173" s="27" t="s">
        <v>911</v>
      </c>
      <c r="J173" s="27"/>
      <c r="K173" s="27" t="s">
        <v>377</v>
      </c>
      <c r="L173" s="27"/>
      <c r="M173" s="27"/>
      <c r="N173" s="27"/>
      <c r="O173" s="27"/>
      <c r="P173" s="27"/>
      <c r="Q173" s="27">
        <v>1</v>
      </c>
      <c r="R173" s="27"/>
      <c r="S173" s="27"/>
      <c r="T173" s="27"/>
      <c r="U173" s="27"/>
      <c r="V173" s="27"/>
      <c r="W173" s="27"/>
      <c r="X173" s="27"/>
      <c r="Y173" s="27"/>
      <c r="Z173" s="27" t="s">
        <v>1797</v>
      </c>
      <c r="AA173" s="29">
        <v>7.0000000000000001E-3</v>
      </c>
      <c r="AB173" s="30">
        <f>AA173/0.0052</f>
        <v>1.3461538461538463</v>
      </c>
      <c r="AC173" s="50">
        <f>AB173*0.089*24*365/10^6</f>
        <v>1.0495153846153847E-3</v>
      </c>
      <c r="AD173" s="30"/>
      <c r="AE173" s="30">
        <f>AB173</f>
        <v>1.3461538461538463</v>
      </c>
      <c r="AF173" s="28" t="s">
        <v>1827</v>
      </c>
      <c r="AG173" s="28"/>
    </row>
    <row r="174" spans="1:33" ht="32.25" customHeight="1" x14ac:dyDescent="0.2">
      <c r="A174" s="27">
        <v>342</v>
      </c>
      <c r="B174" s="27" t="s">
        <v>1828</v>
      </c>
      <c r="C174" s="27" t="s">
        <v>355</v>
      </c>
      <c r="D174" s="27">
        <v>2008</v>
      </c>
      <c r="E174" s="27"/>
      <c r="F174" s="27" t="s">
        <v>916</v>
      </c>
      <c r="G174" s="27" t="s">
        <v>266</v>
      </c>
      <c r="H174" s="27"/>
      <c r="I174" s="27" t="s">
        <v>911</v>
      </c>
      <c r="J174" s="27"/>
      <c r="K174" s="27" t="s">
        <v>377</v>
      </c>
      <c r="L174" s="27"/>
      <c r="M174" s="27"/>
      <c r="N174" s="27"/>
      <c r="O174" s="27"/>
      <c r="P174" s="27"/>
      <c r="Q174" s="27">
        <v>1</v>
      </c>
      <c r="R174" s="27"/>
      <c r="S174" s="27"/>
      <c r="T174" s="27"/>
      <c r="U174" s="27"/>
      <c r="V174" s="27"/>
      <c r="W174" s="27"/>
      <c r="X174" s="27"/>
      <c r="Y174" s="27"/>
      <c r="Z174" s="27" t="s">
        <v>1829</v>
      </c>
      <c r="AA174" s="29">
        <f>AB174*0.0052</f>
        <v>3.6399999999999996E-3</v>
      </c>
      <c r="AB174" s="30">
        <v>0.7</v>
      </c>
      <c r="AC174" s="50">
        <f>AB174*0.089*24*365/10^6</f>
        <v>5.4574799999999998E-4</v>
      </c>
      <c r="AD174" s="30"/>
      <c r="AE174" s="30">
        <f>AB174</f>
        <v>0.7</v>
      </c>
      <c r="AF174" s="28" t="s">
        <v>1830</v>
      </c>
      <c r="AG174" s="28"/>
    </row>
    <row r="175" spans="1:33" ht="32.25" customHeight="1" x14ac:dyDescent="0.2">
      <c r="A175" s="27">
        <v>343</v>
      </c>
      <c r="B175" s="27" t="s">
        <v>1831</v>
      </c>
      <c r="C175" s="27" t="s">
        <v>350</v>
      </c>
      <c r="D175" s="27">
        <v>2008</v>
      </c>
      <c r="E175" s="27"/>
      <c r="F175" s="27" t="s">
        <v>916</v>
      </c>
      <c r="G175" s="27" t="s">
        <v>266</v>
      </c>
      <c r="H175" s="27"/>
      <c r="I175" s="27" t="s">
        <v>911</v>
      </c>
      <c r="J175" s="27"/>
      <c r="K175" s="27" t="s">
        <v>377</v>
      </c>
      <c r="L175" s="27"/>
      <c r="M175" s="27"/>
      <c r="N175" s="27"/>
      <c r="O175" s="27"/>
      <c r="P175" s="27"/>
      <c r="Q175" s="27">
        <v>1</v>
      </c>
      <c r="R175" s="27">
        <v>1</v>
      </c>
      <c r="S175" s="27"/>
      <c r="T175" s="27"/>
      <c r="U175" s="27"/>
      <c r="V175" s="27"/>
      <c r="W175" s="27"/>
      <c r="X175" s="27"/>
      <c r="Y175" s="27"/>
      <c r="Z175" s="27" t="s">
        <v>1832</v>
      </c>
      <c r="AA175" s="29">
        <f>AB175*0.0052</f>
        <v>4.6799999999999994E-4</v>
      </c>
      <c r="AB175" s="30">
        <v>0.09</v>
      </c>
      <c r="AC175" s="50">
        <f>AB175*0.089*24*365/10^6</f>
        <v>7.0167599999999995E-5</v>
      </c>
      <c r="AD175" s="30"/>
      <c r="AE175" s="30">
        <f>AB175</f>
        <v>0.09</v>
      </c>
      <c r="AF175" s="28" t="s">
        <v>1833</v>
      </c>
      <c r="AG175" s="28"/>
    </row>
    <row r="176" spans="1:33" ht="32.25" customHeight="1" x14ac:dyDescent="0.2">
      <c r="A176" s="27">
        <v>356</v>
      </c>
      <c r="B176" s="27" t="s">
        <v>1834</v>
      </c>
      <c r="C176" s="27" t="s">
        <v>980</v>
      </c>
      <c r="D176" s="27">
        <v>2007</v>
      </c>
      <c r="E176" s="27"/>
      <c r="F176" s="27" t="s">
        <v>916</v>
      </c>
      <c r="G176" s="27" t="s">
        <v>268</v>
      </c>
      <c r="H176" s="27"/>
      <c r="I176" s="27" t="s">
        <v>911</v>
      </c>
      <c r="J176" s="27"/>
      <c r="K176" s="27" t="s">
        <v>377</v>
      </c>
      <c r="L176" s="27"/>
      <c r="M176" s="27"/>
      <c r="N176" s="27"/>
      <c r="O176" s="27"/>
      <c r="P176" s="27"/>
      <c r="Q176" s="27">
        <v>1</v>
      </c>
      <c r="R176" s="27"/>
      <c r="S176" s="27"/>
      <c r="T176" s="27"/>
      <c r="U176" s="27"/>
      <c r="V176" s="27"/>
      <c r="W176" s="27"/>
      <c r="X176" s="27"/>
      <c r="Y176" s="27"/>
      <c r="Z176" s="27" t="s">
        <v>1835</v>
      </c>
      <c r="AA176" s="29">
        <v>5.5E-2</v>
      </c>
      <c r="AB176" s="30">
        <f>AA176/0.0046</f>
        <v>11.956521739130435</v>
      </c>
      <c r="AC176" s="50">
        <f>AB176*0.089*24*365/10^6</f>
        <v>9.3217826086956519E-3</v>
      </c>
      <c r="AD176" s="30"/>
      <c r="AE176" s="30">
        <f>AB176</f>
        <v>11.956521739130435</v>
      </c>
      <c r="AF176" s="28" t="s">
        <v>1836</v>
      </c>
      <c r="AG176" s="28"/>
    </row>
    <row r="177" spans="1:33" ht="32.25" customHeight="1" x14ac:dyDescent="0.2">
      <c r="A177" s="27">
        <v>362</v>
      </c>
      <c r="B177" s="27" t="s">
        <v>1837</v>
      </c>
      <c r="C177" s="27" t="s">
        <v>342</v>
      </c>
      <c r="D177" s="27">
        <v>2007</v>
      </c>
      <c r="E177" s="27"/>
      <c r="F177" s="27" t="s">
        <v>916</v>
      </c>
      <c r="G177" s="27" t="s">
        <v>268</v>
      </c>
      <c r="H177" s="27"/>
      <c r="I177" s="27" t="s">
        <v>911</v>
      </c>
      <c r="J177" s="27"/>
      <c r="K177" s="27" t="s">
        <v>377</v>
      </c>
      <c r="L177" s="27"/>
      <c r="M177" s="27"/>
      <c r="N177" s="27"/>
      <c r="O177" s="27"/>
      <c r="P177" s="27"/>
      <c r="Q177" s="27"/>
      <c r="R177" s="27">
        <v>1</v>
      </c>
      <c r="S177" s="27"/>
      <c r="T177" s="27"/>
      <c r="U177" s="27"/>
      <c r="V177" s="27"/>
      <c r="W177" s="27"/>
      <c r="X177" s="27"/>
      <c r="Y177" s="27"/>
      <c r="Z177" s="27" t="s">
        <v>1797</v>
      </c>
      <c r="AA177" s="29">
        <v>7.0000000000000001E-3</v>
      </c>
      <c r="AB177" s="30">
        <f>AA177/0.0046</f>
        <v>1.5217391304347827</v>
      </c>
      <c r="AC177" s="50">
        <f>AB177*0.089*24*365/10^6</f>
        <v>1.186408695652174E-3</v>
      </c>
      <c r="AD177" s="30"/>
      <c r="AE177" s="30">
        <f>AB177</f>
        <v>1.5217391304347827</v>
      </c>
      <c r="AF177" s="28" t="s">
        <v>1838</v>
      </c>
      <c r="AG177" s="28"/>
    </row>
    <row r="178" spans="1:33" ht="32.25" customHeight="1" x14ac:dyDescent="0.2">
      <c r="A178" s="27">
        <v>363</v>
      </c>
      <c r="B178" s="27" t="s">
        <v>1839</v>
      </c>
      <c r="C178" s="27" t="s">
        <v>354</v>
      </c>
      <c r="D178" s="27">
        <v>2007</v>
      </c>
      <c r="E178" s="27"/>
      <c r="F178" s="27" t="s">
        <v>916</v>
      </c>
      <c r="G178" s="27" t="s">
        <v>266</v>
      </c>
      <c r="H178" s="27"/>
      <c r="I178" s="27" t="s">
        <v>911</v>
      </c>
      <c r="J178" s="27"/>
      <c r="K178" s="27" t="s">
        <v>377</v>
      </c>
      <c r="L178" s="27"/>
      <c r="M178" s="27"/>
      <c r="N178" s="27"/>
      <c r="O178" s="27"/>
      <c r="P178" s="27"/>
      <c r="Q178" s="27"/>
      <c r="R178" s="27">
        <v>1</v>
      </c>
      <c r="S178" s="27"/>
      <c r="T178" s="27"/>
      <c r="U178" s="27"/>
      <c r="V178" s="27"/>
      <c r="W178" s="27"/>
      <c r="X178" s="27"/>
      <c r="Y178" s="27"/>
      <c r="Z178" s="27" t="s">
        <v>1829</v>
      </c>
      <c r="AA178" s="29">
        <f>AB178*0.0052</f>
        <v>3.6399999999999996E-3</v>
      </c>
      <c r="AB178" s="30">
        <v>0.7</v>
      </c>
      <c r="AC178" s="50">
        <f>AB178*0.089*24*365/10^6</f>
        <v>5.4574799999999998E-4</v>
      </c>
      <c r="AD178" s="30"/>
      <c r="AE178" s="30">
        <f>AB178</f>
        <v>0.7</v>
      </c>
      <c r="AF178" s="28" t="s">
        <v>1840</v>
      </c>
      <c r="AG178" s="28"/>
    </row>
    <row r="179" spans="1:33" ht="32.25" customHeight="1" x14ac:dyDescent="0.2">
      <c r="A179" s="27">
        <v>366</v>
      </c>
      <c r="B179" s="27" t="s">
        <v>1841</v>
      </c>
      <c r="C179" s="27" t="s">
        <v>980</v>
      </c>
      <c r="D179" s="27">
        <v>2006</v>
      </c>
      <c r="E179" s="27"/>
      <c r="F179" s="27" t="s">
        <v>916</v>
      </c>
      <c r="G179" s="27" t="s">
        <v>268</v>
      </c>
      <c r="H179" s="27"/>
      <c r="I179" s="27" t="s">
        <v>911</v>
      </c>
      <c r="J179" s="27"/>
      <c r="K179" s="27" t="s">
        <v>377</v>
      </c>
      <c r="L179" s="27"/>
      <c r="M179" s="27"/>
      <c r="N179" s="27"/>
      <c r="O179" s="27"/>
      <c r="P179" s="27"/>
      <c r="Q179" s="27">
        <v>1</v>
      </c>
      <c r="R179" s="27"/>
      <c r="S179" s="27"/>
      <c r="T179" s="27"/>
      <c r="U179" s="27"/>
      <c r="V179" s="27"/>
      <c r="W179" s="27"/>
      <c r="X179" s="27"/>
      <c r="Y179" s="27"/>
      <c r="Z179" s="27" t="s">
        <v>1775</v>
      </c>
      <c r="AA179" s="29">
        <v>0.3</v>
      </c>
      <c r="AB179" s="30">
        <v>60</v>
      </c>
      <c r="AC179" s="50">
        <f>AB179*0.089*24*365/10^6</f>
        <v>4.6778400000000005E-2</v>
      </c>
      <c r="AD179" s="30"/>
      <c r="AE179" s="30">
        <f>AB179</f>
        <v>60</v>
      </c>
      <c r="AF179" s="28" t="s">
        <v>1842</v>
      </c>
      <c r="AG179" s="28"/>
    </row>
    <row r="180" spans="1:33" ht="32.25" customHeight="1" x14ac:dyDescent="0.2">
      <c r="A180" s="27">
        <v>387</v>
      </c>
      <c r="B180" s="27" t="s">
        <v>1843</v>
      </c>
      <c r="C180" s="27" t="s">
        <v>340</v>
      </c>
      <c r="D180" s="27">
        <v>2013</v>
      </c>
      <c r="E180" s="27"/>
      <c r="F180" s="27" t="s">
        <v>836</v>
      </c>
      <c r="G180" s="27" t="s">
        <v>758</v>
      </c>
      <c r="H180" s="27" t="s">
        <v>1406</v>
      </c>
      <c r="I180" s="27" t="s">
        <v>911</v>
      </c>
      <c r="J180" s="27"/>
      <c r="K180" s="27" t="s">
        <v>377</v>
      </c>
      <c r="L180" s="27"/>
      <c r="M180" s="27"/>
      <c r="N180" s="27"/>
      <c r="O180" s="27"/>
      <c r="P180" s="27"/>
      <c r="Q180" s="27"/>
      <c r="R180" s="27">
        <v>1</v>
      </c>
      <c r="S180" s="27"/>
      <c r="T180" s="27"/>
      <c r="U180" s="27"/>
      <c r="V180" s="27"/>
      <c r="W180" s="27"/>
      <c r="X180" s="27"/>
      <c r="Y180" s="27"/>
      <c r="Z180" s="27" t="s">
        <v>1814</v>
      </c>
      <c r="AA180" s="29">
        <v>5.0000000000000001E-3</v>
      </c>
      <c r="AB180" s="30">
        <f>AA180/0.0045</f>
        <v>1.1111111111111112</v>
      </c>
      <c r="AC180" s="50">
        <f>AB180*0.089*24*365/10^6</f>
        <v>8.6626666666666651E-4</v>
      </c>
      <c r="AD180" s="30"/>
      <c r="AE180" s="30">
        <f>AB180</f>
        <v>1.1111111111111112</v>
      </c>
      <c r="AF180" s="28"/>
      <c r="AG180" s="28"/>
    </row>
    <row r="181" spans="1:33" ht="32.25" customHeight="1" x14ac:dyDescent="0.2">
      <c r="A181" s="27">
        <v>405</v>
      </c>
      <c r="B181" s="27" t="s">
        <v>1844</v>
      </c>
      <c r="C181" s="27" t="s">
        <v>340</v>
      </c>
      <c r="D181" s="27">
        <v>2014</v>
      </c>
      <c r="E181" s="27"/>
      <c r="F181" s="27" t="s">
        <v>836</v>
      </c>
      <c r="G181" s="27" t="s">
        <v>268</v>
      </c>
      <c r="H181" s="27"/>
      <c r="I181" s="27" t="s">
        <v>911</v>
      </c>
      <c r="J181" s="27"/>
      <c r="K181" s="27" t="s">
        <v>377</v>
      </c>
      <c r="L181" s="27"/>
      <c r="M181" s="27"/>
      <c r="N181" s="27"/>
      <c r="O181" s="27"/>
      <c r="P181" s="27"/>
      <c r="Q181" s="27"/>
      <c r="R181" s="27">
        <v>1</v>
      </c>
      <c r="S181" s="27"/>
      <c r="T181" s="27"/>
      <c r="U181" s="27"/>
      <c r="V181" s="27"/>
      <c r="W181" s="27"/>
      <c r="X181" s="27"/>
      <c r="Y181" s="27"/>
      <c r="Z181" s="27" t="s">
        <v>1845</v>
      </c>
      <c r="AA181" s="29">
        <f>AB181*0.0046</f>
        <v>2.0423999999999998</v>
      </c>
      <c r="AB181" s="30">
        <v>444</v>
      </c>
      <c r="AC181" s="50">
        <f>AB181*0.089*24*365/10^6</f>
        <v>0.34616016000000005</v>
      </c>
      <c r="AD181" s="30"/>
      <c r="AE181" s="30">
        <f>AB181</f>
        <v>444</v>
      </c>
      <c r="AF181" s="28" t="s">
        <v>1846</v>
      </c>
      <c r="AG181" s="28"/>
    </row>
    <row r="182" spans="1:33" ht="32.25" customHeight="1" x14ac:dyDescent="0.2">
      <c r="A182" s="27">
        <v>427</v>
      </c>
      <c r="B182" s="27" t="s">
        <v>1847</v>
      </c>
      <c r="C182" s="27" t="s">
        <v>343</v>
      </c>
      <c r="D182" s="27">
        <v>2004</v>
      </c>
      <c r="E182" s="27"/>
      <c r="F182" s="27" t="s">
        <v>836</v>
      </c>
      <c r="G182" s="27" t="s">
        <v>268</v>
      </c>
      <c r="H182" s="27"/>
      <c r="I182" s="27" t="s">
        <v>911</v>
      </c>
      <c r="J182" s="27"/>
      <c r="K182" s="27" t="s">
        <v>377</v>
      </c>
      <c r="L182" s="27"/>
      <c r="M182" s="27"/>
      <c r="N182" s="27"/>
      <c r="O182" s="27"/>
      <c r="P182" s="27"/>
      <c r="Q182" s="27"/>
      <c r="R182" s="27">
        <v>1</v>
      </c>
      <c r="S182" s="27"/>
      <c r="T182" s="27">
        <v>1</v>
      </c>
      <c r="U182" s="27"/>
      <c r="V182" s="27"/>
      <c r="W182" s="27"/>
      <c r="X182" s="27"/>
      <c r="Y182" s="27"/>
      <c r="Z182" s="27" t="s">
        <v>1848</v>
      </c>
      <c r="AA182" s="29">
        <v>3.4000000000000002E-2</v>
      </c>
      <c r="AB182" s="30">
        <f>AA182/0.0046</f>
        <v>7.3913043478260878</v>
      </c>
      <c r="AC182" s="30">
        <f>AB182*0.089*24*365/10^6</f>
        <v>5.7625565217391305E-3</v>
      </c>
      <c r="AD182" s="30"/>
      <c r="AE182" s="30">
        <f>AB182</f>
        <v>7.3913043478260878</v>
      </c>
      <c r="AF182" s="28" t="s">
        <v>1849</v>
      </c>
      <c r="AG182" s="28"/>
    </row>
    <row r="183" spans="1:33" ht="32.25" customHeight="1" x14ac:dyDescent="0.2">
      <c r="A183" s="27">
        <v>433</v>
      </c>
      <c r="B183" s="27" t="s">
        <v>1850</v>
      </c>
      <c r="C183" s="27" t="s">
        <v>977</v>
      </c>
      <c r="D183" s="27">
        <v>2003</v>
      </c>
      <c r="E183" s="27"/>
      <c r="F183" s="27" t="s">
        <v>916</v>
      </c>
      <c r="G183" s="27" t="s">
        <v>268</v>
      </c>
      <c r="H183" s="27"/>
      <c r="I183" s="27" t="s">
        <v>911</v>
      </c>
      <c r="J183" s="27"/>
      <c r="K183" s="27" t="s">
        <v>377</v>
      </c>
      <c r="L183" s="27"/>
      <c r="M183" s="27"/>
      <c r="N183" s="27"/>
      <c r="O183" s="27"/>
      <c r="P183" s="27"/>
      <c r="Q183" s="27">
        <v>1</v>
      </c>
      <c r="R183" s="27"/>
      <c r="S183" s="27"/>
      <c r="T183" s="27"/>
      <c r="U183" s="27"/>
      <c r="V183" s="27"/>
      <c r="W183" s="27"/>
      <c r="X183" s="27"/>
      <c r="Y183" s="27"/>
      <c r="Z183" s="27" t="s">
        <v>1775</v>
      </c>
      <c r="AA183" s="29">
        <v>0.3</v>
      </c>
      <c r="AB183" s="30">
        <v>60</v>
      </c>
      <c r="AC183" s="50">
        <f>AB183*0.089*24*365/10^6</f>
        <v>4.6778400000000005E-2</v>
      </c>
      <c r="AD183" s="30"/>
      <c r="AE183" s="30">
        <f>AB183</f>
        <v>60</v>
      </c>
      <c r="AF183" s="28"/>
      <c r="AG183" s="28"/>
    </row>
    <row r="184" spans="1:33" ht="32.25" customHeight="1" x14ac:dyDescent="0.2">
      <c r="A184" s="27">
        <v>437</v>
      </c>
      <c r="B184" s="27" t="s">
        <v>1851</v>
      </c>
      <c r="C184" s="27" t="s">
        <v>804</v>
      </c>
      <c r="D184" s="27">
        <v>2014</v>
      </c>
      <c r="E184" s="27"/>
      <c r="F184" s="27" t="s">
        <v>836</v>
      </c>
      <c r="G184" s="27" t="s">
        <v>266</v>
      </c>
      <c r="H184" s="27"/>
      <c r="I184" s="27" t="s">
        <v>768</v>
      </c>
      <c r="J184" s="27" t="s">
        <v>862</v>
      </c>
      <c r="K184" s="27" t="s">
        <v>377</v>
      </c>
      <c r="L184" s="27"/>
      <c r="M184" s="27"/>
      <c r="N184" s="27"/>
      <c r="O184" s="27"/>
      <c r="P184" s="27">
        <v>1</v>
      </c>
      <c r="Q184" s="27">
        <v>1</v>
      </c>
      <c r="R184" s="27"/>
      <c r="S184" s="27">
        <v>1</v>
      </c>
      <c r="T184" s="27"/>
      <c r="U184" s="27"/>
      <c r="V184" s="27"/>
      <c r="W184" s="27"/>
      <c r="X184" s="27"/>
      <c r="Y184" s="27"/>
      <c r="Z184" s="27" t="s">
        <v>1480</v>
      </c>
      <c r="AA184" s="29">
        <v>6</v>
      </c>
      <c r="AB184" s="30">
        <f>AA184/0.0052</f>
        <v>1153.8461538461538</v>
      </c>
      <c r="AC184" s="50">
        <f>AB184*0.089*24*365/10^6</f>
        <v>0.8995846153846152</v>
      </c>
      <c r="AD184" s="30"/>
      <c r="AE184" s="30">
        <f>AB184</f>
        <v>1153.8461538461538</v>
      </c>
      <c r="AF184" s="28" t="s">
        <v>1852</v>
      </c>
      <c r="AG184" s="28"/>
    </row>
    <row r="185" spans="1:33" ht="32.25" customHeight="1" x14ac:dyDescent="0.2">
      <c r="A185" s="27">
        <v>449</v>
      </c>
      <c r="B185" s="27" t="s">
        <v>1853</v>
      </c>
      <c r="C185" s="27" t="s">
        <v>342</v>
      </c>
      <c r="D185" s="27">
        <v>2016</v>
      </c>
      <c r="E185" s="27"/>
      <c r="F185" s="27" t="s">
        <v>836</v>
      </c>
      <c r="G185" s="27" t="s">
        <v>268</v>
      </c>
      <c r="H185" s="27"/>
      <c r="I185" s="27" t="s">
        <v>911</v>
      </c>
      <c r="J185" s="27"/>
      <c r="K185" s="27" t="s">
        <v>377</v>
      </c>
      <c r="L185" s="27"/>
      <c r="M185" s="27"/>
      <c r="N185" s="27"/>
      <c r="O185" s="27"/>
      <c r="P185" s="27">
        <v>1</v>
      </c>
      <c r="Q185" s="27">
        <v>1</v>
      </c>
      <c r="R185" s="27">
        <v>1</v>
      </c>
      <c r="S185" s="27">
        <v>1</v>
      </c>
      <c r="T185" s="27"/>
      <c r="U185" s="27"/>
      <c r="V185" s="27"/>
      <c r="W185" s="27"/>
      <c r="X185" s="27"/>
      <c r="Y185" s="27"/>
      <c r="Z185" s="27" t="s">
        <v>1854</v>
      </c>
      <c r="AA185" s="29">
        <v>1.1499999999999999</v>
      </c>
      <c r="AB185" s="30">
        <f>AA185/0.0046</f>
        <v>249.99999999999997</v>
      </c>
      <c r="AC185" s="50">
        <f>AB185*0.089*24*365/10^6</f>
        <v>0.19490999999999997</v>
      </c>
      <c r="AD185" s="30"/>
      <c r="AE185" s="30">
        <f>AB185</f>
        <v>249.99999999999997</v>
      </c>
      <c r="AF185" s="28" t="s">
        <v>1855</v>
      </c>
      <c r="AG185" s="28"/>
    </row>
    <row r="186" spans="1:33" ht="32.25" customHeight="1" x14ac:dyDescent="0.2">
      <c r="A186" s="27">
        <v>452</v>
      </c>
      <c r="B186" s="27" t="s">
        <v>1856</v>
      </c>
      <c r="C186" s="27" t="s">
        <v>339</v>
      </c>
      <c r="D186" s="27">
        <v>2003</v>
      </c>
      <c r="E186" s="27"/>
      <c r="F186" s="27" t="s">
        <v>916</v>
      </c>
      <c r="G186" s="27" t="s">
        <v>268</v>
      </c>
      <c r="H186" s="27"/>
      <c r="I186" s="27" t="s">
        <v>911</v>
      </c>
      <c r="J186" s="27"/>
      <c r="K186" s="27" t="s">
        <v>377</v>
      </c>
      <c r="L186" s="27"/>
      <c r="M186" s="27"/>
      <c r="N186" s="27"/>
      <c r="O186" s="27"/>
      <c r="P186" s="27">
        <v>1</v>
      </c>
      <c r="Q186" s="27"/>
      <c r="R186" s="27"/>
      <c r="S186" s="27"/>
      <c r="T186" s="27"/>
      <c r="U186" s="27"/>
      <c r="V186" s="27"/>
      <c r="W186" s="27"/>
      <c r="X186" s="27"/>
      <c r="Y186" s="27"/>
      <c r="Z186" s="27" t="s">
        <v>1609</v>
      </c>
      <c r="AA186" s="29">
        <f>AB186*0.0046</f>
        <v>1.84E-2</v>
      </c>
      <c r="AB186" s="30">
        <v>4</v>
      </c>
      <c r="AC186" s="50">
        <f>AB186*0.089*24*365/10^6</f>
        <v>3.1185600000000003E-3</v>
      </c>
      <c r="AD186" s="30"/>
      <c r="AE186" s="30">
        <f>AB186</f>
        <v>4</v>
      </c>
      <c r="AF186" s="28" t="s">
        <v>1857</v>
      </c>
      <c r="AG186" s="28"/>
    </row>
    <row r="187" spans="1:33" ht="32.25" customHeight="1" x14ac:dyDescent="0.2">
      <c r="A187" s="27">
        <v>453</v>
      </c>
      <c r="B187" s="27" t="s">
        <v>1858</v>
      </c>
      <c r="C187" s="27" t="s">
        <v>340</v>
      </c>
      <c r="D187" s="27">
        <v>2015</v>
      </c>
      <c r="E187" s="27"/>
      <c r="F187" s="27" t="s">
        <v>836</v>
      </c>
      <c r="G187" s="27" t="s">
        <v>758</v>
      </c>
      <c r="H187" s="27" t="s">
        <v>1406</v>
      </c>
      <c r="I187" s="27" t="s">
        <v>768</v>
      </c>
      <c r="J187" s="27" t="s">
        <v>861</v>
      </c>
      <c r="K187" s="27" t="s">
        <v>377</v>
      </c>
      <c r="L187" s="27"/>
      <c r="M187" s="27"/>
      <c r="N187" s="27"/>
      <c r="O187" s="27"/>
      <c r="P187" s="27"/>
      <c r="Q187" s="27">
        <v>1</v>
      </c>
      <c r="R187" s="27">
        <v>1</v>
      </c>
      <c r="S187" s="27"/>
      <c r="T187" s="27"/>
      <c r="U187" s="27"/>
      <c r="V187" s="27"/>
      <c r="W187" s="27"/>
      <c r="X187" s="27"/>
      <c r="Y187" s="27"/>
      <c r="Z187" s="27" t="s">
        <v>1859</v>
      </c>
      <c r="AA187" s="29">
        <v>0.12</v>
      </c>
      <c r="AB187" s="30">
        <f>AA187/0.0045</f>
        <v>26.666666666666668</v>
      </c>
      <c r="AC187" s="30">
        <f>AB187*0.089*24*365/10^6</f>
        <v>2.0790400000000001E-2</v>
      </c>
      <c r="AD187" s="30"/>
      <c r="AE187" s="30">
        <f>AB187</f>
        <v>26.666666666666668</v>
      </c>
      <c r="AF187" s="28" t="s">
        <v>1860</v>
      </c>
      <c r="AG187" s="28"/>
    </row>
    <row r="188" spans="1:33" ht="32.25" customHeight="1" x14ac:dyDescent="0.2">
      <c r="A188" s="27">
        <v>461</v>
      </c>
      <c r="B188" s="27" t="s">
        <v>1861</v>
      </c>
      <c r="C188" s="27" t="s">
        <v>340</v>
      </c>
      <c r="D188" s="27">
        <v>2015</v>
      </c>
      <c r="E188" s="27"/>
      <c r="F188" s="27" t="s">
        <v>836</v>
      </c>
      <c r="G188" s="27" t="s">
        <v>758</v>
      </c>
      <c r="H188" s="27" t="s">
        <v>1406</v>
      </c>
      <c r="I188" s="27" t="s">
        <v>768</v>
      </c>
      <c r="J188" s="27" t="s">
        <v>861</v>
      </c>
      <c r="K188" s="27" t="s">
        <v>377</v>
      </c>
      <c r="L188" s="27"/>
      <c r="M188" s="27"/>
      <c r="N188" s="27"/>
      <c r="O188" s="27"/>
      <c r="P188" s="27"/>
      <c r="Q188" s="27">
        <v>1</v>
      </c>
      <c r="R188" s="27"/>
      <c r="S188" s="27"/>
      <c r="T188" s="27"/>
      <c r="U188" s="27"/>
      <c r="V188" s="27"/>
      <c r="W188" s="27"/>
      <c r="X188" s="27"/>
      <c r="Y188" s="27"/>
      <c r="Z188" s="27"/>
      <c r="AA188" s="29"/>
      <c r="AB188" s="30"/>
      <c r="AC188" s="50"/>
      <c r="AD188" s="30"/>
      <c r="AE188" s="30"/>
      <c r="AF188" s="28"/>
      <c r="AG188" s="28"/>
    </row>
    <row r="189" spans="1:33" ht="32.25" customHeight="1" x14ac:dyDescent="0.2">
      <c r="A189" s="27">
        <v>472</v>
      </c>
      <c r="B189" s="27" t="s">
        <v>1863</v>
      </c>
      <c r="C189" s="27" t="s">
        <v>331</v>
      </c>
      <c r="D189" s="27">
        <v>2017</v>
      </c>
      <c r="E189" s="27"/>
      <c r="F189" s="27" t="s">
        <v>836</v>
      </c>
      <c r="G189" s="27" t="s">
        <v>268</v>
      </c>
      <c r="H189" s="27"/>
      <c r="I189" s="27" t="s">
        <v>911</v>
      </c>
      <c r="J189" s="27"/>
      <c r="K189" s="27" t="s">
        <v>377</v>
      </c>
      <c r="L189" s="27"/>
      <c r="M189" s="27"/>
      <c r="N189" s="27"/>
      <c r="O189" s="27"/>
      <c r="P189" s="27"/>
      <c r="Q189" s="27">
        <v>1</v>
      </c>
      <c r="R189" s="27"/>
      <c r="S189" s="27"/>
      <c r="T189" s="27"/>
      <c r="U189" s="27"/>
      <c r="V189" s="27"/>
      <c r="W189" s="27"/>
      <c r="X189" s="27"/>
      <c r="Y189" s="27"/>
      <c r="Z189" s="27" t="s">
        <v>1607</v>
      </c>
      <c r="AA189" s="29">
        <f>AB189*0.0046</f>
        <v>0.13800000000000001</v>
      </c>
      <c r="AB189" s="30">
        <v>30</v>
      </c>
      <c r="AC189" s="50">
        <f>AB189*0.089*24*365/10^6</f>
        <v>2.3389200000000002E-2</v>
      </c>
      <c r="AD189" s="30"/>
      <c r="AE189" s="30">
        <f>AB189</f>
        <v>30</v>
      </c>
      <c r="AF189" s="28" t="s">
        <v>1864</v>
      </c>
      <c r="AG189" s="28"/>
    </row>
    <row r="190" spans="1:33" ht="32.25" customHeight="1" x14ac:dyDescent="0.2">
      <c r="A190" s="27">
        <v>477</v>
      </c>
      <c r="B190" s="27" t="s">
        <v>1865</v>
      </c>
      <c r="C190" s="27" t="s">
        <v>338</v>
      </c>
      <c r="D190" s="27">
        <v>2017</v>
      </c>
      <c r="E190" s="27"/>
      <c r="F190" s="27" t="s">
        <v>836</v>
      </c>
      <c r="G190" s="27" t="s">
        <v>268</v>
      </c>
      <c r="H190" s="27"/>
      <c r="I190" s="27" t="s">
        <v>911</v>
      </c>
      <c r="J190" s="27"/>
      <c r="K190" s="27" t="s">
        <v>377</v>
      </c>
      <c r="L190" s="27"/>
      <c r="M190" s="27"/>
      <c r="N190" s="27"/>
      <c r="O190" s="27"/>
      <c r="P190" s="27"/>
      <c r="Q190" s="27"/>
      <c r="R190" s="27">
        <v>1</v>
      </c>
      <c r="S190" s="27"/>
      <c r="T190" s="27"/>
      <c r="U190" s="27"/>
      <c r="V190" s="27"/>
      <c r="W190" s="27"/>
      <c r="X190" s="27"/>
      <c r="Y190" s="27"/>
      <c r="Z190" s="27" t="s">
        <v>1687</v>
      </c>
      <c r="AA190" s="29">
        <f>AB190*0.0046</f>
        <v>9.1999999999999998E-2</v>
      </c>
      <c r="AB190" s="30">
        <v>20</v>
      </c>
      <c r="AC190" s="50">
        <f>AB190*0.089*24*365/10^6</f>
        <v>1.5592799999999999E-2</v>
      </c>
      <c r="AD190" s="30"/>
      <c r="AE190" s="30">
        <f>AB190</f>
        <v>20</v>
      </c>
      <c r="AF190" s="28"/>
      <c r="AG190" s="28"/>
    </row>
    <row r="191" spans="1:33" ht="32.25" customHeight="1" x14ac:dyDescent="0.2">
      <c r="A191" s="27">
        <v>487</v>
      </c>
      <c r="B191" s="27" t="s">
        <v>1866</v>
      </c>
      <c r="C191" s="27" t="s">
        <v>334</v>
      </c>
      <c r="D191" s="27">
        <v>2001</v>
      </c>
      <c r="E191" s="27"/>
      <c r="F191" s="27" t="s">
        <v>916</v>
      </c>
      <c r="G191" s="27" t="s">
        <v>268</v>
      </c>
      <c r="H191" s="27"/>
      <c r="I191" s="27" t="s">
        <v>911</v>
      </c>
      <c r="J191" s="27"/>
      <c r="K191" s="27" t="s">
        <v>377</v>
      </c>
      <c r="L191" s="27"/>
      <c r="M191" s="27"/>
      <c r="N191" s="27"/>
      <c r="O191" s="27"/>
      <c r="P191" s="27"/>
      <c r="Q191" s="27">
        <v>1</v>
      </c>
      <c r="R191" s="27"/>
      <c r="S191" s="27"/>
      <c r="T191" s="27"/>
      <c r="U191" s="27"/>
      <c r="V191" s="27"/>
      <c r="W191" s="27"/>
      <c r="X191" s="27"/>
      <c r="Y191" s="27"/>
      <c r="Z191" s="27" t="s">
        <v>1867</v>
      </c>
      <c r="AA191" s="29">
        <v>5.0000000000000001E-3</v>
      </c>
      <c r="AB191" s="30">
        <v>1</v>
      </c>
      <c r="AC191" s="50">
        <f>AB191*0.089*24*365/10^6</f>
        <v>7.7964000000000006E-4</v>
      </c>
      <c r="AD191" s="30"/>
      <c r="AE191" s="30">
        <f>AB191</f>
        <v>1</v>
      </c>
      <c r="AF191" s="28" t="s">
        <v>1868</v>
      </c>
      <c r="AG191" s="28"/>
    </row>
    <row r="192" spans="1:33" ht="32.25" customHeight="1" x14ac:dyDescent="0.2">
      <c r="A192" s="27">
        <v>491</v>
      </c>
      <c r="B192" s="27" t="s">
        <v>1869</v>
      </c>
      <c r="C192" s="27" t="s">
        <v>358</v>
      </c>
      <c r="D192" s="27">
        <v>2018</v>
      </c>
      <c r="E192" s="27"/>
      <c r="F192" s="27" t="s">
        <v>836</v>
      </c>
      <c r="G192" s="27" t="s">
        <v>268</v>
      </c>
      <c r="H192" s="27"/>
      <c r="I192" s="27" t="s">
        <v>911</v>
      </c>
      <c r="J192" s="27"/>
      <c r="K192" s="27" t="s">
        <v>377</v>
      </c>
      <c r="L192" s="27"/>
      <c r="M192" s="27"/>
      <c r="N192" s="27"/>
      <c r="O192" s="27"/>
      <c r="P192" s="27"/>
      <c r="Q192" s="27"/>
      <c r="R192" s="27">
        <v>1</v>
      </c>
      <c r="S192" s="27"/>
      <c r="T192" s="27"/>
      <c r="U192" s="27"/>
      <c r="V192" s="27"/>
      <c r="W192" s="27"/>
      <c r="X192" s="27"/>
      <c r="Y192" s="27"/>
      <c r="Z192" s="27" t="s">
        <v>1870</v>
      </c>
      <c r="AA192" s="29">
        <v>0.114</v>
      </c>
      <c r="AB192" s="30">
        <f>AA192/0.0046</f>
        <v>24.782608695652176</v>
      </c>
      <c r="AC192" s="50">
        <f>AB192*0.089*24*365/10^6</f>
        <v>1.9321513043478261E-2</v>
      </c>
      <c r="AD192" s="30"/>
      <c r="AE192" s="30">
        <f>AB192</f>
        <v>24.782608695652176</v>
      </c>
      <c r="AF192" s="28"/>
      <c r="AG192" s="28"/>
    </row>
    <row r="193" spans="1:33" ht="32.25" customHeight="1" x14ac:dyDescent="0.2">
      <c r="A193" s="27">
        <v>492</v>
      </c>
      <c r="B193" s="27" t="s">
        <v>1871</v>
      </c>
      <c r="C193" s="27" t="s">
        <v>331</v>
      </c>
      <c r="D193" s="27">
        <v>2018</v>
      </c>
      <c r="E193" s="27"/>
      <c r="F193" s="27" t="s">
        <v>836</v>
      </c>
      <c r="G193" s="27" t="s">
        <v>268</v>
      </c>
      <c r="H193" s="27"/>
      <c r="I193" s="27" t="s">
        <v>911</v>
      </c>
      <c r="J193" s="27"/>
      <c r="K193" s="27" t="s">
        <v>377</v>
      </c>
      <c r="L193" s="27"/>
      <c r="M193" s="27"/>
      <c r="N193" s="27"/>
      <c r="O193" s="27"/>
      <c r="P193" s="27">
        <v>1</v>
      </c>
      <c r="Q193" s="27"/>
      <c r="R193" s="27"/>
      <c r="S193" s="27"/>
      <c r="T193" s="27"/>
      <c r="U193" s="27"/>
      <c r="V193" s="27"/>
      <c r="W193" s="27"/>
      <c r="X193" s="27"/>
      <c r="Y193" s="27"/>
      <c r="Z193" s="27" t="s">
        <v>1872</v>
      </c>
      <c r="AA193" s="29">
        <f>AB193*0.0046</f>
        <v>5.5199999999999999E-2</v>
      </c>
      <c r="AB193" s="30">
        <v>12</v>
      </c>
      <c r="AC193" s="50">
        <f>AB193*0.089*24*365/10^6</f>
        <v>9.3556799999999999E-3</v>
      </c>
      <c r="AD193" s="30"/>
      <c r="AE193" s="30">
        <f>AB193</f>
        <v>12</v>
      </c>
      <c r="AF193" s="28"/>
      <c r="AG193" s="28"/>
    </row>
    <row r="194" spans="1:33" ht="32.25" customHeight="1" x14ac:dyDescent="0.2">
      <c r="A194" s="27">
        <v>494</v>
      </c>
      <c r="B194" s="27" t="s">
        <v>1873</v>
      </c>
      <c r="C194" s="27" t="s">
        <v>332</v>
      </c>
      <c r="D194" s="27">
        <v>2000</v>
      </c>
      <c r="E194" s="27"/>
      <c r="F194" s="27" t="s">
        <v>836</v>
      </c>
      <c r="G194" s="27" t="s">
        <v>268</v>
      </c>
      <c r="H194" s="27"/>
      <c r="I194" s="27" t="s">
        <v>866</v>
      </c>
      <c r="J194" s="27"/>
      <c r="K194" s="27" t="s">
        <v>377</v>
      </c>
      <c r="L194" s="27"/>
      <c r="M194" s="27"/>
      <c r="N194" s="27"/>
      <c r="O194" s="27"/>
      <c r="P194" s="27"/>
      <c r="Q194" s="27"/>
      <c r="R194" s="27">
        <v>1</v>
      </c>
      <c r="S194" s="27"/>
      <c r="T194" s="27"/>
      <c r="U194" s="27"/>
      <c r="V194" s="27"/>
      <c r="W194" s="27"/>
      <c r="X194" s="27"/>
      <c r="Y194" s="27"/>
      <c r="Z194" s="27" t="s">
        <v>1661</v>
      </c>
      <c r="AA194" s="29">
        <v>0.05</v>
      </c>
      <c r="AB194" s="30">
        <f>AA194/0.0046</f>
        <v>10.869565217391305</v>
      </c>
      <c r="AC194" s="30">
        <f>AB194*0.089*24*365/10^6</f>
        <v>8.4743478260869559E-3</v>
      </c>
      <c r="AD194" s="30"/>
      <c r="AE194" s="30">
        <f>AB194</f>
        <v>10.869565217391305</v>
      </c>
      <c r="AF194" s="28" t="s">
        <v>1874</v>
      </c>
      <c r="AG194" s="28"/>
    </row>
    <row r="195" spans="1:33" ht="32.25" customHeight="1" x14ac:dyDescent="0.2">
      <c r="A195" s="27">
        <v>497</v>
      </c>
      <c r="B195" s="27" t="s">
        <v>1875</v>
      </c>
      <c r="C195" s="27" t="s">
        <v>804</v>
      </c>
      <c r="D195" s="27">
        <v>2019</v>
      </c>
      <c r="E195" s="27"/>
      <c r="F195" s="27" t="s">
        <v>916</v>
      </c>
      <c r="G195" s="27" t="s">
        <v>267</v>
      </c>
      <c r="H195" s="27"/>
      <c r="I195" s="27" t="s">
        <v>911</v>
      </c>
      <c r="J195" s="27"/>
      <c r="K195" s="27" t="s">
        <v>377</v>
      </c>
      <c r="L195" s="27"/>
      <c r="M195" s="27"/>
      <c r="N195" s="27"/>
      <c r="O195" s="27"/>
      <c r="P195" s="27">
        <v>1</v>
      </c>
      <c r="Q195" s="27"/>
      <c r="R195" s="27"/>
      <c r="S195" s="27"/>
      <c r="T195" s="27"/>
      <c r="U195" s="27"/>
      <c r="V195" s="27"/>
      <c r="W195" s="27"/>
      <c r="X195" s="27"/>
      <c r="Y195" s="27"/>
      <c r="Z195" s="27" t="s">
        <v>1876</v>
      </c>
      <c r="AA195" s="29">
        <v>0.18</v>
      </c>
      <c r="AB195" s="30">
        <v>50</v>
      </c>
      <c r="AC195" s="50">
        <f>AB195*0.089*24*365/10^6</f>
        <v>3.898200000000001E-2</v>
      </c>
      <c r="AD195" s="30"/>
      <c r="AE195" s="30">
        <f>AB195</f>
        <v>50</v>
      </c>
      <c r="AF195" s="28" t="s">
        <v>1877</v>
      </c>
      <c r="AG195" s="28"/>
    </row>
    <row r="196" spans="1:33" ht="32.25" customHeight="1" x14ac:dyDescent="0.2">
      <c r="A196" s="27">
        <v>498</v>
      </c>
      <c r="B196" s="27" t="s">
        <v>1878</v>
      </c>
      <c r="C196" s="27" t="s">
        <v>346</v>
      </c>
      <c r="D196" s="27">
        <v>2014</v>
      </c>
      <c r="E196" s="27">
        <v>2017</v>
      </c>
      <c r="F196" s="27" t="s">
        <v>916</v>
      </c>
      <c r="G196" s="27" t="s">
        <v>268</v>
      </c>
      <c r="H196" s="27"/>
      <c r="I196" s="27" t="s">
        <v>911</v>
      </c>
      <c r="J196" s="27"/>
      <c r="K196" s="27" t="s">
        <v>396</v>
      </c>
      <c r="L196" s="27"/>
      <c r="M196" s="27"/>
      <c r="N196" s="27"/>
      <c r="O196" s="27"/>
      <c r="P196" s="27"/>
      <c r="Q196" s="27"/>
      <c r="R196" s="27"/>
      <c r="S196" s="27"/>
      <c r="T196" s="27"/>
      <c r="U196" s="27"/>
      <c r="V196" s="27"/>
      <c r="W196" s="27"/>
      <c r="X196" s="27">
        <v>1</v>
      </c>
      <c r="Y196" s="27"/>
      <c r="Z196" s="27" t="s">
        <v>1879</v>
      </c>
      <c r="AA196" s="29">
        <v>1.2</v>
      </c>
      <c r="AB196" s="30">
        <v>200</v>
      </c>
      <c r="AC196" s="50">
        <f>AB196*0.089*24*365/10^6</f>
        <v>0.15592800000000004</v>
      </c>
      <c r="AD196" s="30"/>
      <c r="AE196" s="30">
        <f>AB196</f>
        <v>200</v>
      </c>
      <c r="AF196" s="28" t="s">
        <v>1880</v>
      </c>
      <c r="AG196" s="28"/>
    </row>
    <row r="197" spans="1:33" ht="32.25" customHeight="1" x14ac:dyDescent="0.2">
      <c r="A197" s="27">
        <v>499</v>
      </c>
      <c r="B197" s="27" t="s">
        <v>1881</v>
      </c>
      <c r="C197" s="27" t="s">
        <v>355</v>
      </c>
      <c r="D197" s="27">
        <v>2021</v>
      </c>
      <c r="E197" s="27"/>
      <c r="F197" s="27" t="s">
        <v>836</v>
      </c>
      <c r="G197" s="27" t="s">
        <v>758</v>
      </c>
      <c r="H197" s="27" t="s">
        <v>1406</v>
      </c>
      <c r="I197" s="27" t="s">
        <v>768</v>
      </c>
      <c r="J197" s="27" t="s">
        <v>864</v>
      </c>
      <c r="K197" s="27" t="s">
        <v>377</v>
      </c>
      <c r="L197" s="27"/>
      <c r="M197" s="27"/>
      <c r="N197" s="27"/>
      <c r="O197" s="27"/>
      <c r="P197" s="27"/>
      <c r="Q197" s="27"/>
      <c r="R197" s="27">
        <v>1</v>
      </c>
      <c r="S197" s="27"/>
      <c r="T197" s="27"/>
      <c r="U197" s="27"/>
      <c r="V197" s="27"/>
      <c r="W197" s="27"/>
      <c r="X197" s="27"/>
      <c r="Y197" s="27"/>
      <c r="Z197" s="27" t="s">
        <v>1533</v>
      </c>
      <c r="AA197" s="29">
        <v>2.5000000000000001E-2</v>
      </c>
      <c r="AB197" s="30">
        <f>AA197/0.0045</f>
        <v>5.5555555555555562</v>
      </c>
      <c r="AC197" s="50">
        <f>AB197*0.089*24*365/10^6</f>
        <v>4.3313333333333337E-3</v>
      </c>
      <c r="AD197" s="30"/>
      <c r="AE197" s="30">
        <f>AB197</f>
        <v>5.5555555555555562</v>
      </c>
      <c r="AF197" s="28" t="s">
        <v>1882</v>
      </c>
      <c r="AG197" s="28"/>
    </row>
    <row r="198" spans="1:33" ht="32.25" customHeight="1" x14ac:dyDescent="0.2">
      <c r="A198" s="27">
        <v>500</v>
      </c>
      <c r="B198" s="27" t="s">
        <v>3205</v>
      </c>
      <c r="C198" s="27" t="s">
        <v>342</v>
      </c>
      <c r="D198" s="27">
        <v>2021</v>
      </c>
      <c r="E198" s="27"/>
      <c r="F198" s="27" t="s">
        <v>754</v>
      </c>
      <c r="G198" s="27" t="s">
        <v>266</v>
      </c>
      <c r="H198" s="27"/>
      <c r="I198" s="27" t="s">
        <v>768</v>
      </c>
      <c r="J198" s="27" t="s">
        <v>865</v>
      </c>
      <c r="K198" s="27" t="s">
        <v>377</v>
      </c>
      <c r="L198" s="27"/>
      <c r="M198" s="27"/>
      <c r="N198" s="27"/>
      <c r="O198" s="27"/>
      <c r="P198" s="27"/>
      <c r="Q198" s="27"/>
      <c r="R198" s="27">
        <v>1</v>
      </c>
      <c r="S198" s="27"/>
      <c r="T198" s="27"/>
      <c r="U198" s="27"/>
      <c r="V198" s="27"/>
      <c r="W198" s="27"/>
      <c r="X198" s="27"/>
      <c r="Y198" s="27"/>
      <c r="Z198" s="27" t="s">
        <v>1810</v>
      </c>
      <c r="AA198" s="29">
        <v>0.08</v>
      </c>
      <c r="AB198" s="30">
        <f>AA198/0.0052</f>
        <v>15.384615384615385</v>
      </c>
      <c r="AC198" s="50">
        <f>AB198*0.089*24*365/10^6</f>
        <v>1.1994461538461537E-2</v>
      </c>
      <c r="AD198" s="30"/>
      <c r="AE198" s="30">
        <f>AB198</f>
        <v>15.384615384615385</v>
      </c>
      <c r="AF198" s="28" t="s">
        <v>1471</v>
      </c>
      <c r="AG198" s="28"/>
    </row>
    <row r="199" spans="1:33" ht="32.25" customHeight="1" x14ac:dyDescent="0.2">
      <c r="A199" s="27">
        <v>501</v>
      </c>
      <c r="B199" s="27" t="s">
        <v>3206</v>
      </c>
      <c r="C199" s="27" t="s">
        <v>1212</v>
      </c>
      <c r="D199" s="27"/>
      <c r="E199" s="27"/>
      <c r="F199" s="27" t="s">
        <v>1336</v>
      </c>
      <c r="G199" s="27" t="s">
        <v>758</v>
      </c>
      <c r="H199" s="27" t="s">
        <v>1406</v>
      </c>
      <c r="I199" s="27" t="s">
        <v>768</v>
      </c>
      <c r="J199" s="27"/>
      <c r="K199" s="27" t="s">
        <v>377</v>
      </c>
      <c r="L199" s="27"/>
      <c r="M199" s="27"/>
      <c r="N199" s="27"/>
      <c r="O199" s="27"/>
      <c r="P199" s="27"/>
      <c r="Q199" s="27"/>
      <c r="R199" s="27"/>
      <c r="S199" s="27"/>
      <c r="T199" s="27"/>
      <c r="U199" s="27"/>
      <c r="V199" s="27"/>
      <c r="W199" s="27"/>
      <c r="X199" s="27"/>
      <c r="Y199" s="27"/>
      <c r="Z199" s="27" t="s">
        <v>3207</v>
      </c>
      <c r="AA199" s="29">
        <v>30000</v>
      </c>
      <c r="AB199" s="30">
        <f>AA199/0.0045</f>
        <v>6666666.666666667</v>
      </c>
      <c r="AC199" s="50">
        <f>AB199*0.089*24*365/10^6</f>
        <v>5197.6000000000004</v>
      </c>
      <c r="AD199" s="30"/>
      <c r="AE199" s="30">
        <f>AB199</f>
        <v>6666666.666666667</v>
      </c>
      <c r="AF199" s="28" t="s">
        <v>3317</v>
      </c>
      <c r="AG199" s="28"/>
    </row>
    <row r="200" spans="1:33" ht="32.25" customHeight="1" x14ac:dyDescent="0.2">
      <c r="A200" s="27">
        <v>502</v>
      </c>
      <c r="B200" s="27" t="s">
        <v>1883</v>
      </c>
      <c r="C200" s="27" t="s">
        <v>349</v>
      </c>
      <c r="D200" s="27">
        <v>2021</v>
      </c>
      <c r="E200" s="27"/>
      <c r="F200" s="27" t="s">
        <v>836</v>
      </c>
      <c r="G200" s="27" t="s">
        <v>266</v>
      </c>
      <c r="H200" s="27"/>
      <c r="I200" s="27" t="s">
        <v>911</v>
      </c>
      <c r="J200" s="27"/>
      <c r="K200" s="27" t="s">
        <v>377</v>
      </c>
      <c r="L200" s="27"/>
      <c r="M200" s="27"/>
      <c r="N200" s="27"/>
      <c r="O200" s="27"/>
      <c r="P200" s="27"/>
      <c r="Q200" s="27">
        <v>1</v>
      </c>
      <c r="R200" s="27"/>
      <c r="S200" s="27"/>
      <c r="T200" s="27"/>
      <c r="U200" s="27"/>
      <c r="V200" s="27"/>
      <c r="W200" s="27"/>
      <c r="X200" s="27"/>
      <c r="Y200" s="27"/>
      <c r="Z200" s="27" t="s">
        <v>1569</v>
      </c>
      <c r="AA200" s="29">
        <v>1.2</v>
      </c>
      <c r="AB200" s="30">
        <f>AA200/0.0052</f>
        <v>230.76923076923077</v>
      </c>
      <c r="AC200" s="50">
        <f>AB200*0.089*24*365/10^6</f>
        <v>0.17991692307692306</v>
      </c>
      <c r="AD200" s="30"/>
      <c r="AE200" s="30">
        <f>AB200</f>
        <v>230.76923076923077</v>
      </c>
      <c r="AF200" s="28" t="s">
        <v>3268</v>
      </c>
      <c r="AG200" s="28"/>
    </row>
    <row r="201" spans="1:33" ht="32.25" customHeight="1" x14ac:dyDescent="0.2">
      <c r="A201" s="27">
        <v>503</v>
      </c>
      <c r="B201" s="27" t="s">
        <v>1884</v>
      </c>
      <c r="C201" s="27" t="s">
        <v>346</v>
      </c>
      <c r="D201" s="27">
        <v>2013</v>
      </c>
      <c r="E201" s="27">
        <v>2017</v>
      </c>
      <c r="F201" s="27" t="s">
        <v>916</v>
      </c>
      <c r="G201" s="27" t="s">
        <v>267</v>
      </c>
      <c r="H201" s="27"/>
      <c r="I201" s="27" t="s">
        <v>911</v>
      </c>
      <c r="J201" s="27"/>
      <c r="K201" s="27" t="s">
        <v>396</v>
      </c>
      <c r="L201" s="27"/>
      <c r="M201" s="27"/>
      <c r="N201" s="27"/>
      <c r="O201" s="27"/>
      <c r="P201" s="27"/>
      <c r="Q201" s="27"/>
      <c r="R201" s="27"/>
      <c r="S201" s="27"/>
      <c r="T201" s="27"/>
      <c r="U201" s="27"/>
      <c r="V201" s="27"/>
      <c r="W201" s="27"/>
      <c r="X201" s="27">
        <v>1</v>
      </c>
      <c r="Y201" s="27"/>
      <c r="Z201" s="27" t="s">
        <v>1623</v>
      </c>
      <c r="AA201" s="29">
        <f>AB201*0.0038</f>
        <v>3.7999999999999999E-2</v>
      </c>
      <c r="AB201" s="30">
        <v>10</v>
      </c>
      <c r="AC201" s="50">
        <f>AB201*0.089*24*365/10^6</f>
        <v>7.7963999999999993E-3</v>
      </c>
      <c r="AD201" s="30"/>
      <c r="AE201" s="30">
        <f>AB201</f>
        <v>10</v>
      </c>
      <c r="AF201" s="28" t="s">
        <v>1885</v>
      </c>
      <c r="AG201" s="28"/>
    </row>
    <row r="202" spans="1:33" ht="32.25" customHeight="1" x14ac:dyDescent="0.2">
      <c r="A202" s="27">
        <v>504</v>
      </c>
      <c r="B202" s="27" t="s">
        <v>1886</v>
      </c>
      <c r="C202" s="27" t="s">
        <v>346</v>
      </c>
      <c r="D202" s="27">
        <v>2015</v>
      </c>
      <c r="E202" s="27">
        <v>2016</v>
      </c>
      <c r="F202" s="27" t="s">
        <v>916</v>
      </c>
      <c r="G202" s="27" t="s">
        <v>268</v>
      </c>
      <c r="H202" s="27"/>
      <c r="I202" s="27" t="s">
        <v>911</v>
      </c>
      <c r="J202" s="27"/>
      <c r="K202" s="27" t="s">
        <v>396</v>
      </c>
      <c r="L202" s="27"/>
      <c r="M202" s="27"/>
      <c r="N202" s="27"/>
      <c r="O202" s="27"/>
      <c r="P202" s="27"/>
      <c r="Q202" s="27"/>
      <c r="R202" s="27"/>
      <c r="S202" s="27"/>
      <c r="T202" s="27"/>
      <c r="U202" s="27"/>
      <c r="V202" s="27"/>
      <c r="W202" s="27"/>
      <c r="X202" s="27">
        <v>1</v>
      </c>
      <c r="Y202" s="27"/>
      <c r="Z202" s="27" t="s">
        <v>1675</v>
      </c>
      <c r="AA202" s="29">
        <v>0.5</v>
      </c>
      <c r="AB202" s="30">
        <v>100</v>
      </c>
      <c r="AC202" s="50">
        <f>AB202*0.089*24*365/10^6</f>
        <v>7.7964000000000019E-2</v>
      </c>
      <c r="AD202" s="30"/>
      <c r="AE202" s="30">
        <f>AB202</f>
        <v>100</v>
      </c>
      <c r="AF202" s="28" t="s">
        <v>1887</v>
      </c>
      <c r="AG202" s="28"/>
    </row>
    <row r="203" spans="1:33" ht="32.25" customHeight="1" x14ac:dyDescent="0.2">
      <c r="A203" s="27">
        <v>505</v>
      </c>
      <c r="B203" s="27" t="s">
        <v>1888</v>
      </c>
      <c r="C203" s="27" t="s">
        <v>346</v>
      </c>
      <c r="D203" s="27">
        <v>2013</v>
      </c>
      <c r="E203" s="27"/>
      <c r="F203" s="27" t="s">
        <v>836</v>
      </c>
      <c r="G203" s="27" t="s">
        <v>268</v>
      </c>
      <c r="H203" s="27"/>
      <c r="I203" s="27" t="s">
        <v>866</v>
      </c>
      <c r="J203" s="27"/>
      <c r="K203" s="27" t="s">
        <v>377</v>
      </c>
      <c r="L203" s="27"/>
      <c r="M203" s="27"/>
      <c r="N203" s="27"/>
      <c r="O203" s="27"/>
      <c r="P203" s="27"/>
      <c r="Q203" s="27">
        <v>1</v>
      </c>
      <c r="R203" s="27"/>
      <c r="S203" s="27"/>
      <c r="T203" s="27"/>
      <c r="U203" s="27"/>
      <c r="V203" s="27"/>
      <c r="W203" s="27"/>
      <c r="X203" s="27"/>
      <c r="Y203" s="27"/>
      <c r="Z203" s="27" t="s">
        <v>1711</v>
      </c>
      <c r="AA203" s="29">
        <f>AB203*0.0046</f>
        <v>0.43071161048689133</v>
      </c>
      <c r="AB203" s="30">
        <f>AC203/(0.089*24*365/10^6)</f>
        <v>93.63295880149812</v>
      </c>
      <c r="AC203" s="30">
        <v>7.2999999999999995E-2</v>
      </c>
      <c r="AD203" s="30"/>
      <c r="AE203" s="30">
        <f>AB203</f>
        <v>93.63295880149812</v>
      </c>
      <c r="AF203" s="52" t="s">
        <v>1712</v>
      </c>
      <c r="AG203" s="52"/>
    </row>
    <row r="204" spans="1:33" ht="32.25" customHeight="1" x14ac:dyDescent="0.2">
      <c r="A204" s="27">
        <v>506</v>
      </c>
      <c r="B204" s="27" t="s">
        <v>1889</v>
      </c>
      <c r="C204" s="27" t="s">
        <v>346</v>
      </c>
      <c r="D204" s="27">
        <v>2013</v>
      </c>
      <c r="E204" s="27"/>
      <c r="F204" s="27" t="s">
        <v>836</v>
      </c>
      <c r="G204" s="27" t="s">
        <v>268</v>
      </c>
      <c r="H204" s="27"/>
      <c r="I204" s="27" t="s">
        <v>866</v>
      </c>
      <c r="J204" s="27"/>
      <c r="K204" s="27" t="s">
        <v>377</v>
      </c>
      <c r="L204" s="27"/>
      <c r="M204" s="27"/>
      <c r="N204" s="27"/>
      <c r="O204" s="27"/>
      <c r="P204" s="27"/>
      <c r="Q204" s="27">
        <v>1</v>
      </c>
      <c r="R204" s="27"/>
      <c r="S204" s="27"/>
      <c r="T204" s="27"/>
      <c r="U204" s="27"/>
      <c r="V204" s="27"/>
      <c r="W204" s="27"/>
      <c r="X204" s="27"/>
      <c r="Y204" s="27"/>
      <c r="Z204" s="27" t="s">
        <v>1711</v>
      </c>
      <c r="AA204" s="29">
        <f>AB204*0.0046</f>
        <v>0.43071161048689133</v>
      </c>
      <c r="AB204" s="30">
        <f>AC204/(0.089*24*365/10^6)</f>
        <v>93.63295880149812</v>
      </c>
      <c r="AC204" s="30">
        <v>7.2999999999999995E-2</v>
      </c>
      <c r="AD204" s="30"/>
      <c r="AE204" s="30">
        <f>AB204</f>
        <v>93.63295880149812</v>
      </c>
      <c r="AF204" s="52" t="s">
        <v>1712</v>
      </c>
      <c r="AG204" s="52"/>
    </row>
    <row r="205" spans="1:33" ht="32.25" customHeight="1" x14ac:dyDescent="0.2">
      <c r="A205" s="27">
        <v>507</v>
      </c>
      <c r="B205" s="27" t="s">
        <v>1890</v>
      </c>
      <c r="C205" s="27" t="s">
        <v>346</v>
      </c>
      <c r="D205" s="27">
        <v>2013</v>
      </c>
      <c r="E205" s="27"/>
      <c r="F205" s="27" t="s">
        <v>836</v>
      </c>
      <c r="G205" s="27" t="s">
        <v>268</v>
      </c>
      <c r="H205" s="27"/>
      <c r="I205" s="27" t="s">
        <v>866</v>
      </c>
      <c r="J205" s="27"/>
      <c r="K205" s="27" t="s">
        <v>377</v>
      </c>
      <c r="L205" s="27"/>
      <c r="M205" s="27"/>
      <c r="N205" s="27"/>
      <c r="O205" s="27"/>
      <c r="P205" s="27"/>
      <c r="Q205" s="27">
        <v>1</v>
      </c>
      <c r="R205" s="27"/>
      <c r="S205" s="27"/>
      <c r="T205" s="27"/>
      <c r="U205" s="27"/>
      <c r="V205" s="27"/>
      <c r="W205" s="27"/>
      <c r="X205" s="27"/>
      <c r="Y205" s="27"/>
      <c r="Z205" s="27" t="s">
        <v>1891</v>
      </c>
      <c r="AA205" s="29">
        <f>AB205*0.0046</f>
        <v>1.292134831460674</v>
      </c>
      <c r="AB205" s="30">
        <f>AC205/(0.089*24*365/10^6)</f>
        <v>280.89887640449433</v>
      </c>
      <c r="AC205" s="30">
        <f>3*0.073</f>
        <v>0.21899999999999997</v>
      </c>
      <c r="AD205" s="30"/>
      <c r="AE205" s="30">
        <f>AB205</f>
        <v>280.89887640449433</v>
      </c>
      <c r="AF205" s="52" t="s">
        <v>1712</v>
      </c>
      <c r="AG205" s="52"/>
    </row>
    <row r="206" spans="1:33" ht="32.25" customHeight="1" x14ac:dyDescent="0.2">
      <c r="A206" s="27">
        <v>508</v>
      </c>
      <c r="B206" s="27" t="s">
        <v>1892</v>
      </c>
      <c r="C206" s="27" t="s">
        <v>980</v>
      </c>
      <c r="D206" s="27">
        <v>2025</v>
      </c>
      <c r="E206" s="27"/>
      <c r="F206" s="27" t="s">
        <v>832</v>
      </c>
      <c r="G206" s="27" t="s">
        <v>758</v>
      </c>
      <c r="H206" s="27" t="s">
        <v>1406</v>
      </c>
      <c r="I206" s="27" t="s">
        <v>768</v>
      </c>
      <c r="J206" s="27" t="s">
        <v>865</v>
      </c>
      <c r="K206" s="27" t="s">
        <v>740</v>
      </c>
      <c r="L206" s="27"/>
      <c r="M206" s="27">
        <v>1</v>
      </c>
      <c r="N206" s="27"/>
      <c r="O206" s="27"/>
      <c r="P206" s="27"/>
      <c r="Q206" s="27"/>
      <c r="R206" s="27"/>
      <c r="S206" s="27"/>
      <c r="T206" s="27"/>
      <c r="U206" s="27"/>
      <c r="V206" s="27"/>
      <c r="W206" s="27"/>
      <c r="X206" s="27"/>
      <c r="Y206" s="27"/>
      <c r="Z206" s="27" t="s">
        <v>1893</v>
      </c>
      <c r="AA206" s="29">
        <v>210</v>
      </c>
      <c r="AB206" s="30">
        <f>AA206/0.0045</f>
        <v>46666.666666666672</v>
      </c>
      <c r="AC206" s="30">
        <f>AB206*0.089*24*365/10^6</f>
        <v>36.383200000000009</v>
      </c>
      <c r="AD206" s="30"/>
      <c r="AE206" s="30">
        <f>AB206</f>
        <v>46666.666666666672</v>
      </c>
      <c r="AF206" s="52" t="s">
        <v>1894</v>
      </c>
      <c r="AG206" s="52"/>
    </row>
    <row r="207" spans="1:33" ht="32.25" customHeight="1" x14ac:dyDescent="0.2">
      <c r="A207" s="27">
        <v>509</v>
      </c>
      <c r="B207" s="27" t="s">
        <v>1895</v>
      </c>
      <c r="C207" s="27" t="s">
        <v>349</v>
      </c>
      <c r="D207" s="27">
        <v>2021</v>
      </c>
      <c r="E207" s="27"/>
      <c r="F207" s="27" t="s">
        <v>754</v>
      </c>
      <c r="G207" s="27" t="s">
        <v>758</v>
      </c>
      <c r="H207" s="27" t="s">
        <v>1406</v>
      </c>
      <c r="I207" s="27" t="s">
        <v>768</v>
      </c>
      <c r="J207" s="27" t="s">
        <v>863</v>
      </c>
      <c r="K207" s="27" t="s">
        <v>377</v>
      </c>
      <c r="L207" s="27"/>
      <c r="M207" s="27"/>
      <c r="N207" s="27"/>
      <c r="O207" s="27"/>
      <c r="P207" s="27"/>
      <c r="Q207" s="27">
        <v>1</v>
      </c>
      <c r="R207" s="27"/>
      <c r="S207" s="27">
        <v>1</v>
      </c>
      <c r="T207" s="27"/>
      <c r="U207" s="27"/>
      <c r="V207" s="27"/>
      <c r="W207" s="27"/>
      <c r="X207" s="27"/>
      <c r="Y207" s="27"/>
      <c r="Z207" s="27" t="s">
        <v>1896</v>
      </c>
      <c r="AA207" s="29">
        <v>1</v>
      </c>
      <c r="AB207" s="30">
        <f>AA207/0.0045</f>
        <v>222.22222222222223</v>
      </c>
      <c r="AC207" s="50">
        <f>AB207*0.089*24*365/10^6</f>
        <v>0.17325333333333334</v>
      </c>
      <c r="AD207" s="30"/>
      <c r="AE207" s="30">
        <f>AB207</f>
        <v>222.22222222222223</v>
      </c>
      <c r="AF207" s="28"/>
      <c r="AG207" s="74" t="s">
        <v>3927</v>
      </c>
    </row>
    <row r="208" spans="1:33" ht="32.25" customHeight="1" x14ac:dyDescent="0.2">
      <c r="A208" s="27">
        <v>510</v>
      </c>
      <c r="B208" s="27" t="s">
        <v>1897</v>
      </c>
      <c r="C208" s="27" t="s">
        <v>349</v>
      </c>
      <c r="D208" s="27">
        <v>2023</v>
      </c>
      <c r="E208" s="27"/>
      <c r="F208" s="27" t="s">
        <v>753</v>
      </c>
      <c r="G208" s="27" t="s">
        <v>758</v>
      </c>
      <c r="H208" s="27" t="s">
        <v>1406</v>
      </c>
      <c r="I208" s="27" t="s">
        <v>768</v>
      </c>
      <c r="J208" s="27" t="s">
        <v>863</v>
      </c>
      <c r="K208" s="27" t="s">
        <v>377</v>
      </c>
      <c r="L208" s="27"/>
      <c r="M208" s="27"/>
      <c r="N208" s="27"/>
      <c r="O208" s="27"/>
      <c r="P208" s="27"/>
      <c r="Q208" s="27">
        <v>1</v>
      </c>
      <c r="R208" s="27"/>
      <c r="S208" s="27">
        <v>1</v>
      </c>
      <c r="T208" s="27"/>
      <c r="U208" s="27"/>
      <c r="V208" s="27"/>
      <c r="W208" s="27"/>
      <c r="X208" s="27"/>
      <c r="Y208" s="27"/>
      <c r="Z208" s="27" t="s">
        <v>1898</v>
      </c>
      <c r="AA208" s="29">
        <v>24</v>
      </c>
      <c r="AB208" s="30">
        <f>AA208/0.0045</f>
        <v>5333.3333333333339</v>
      </c>
      <c r="AC208" s="50">
        <f>AB208*0.089*24*365/10^6</f>
        <v>4.15808</v>
      </c>
      <c r="AD208" s="30"/>
      <c r="AE208" s="30">
        <f>AB208</f>
        <v>5333.3333333333339</v>
      </c>
      <c r="AF208" s="28"/>
      <c r="AG208" s="74" t="s">
        <v>3927</v>
      </c>
    </row>
    <row r="209" spans="1:33" ht="32.25" customHeight="1" x14ac:dyDescent="0.2">
      <c r="A209" s="27">
        <v>511</v>
      </c>
      <c r="B209" s="27" t="s">
        <v>1899</v>
      </c>
      <c r="C209" s="27" t="s">
        <v>349</v>
      </c>
      <c r="D209" s="27">
        <v>2030</v>
      </c>
      <c r="E209" s="27"/>
      <c r="F209" s="27" t="s">
        <v>1336</v>
      </c>
      <c r="G209" s="27" t="s">
        <v>758</v>
      </c>
      <c r="H209" s="27" t="s">
        <v>1406</v>
      </c>
      <c r="I209" s="27" t="s">
        <v>768</v>
      </c>
      <c r="J209" s="27" t="s">
        <v>863</v>
      </c>
      <c r="K209" s="27" t="s">
        <v>377</v>
      </c>
      <c r="L209" s="27"/>
      <c r="M209" s="27"/>
      <c r="N209" s="27"/>
      <c r="O209" s="27"/>
      <c r="P209" s="27"/>
      <c r="Q209" s="27">
        <v>1</v>
      </c>
      <c r="R209" s="27"/>
      <c r="S209" s="27">
        <v>1</v>
      </c>
      <c r="T209" s="27"/>
      <c r="U209" s="27"/>
      <c r="V209" s="27"/>
      <c r="W209" s="27"/>
      <c r="X209" s="27"/>
      <c r="Y209" s="27"/>
      <c r="Z209" s="27" t="s">
        <v>1900</v>
      </c>
      <c r="AA209" s="29">
        <v>975</v>
      </c>
      <c r="AB209" s="30">
        <f>AA209/0.0045</f>
        <v>216666.66666666669</v>
      </c>
      <c r="AC209" s="50">
        <f>AB209*0.089*24*365/10^6</f>
        <v>168.92200000000003</v>
      </c>
      <c r="AD209" s="30"/>
      <c r="AE209" s="30">
        <f>AB209</f>
        <v>216666.66666666669</v>
      </c>
      <c r="AF209" s="28"/>
      <c r="AG209" s="74" t="s">
        <v>3927</v>
      </c>
    </row>
    <row r="210" spans="1:33" ht="32.25" customHeight="1" x14ac:dyDescent="0.2">
      <c r="A210" s="27">
        <v>512</v>
      </c>
      <c r="B210" s="27" t="s">
        <v>1901</v>
      </c>
      <c r="C210" s="27" t="s">
        <v>349</v>
      </c>
      <c r="D210" s="27">
        <v>2025</v>
      </c>
      <c r="E210" s="27"/>
      <c r="F210" s="27" t="s">
        <v>753</v>
      </c>
      <c r="G210" s="27" t="s">
        <v>758</v>
      </c>
      <c r="H210" s="27" t="s">
        <v>1406</v>
      </c>
      <c r="I210" s="27" t="s">
        <v>768</v>
      </c>
      <c r="J210" s="27" t="s">
        <v>862</v>
      </c>
      <c r="K210" s="27" t="s">
        <v>377</v>
      </c>
      <c r="L210" s="27"/>
      <c r="M210" s="27"/>
      <c r="N210" s="27"/>
      <c r="O210" s="27"/>
      <c r="P210" s="27"/>
      <c r="Q210" s="27">
        <v>1</v>
      </c>
      <c r="R210" s="27"/>
      <c r="S210" s="27"/>
      <c r="T210" s="27"/>
      <c r="U210" s="27"/>
      <c r="V210" s="27"/>
      <c r="W210" s="27"/>
      <c r="X210" s="27"/>
      <c r="Y210" s="27"/>
      <c r="Z210" s="27" t="s">
        <v>1902</v>
      </c>
      <c r="AA210" s="29">
        <v>50</v>
      </c>
      <c r="AB210" s="30">
        <f>AA210/0.0045</f>
        <v>11111.111111111111</v>
      </c>
      <c r="AC210" s="30">
        <f>AB210*0.089*24*365/10^6</f>
        <v>8.6626666666666683</v>
      </c>
      <c r="AD210" s="30"/>
      <c r="AE210" s="30">
        <f>AB210</f>
        <v>11111.111111111111</v>
      </c>
      <c r="AF210" s="28" t="s">
        <v>1903</v>
      </c>
      <c r="AG210" s="28"/>
    </row>
    <row r="211" spans="1:33" ht="32.25" customHeight="1" x14ac:dyDescent="0.2">
      <c r="A211" s="27">
        <v>513</v>
      </c>
      <c r="B211" s="27" t="s">
        <v>1904</v>
      </c>
      <c r="C211" s="27" t="s">
        <v>349</v>
      </c>
      <c r="D211" s="27">
        <v>2022</v>
      </c>
      <c r="E211" s="27"/>
      <c r="F211" s="27" t="s">
        <v>753</v>
      </c>
      <c r="G211" s="27" t="s">
        <v>758</v>
      </c>
      <c r="H211" s="27" t="s">
        <v>1406</v>
      </c>
      <c r="I211" s="27" t="s">
        <v>768</v>
      </c>
      <c r="J211" s="27" t="s">
        <v>862</v>
      </c>
      <c r="K211" s="27" t="s">
        <v>377</v>
      </c>
      <c r="L211" s="27"/>
      <c r="M211" s="27"/>
      <c r="N211" s="27"/>
      <c r="O211" s="27"/>
      <c r="P211" s="27"/>
      <c r="Q211" s="27">
        <v>1</v>
      </c>
      <c r="R211" s="27"/>
      <c r="S211" s="27"/>
      <c r="T211" s="27"/>
      <c r="U211" s="27"/>
      <c r="V211" s="27"/>
      <c r="W211" s="27"/>
      <c r="X211" s="27"/>
      <c r="Y211" s="27"/>
      <c r="Z211" s="27"/>
      <c r="AA211" s="29"/>
      <c r="AB211" s="30"/>
      <c r="AC211" s="50"/>
      <c r="AD211" s="30"/>
      <c r="AE211" s="30"/>
      <c r="AF211" s="28" t="s">
        <v>1905</v>
      </c>
      <c r="AG211" s="28"/>
    </row>
    <row r="212" spans="1:33" ht="32.25" customHeight="1" x14ac:dyDescent="0.2">
      <c r="A212" s="27">
        <v>514</v>
      </c>
      <c r="B212" s="27" t="s">
        <v>1906</v>
      </c>
      <c r="C212" s="27" t="s">
        <v>349</v>
      </c>
      <c r="D212" s="27">
        <v>2023</v>
      </c>
      <c r="E212" s="27"/>
      <c r="F212" s="27" t="s">
        <v>832</v>
      </c>
      <c r="G212" s="27" t="s">
        <v>758</v>
      </c>
      <c r="H212" s="27" t="s">
        <v>1406</v>
      </c>
      <c r="I212" s="27" t="s">
        <v>768</v>
      </c>
      <c r="J212" s="27" t="s">
        <v>865</v>
      </c>
      <c r="K212" s="27" t="s">
        <v>739</v>
      </c>
      <c r="L212" s="27"/>
      <c r="M212" s="27"/>
      <c r="N212" s="27">
        <v>1</v>
      </c>
      <c r="O212" s="27"/>
      <c r="P212" s="27"/>
      <c r="Q212" s="27"/>
      <c r="R212" s="27"/>
      <c r="S212" s="27"/>
      <c r="T212" s="27"/>
      <c r="U212" s="27"/>
      <c r="V212" s="27"/>
      <c r="W212" s="27"/>
      <c r="X212" s="27"/>
      <c r="Y212" s="27"/>
      <c r="Z212" s="27" t="s">
        <v>1907</v>
      </c>
      <c r="AA212" s="29">
        <v>10</v>
      </c>
      <c r="AB212" s="30">
        <f>AC212/(0.089*24*365/10^6)</f>
        <v>1963.2343132727924</v>
      </c>
      <c r="AC212" s="30">
        <f>8*0.191327</f>
        <v>1.530616</v>
      </c>
      <c r="AD212" s="30"/>
      <c r="AE212" s="30">
        <f>AB212</f>
        <v>1963.2343132727924</v>
      </c>
      <c r="AF212" s="28" t="s">
        <v>1908</v>
      </c>
      <c r="AG212" s="28"/>
    </row>
    <row r="213" spans="1:33" ht="32.25" customHeight="1" x14ac:dyDescent="0.2">
      <c r="A213" s="27">
        <v>516</v>
      </c>
      <c r="B213" s="27" t="s">
        <v>3274</v>
      </c>
      <c r="C213" s="27" t="s">
        <v>346</v>
      </c>
      <c r="D213" s="27">
        <v>2023</v>
      </c>
      <c r="E213" s="27"/>
      <c r="F213" s="27" t="s">
        <v>832</v>
      </c>
      <c r="G213" s="27" t="s">
        <v>758</v>
      </c>
      <c r="H213" s="27" t="s">
        <v>1406</v>
      </c>
      <c r="I213" s="27" t="s">
        <v>768</v>
      </c>
      <c r="J213" s="27" t="s">
        <v>865</v>
      </c>
      <c r="K213" s="27" t="s">
        <v>377</v>
      </c>
      <c r="L213" s="27"/>
      <c r="M213" s="27"/>
      <c r="N213" s="27"/>
      <c r="O213" s="27"/>
      <c r="P213" s="27"/>
      <c r="Q213" s="27">
        <v>1</v>
      </c>
      <c r="R213" s="27"/>
      <c r="S213" s="27"/>
      <c r="T213" s="27"/>
      <c r="U213" s="27"/>
      <c r="V213" s="27"/>
      <c r="W213" s="27"/>
      <c r="X213" s="27"/>
      <c r="Y213" s="27"/>
      <c r="Z213" s="27" t="s">
        <v>1407</v>
      </c>
      <c r="AA213" s="29">
        <v>10</v>
      </c>
      <c r="AB213" s="30">
        <f>AA213/0.0045</f>
        <v>2222.2222222222222</v>
      </c>
      <c r="AC213" s="50">
        <f>AB213*0.089*24*365/10^6</f>
        <v>1.732533333333333</v>
      </c>
      <c r="AD213" s="30"/>
      <c r="AE213" s="30">
        <f>AB213</f>
        <v>2222.2222222222222</v>
      </c>
      <c r="AF213" s="28" t="s">
        <v>1909</v>
      </c>
      <c r="AG213" s="28"/>
    </row>
    <row r="214" spans="1:33" ht="32.25" customHeight="1" x14ac:dyDescent="0.2">
      <c r="A214" s="27">
        <v>517</v>
      </c>
      <c r="B214" s="27" t="s">
        <v>1910</v>
      </c>
      <c r="C214" s="27" t="s">
        <v>347</v>
      </c>
      <c r="D214" s="27">
        <v>2019</v>
      </c>
      <c r="E214" s="27"/>
      <c r="F214" s="27" t="s">
        <v>836</v>
      </c>
      <c r="G214" s="27" t="s">
        <v>266</v>
      </c>
      <c r="H214" s="27"/>
      <c r="I214" s="27" t="s">
        <v>768</v>
      </c>
      <c r="J214" s="27" t="s">
        <v>861</v>
      </c>
      <c r="K214" s="27" t="s">
        <v>377</v>
      </c>
      <c r="L214" s="27"/>
      <c r="M214" s="27"/>
      <c r="N214" s="27"/>
      <c r="O214" s="27"/>
      <c r="P214" s="27">
        <v>1</v>
      </c>
      <c r="Q214" s="27">
        <v>1</v>
      </c>
      <c r="R214" s="27"/>
      <c r="S214" s="27"/>
      <c r="T214" s="27"/>
      <c r="U214" s="27"/>
      <c r="V214" s="27"/>
      <c r="W214" s="27"/>
      <c r="X214" s="27"/>
      <c r="Y214" s="27"/>
      <c r="Z214" s="27" t="s">
        <v>1911</v>
      </c>
      <c r="AA214" s="29">
        <v>1</v>
      </c>
      <c r="AB214" s="30">
        <v>220</v>
      </c>
      <c r="AC214" s="50">
        <f>AB214*0.089*24*365/10^6</f>
        <v>0.1715208</v>
      </c>
      <c r="AD214" s="30"/>
      <c r="AE214" s="30">
        <f>AB214</f>
        <v>220</v>
      </c>
      <c r="AF214" s="28" t="s">
        <v>1912</v>
      </c>
      <c r="AG214" s="28"/>
    </row>
    <row r="215" spans="1:33" ht="32.25" customHeight="1" x14ac:dyDescent="0.2">
      <c r="A215" s="27">
        <v>518</v>
      </c>
      <c r="B215" s="27" t="s">
        <v>1913</v>
      </c>
      <c r="C215" s="27" t="s">
        <v>332</v>
      </c>
      <c r="D215" s="27">
        <v>2021</v>
      </c>
      <c r="E215" s="27"/>
      <c r="F215" s="27" t="s">
        <v>754</v>
      </c>
      <c r="G215" s="27" t="s">
        <v>266</v>
      </c>
      <c r="H215" s="27"/>
      <c r="I215" s="27" t="s">
        <v>768</v>
      </c>
      <c r="J215" s="27" t="s">
        <v>862</v>
      </c>
      <c r="K215" s="27" t="s">
        <v>377</v>
      </c>
      <c r="L215" s="27"/>
      <c r="M215" s="27"/>
      <c r="N215" s="27"/>
      <c r="O215" s="27"/>
      <c r="P215" s="27">
        <v>1</v>
      </c>
      <c r="Q215" s="27">
        <v>1</v>
      </c>
      <c r="R215" s="27">
        <v>1</v>
      </c>
      <c r="S215" s="27"/>
      <c r="T215" s="27"/>
      <c r="U215" s="27"/>
      <c r="V215" s="27"/>
      <c r="W215" s="27"/>
      <c r="X215" s="27"/>
      <c r="Y215" s="27"/>
      <c r="Z215" s="27" t="s">
        <v>1914</v>
      </c>
      <c r="AA215" s="29">
        <v>2.5</v>
      </c>
      <c r="AB215" s="30">
        <v>500</v>
      </c>
      <c r="AC215" s="30">
        <f>AB215*0.089*24*365/10^6</f>
        <v>0.38982</v>
      </c>
      <c r="AD215" s="30"/>
      <c r="AE215" s="30">
        <f>AB215</f>
        <v>500</v>
      </c>
      <c r="AF215" s="28" t="s">
        <v>1915</v>
      </c>
      <c r="AG215" s="28"/>
    </row>
    <row r="216" spans="1:33" ht="32.25" customHeight="1" x14ac:dyDescent="0.2">
      <c r="A216" s="27">
        <v>519</v>
      </c>
      <c r="B216" s="27" t="s">
        <v>1916</v>
      </c>
      <c r="C216" s="27" t="s">
        <v>346</v>
      </c>
      <c r="D216" s="27"/>
      <c r="E216" s="27"/>
      <c r="F216" s="27" t="s">
        <v>1336</v>
      </c>
      <c r="G216" s="27" t="s">
        <v>758</v>
      </c>
      <c r="H216" s="27" t="s">
        <v>1406</v>
      </c>
      <c r="I216" s="27" t="s">
        <v>911</v>
      </c>
      <c r="J216" s="27"/>
      <c r="K216" s="27" t="s">
        <v>767</v>
      </c>
      <c r="L216" s="27"/>
      <c r="M216" s="27"/>
      <c r="N216" s="27">
        <v>1</v>
      </c>
      <c r="O216" s="27"/>
      <c r="P216" s="27">
        <v>1</v>
      </c>
      <c r="Q216" s="27"/>
      <c r="R216" s="27"/>
      <c r="S216" s="27"/>
      <c r="T216" s="27"/>
      <c r="U216" s="27"/>
      <c r="V216" s="27"/>
      <c r="W216" s="27">
        <v>1</v>
      </c>
      <c r="X216" s="27"/>
      <c r="Y216" s="27"/>
      <c r="Z216" s="27" t="s">
        <v>1917</v>
      </c>
      <c r="AA216" s="29">
        <v>100</v>
      </c>
      <c r="AB216" s="30">
        <f>AA216/0.0045</f>
        <v>22222.222222222223</v>
      </c>
      <c r="AC216" s="30">
        <f>AB216*0.089*24*365/10^6</f>
        <v>17.325333333333337</v>
      </c>
      <c r="AD216" s="30"/>
      <c r="AE216" s="30">
        <f>AB216</f>
        <v>22222.222222222223</v>
      </c>
      <c r="AF216" s="28"/>
      <c r="AG216" s="28"/>
    </row>
    <row r="217" spans="1:33" ht="32.25" customHeight="1" x14ac:dyDescent="0.2">
      <c r="A217" s="27">
        <v>520</v>
      </c>
      <c r="B217" s="27" t="s">
        <v>1918</v>
      </c>
      <c r="C217" s="27" t="s">
        <v>346</v>
      </c>
      <c r="D217" s="27">
        <v>2010</v>
      </c>
      <c r="E217" s="27">
        <v>2012</v>
      </c>
      <c r="F217" s="27" t="s">
        <v>916</v>
      </c>
      <c r="G217" s="27" t="s">
        <v>266</v>
      </c>
      <c r="H217" s="27"/>
      <c r="I217" s="27" t="s">
        <v>911</v>
      </c>
      <c r="J217" s="27"/>
      <c r="K217" s="27" t="s">
        <v>377</v>
      </c>
      <c r="L217" s="27"/>
      <c r="M217" s="27"/>
      <c r="N217" s="27"/>
      <c r="O217" s="27"/>
      <c r="P217" s="27"/>
      <c r="Q217" s="27"/>
      <c r="R217" s="27">
        <v>1</v>
      </c>
      <c r="S217" s="27"/>
      <c r="T217" s="27"/>
      <c r="U217" s="27"/>
      <c r="V217" s="27"/>
      <c r="W217" s="27"/>
      <c r="X217" s="27"/>
      <c r="Y217" s="27"/>
      <c r="Z217" s="27" t="s">
        <v>1612</v>
      </c>
      <c r="AA217" s="29">
        <f>AB217*0.0052</f>
        <v>5.1999999999999998E-3</v>
      </c>
      <c r="AB217" s="30">
        <v>1</v>
      </c>
      <c r="AC217" s="30">
        <f>AB217*0.089*24*365/10^6</f>
        <v>7.7964000000000006E-4</v>
      </c>
      <c r="AD217" s="30"/>
      <c r="AE217" s="30">
        <f>AB217</f>
        <v>1</v>
      </c>
      <c r="AF217" s="28" t="s">
        <v>1919</v>
      </c>
      <c r="AG217" s="28"/>
    </row>
    <row r="218" spans="1:33" ht="32.25" customHeight="1" x14ac:dyDescent="0.2">
      <c r="A218" s="27">
        <v>521</v>
      </c>
      <c r="B218" s="27" t="s">
        <v>1920</v>
      </c>
      <c r="C218" s="27" t="s">
        <v>346</v>
      </c>
      <c r="D218" s="27">
        <v>2010</v>
      </c>
      <c r="E218" s="27">
        <v>2013</v>
      </c>
      <c r="F218" s="27" t="s">
        <v>916</v>
      </c>
      <c r="G218" s="27" t="s">
        <v>266</v>
      </c>
      <c r="H218" s="27"/>
      <c r="I218" s="27" t="s">
        <v>911</v>
      </c>
      <c r="J218" s="27"/>
      <c r="K218" s="27" t="s">
        <v>377</v>
      </c>
      <c r="L218" s="27"/>
      <c r="M218" s="27"/>
      <c r="N218" s="27"/>
      <c r="O218" s="27"/>
      <c r="P218" s="27"/>
      <c r="Q218" s="27"/>
      <c r="R218" s="27"/>
      <c r="S218" s="27"/>
      <c r="T218" s="27"/>
      <c r="U218" s="27"/>
      <c r="V218" s="27"/>
      <c r="W218" s="27"/>
      <c r="X218" s="27"/>
      <c r="Y218" s="27"/>
      <c r="Z218" s="27"/>
      <c r="AA218" s="29"/>
      <c r="AB218" s="30"/>
      <c r="AC218" s="30"/>
      <c r="AD218" s="30"/>
      <c r="AE218" s="30"/>
      <c r="AF218" s="28" t="s">
        <v>1921</v>
      </c>
      <c r="AG218" s="28"/>
    </row>
    <row r="219" spans="1:33" ht="32.25" customHeight="1" x14ac:dyDescent="0.2">
      <c r="A219" s="27">
        <v>522</v>
      </c>
      <c r="B219" s="27" t="s">
        <v>1922</v>
      </c>
      <c r="C219" s="27" t="s">
        <v>346</v>
      </c>
      <c r="D219" s="27">
        <v>2011</v>
      </c>
      <c r="E219" s="27">
        <v>2013</v>
      </c>
      <c r="F219" s="27" t="s">
        <v>916</v>
      </c>
      <c r="G219" s="27" t="s">
        <v>266</v>
      </c>
      <c r="H219" s="27"/>
      <c r="I219" s="27" t="s">
        <v>911</v>
      </c>
      <c r="J219" s="27"/>
      <c r="K219" s="27" t="s">
        <v>396</v>
      </c>
      <c r="L219" s="27"/>
      <c r="M219" s="27"/>
      <c r="N219" s="27"/>
      <c r="O219" s="27"/>
      <c r="P219" s="27"/>
      <c r="Q219" s="27"/>
      <c r="R219" s="27"/>
      <c r="S219" s="27"/>
      <c r="T219" s="27"/>
      <c r="U219" s="27"/>
      <c r="V219" s="27"/>
      <c r="W219" s="27"/>
      <c r="X219" s="27">
        <v>1</v>
      </c>
      <c r="Y219" s="27">
        <v>1</v>
      </c>
      <c r="Z219" s="27" t="s">
        <v>1520</v>
      </c>
      <c r="AA219" s="29">
        <v>0.25</v>
      </c>
      <c r="AB219" s="30">
        <f>AA219/0.0052</f>
        <v>48.07692307692308</v>
      </c>
      <c r="AC219" s="30">
        <f>AB219*0.089*24*365/10^6</f>
        <v>3.7482692307692314E-2</v>
      </c>
      <c r="AD219" s="30"/>
      <c r="AE219" s="30">
        <f>AB219</f>
        <v>48.07692307692308</v>
      </c>
      <c r="AF219" s="28" t="s">
        <v>1923</v>
      </c>
      <c r="AG219" s="28"/>
    </row>
    <row r="220" spans="1:33" ht="32.25" customHeight="1" x14ac:dyDescent="0.2">
      <c r="A220" s="27">
        <v>524</v>
      </c>
      <c r="B220" s="27" t="s">
        <v>1924</v>
      </c>
      <c r="C220" s="27" t="s">
        <v>346</v>
      </c>
      <c r="D220" s="27">
        <v>2011</v>
      </c>
      <c r="E220" s="27">
        <v>2014</v>
      </c>
      <c r="F220" s="27" t="s">
        <v>916</v>
      </c>
      <c r="G220" s="27" t="s">
        <v>267</v>
      </c>
      <c r="H220" s="27"/>
      <c r="I220" s="27" t="s">
        <v>911</v>
      </c>
      <c r="J220" s="27"/>
      <c r="K220" s="27" t="s">
        <v>396</v>
      </c>
      <c r="L220" s="27"/>
      <c r="M220" s="27"/>
      <c r="N220" s="27"/>
      <c r="O220" s="27"/>
      <c r="P220" s="27"/>
      <c r="Q220" s="27"/>
      <c r="R220" s="27"/>
      <c r="S220" s="27"/>
      <c r="T220" s="27"/>
      <c r="U220" s="27"/>
      <c r="V220" s="27"/>
      <c r="W220" s="27"/>
      <c r="X220" s="27">
        <v>1</v>
      </c>
      <c r="Y220" s="27"/>
      <c r="Z220" s="27" t="s">
        <v>1731</v>
      </c>
      <c r="AA220" s="29">
        <v>0.04</v>
      </c>
      <c r="AB220" s="30">
        <f>AA220/0.0038</f>
        <v>10.526315789473685</v>
      </c>
      <c r="AC220" s="30">
        <f>AB220*0.089*24*365/10^6</f>
        <v>8.2067368421052632E-3</v>
      </c>
      <c r="AD220" s="30"/>
      <c r="AE220" s="30">
        <f>AB220</f>
        <v>10.526315789473685</v>
      </c>
      <c r="AF220" s="28" t="s">
        <v>1925</v>
      </c>
      <c r="AG220" s="28"/>
    </row>
    <row r="221" spans="1:33" ht="32.25" customHeight="1" x14ac:dyDescent="0.2">
      <c r="A221" s="27">
        <v>525</v>
      </c>
      <c r="B221" s="27" t="s">
        <v>1926</v>
      </c>
      <c r="C221" s="27" t="s">
        <v>346</v>
      </c>
      <c r="D221" s="27">
        <v>2011</v>
      </c>
      <c r="E221" s="27">
        <v>2012</v>
      </c>
      <c r="F221" s="27" t="s">
        <v>916</v>
      </c>
      <c r="G221" s="27" t="s">
        <v>758</v>
      </c>
      <c r="H221" s="27" t="s">
        <v>1406</v>
      </c>
      <c r="I221" s="27" t="s">
        <v>911</v>
      </c>
      <c r="J221" s="27"/>
      <c r="K221" s="27" t="s">
        <v>396</v>
      </c>
      <c r="L221" s="27"/>
      <c r="M221" s="27"/>
      <c r="N221" s="27"/>
      <c r="O221" s="27"/>
      <c r="P221" s="27"/>
      <c r="Q221" s="27"/>
      <c r="R221" s="27"/>
      <c r="S221" s="27"/>
      <c r="T221" s="27"/>
      <c r="U221" s="27"/>
      <c r="V221" s="27"/>
      <c r="W221" s="27"/>
      <c r="X221" s="27">
        <v>1</v>
      </c>
      <c r="Y221" s="27">
        <v>1</v>
      </c>
      <c r="Z221" s="27"/>
      <c r="AA221" s="29"/>
      <c r="AB221" s="30"/>
      <c r="AC221" s="30"/>
      <c r="AD221" s="30"/>
      <c r="AE221" s="30"/>
      <c r="AF221" s="28" t="s">
        <v>1716</v>
      </c>
      <c r="AG221" s="28"/>
    </row>
    <row r="222" spans="1:33" ht="32.25" customHeight="1" x14ac:dyDescent="0.2">
      <c r="A222" s="27">
        <v>526</v>
      </c>
      <c r="B222" s="27" t="s">
        <v>1927</v>
      </c>
      <c r="C222" s="27" t="s">
        <v>346</v>
      </c>
      <c r="D222" s="27">
        <v>2011</v>
      </c>
      <c r="E222" s="27">
        <v>2015</v>
      </c>
      <c r="F222" s="27" t="s">
        <v>916</v>
      </c>
      <c r="G222" s="27" t="s">
        <v>758</v>
      </c>
      <c r="H222" s="27" t="s">
        <v>1406</v>
      </c>
      <c r="I222" s="27" t="s">
        <v>911</v>
      </c>
      <c r="J222" s="27"/>
      <c r="K222" s="27" t="s">
        <v>377</v>
      </c>
      <c r="L222" s="27"/>
      <c r="M222" s="27"/>
      <c r="N222" s="27"/>
      <c r="O222" s="27"/>
      <c r="P222" s="27"/>
      <c r="Q222" s="27"/>
      <c r="R222" s="27"/>
      <c r="S222" s="27"/>
      <c r="T222" s="27"/>
      <c r="U222" s="27"/>
      <c r="V222" s="27"/>
      <c r="W222" s="27"/>
      <c r="X222" s="27"/>
      <c r="Y222" s="27"/>
      <c r="Z222" s="27"/>
      <c r="AA222" s="29"/>
      <c r="AB222" s="30"/>
      <c r="AC222" s="30"/>
      <c r="AD222" s="30"/>
      <c r="AE222" s="30"/>
      <c r="AF222" s="28"/>
      <c r="AG222" s="28"/>
    </row>
    <row r="223" spans="1:33" ht="32.25" customHeight="1" x14ac:dyDescent="0.2">
      <c r="A223" s="27">
        <v>527</v>
      </c>
      <c r="B223" s="27" t="s">
        <v>1928</v>
      </c>
      <c r="C223" s="27" t="s">
        <v>346</v>
      </c>
      <c r="D223" s="27">
        <v>2014</v>
      </c>
      <c r="E223" s="27">
        <v>2015</v>
      </c>
      <c r="F223" s="27" t="s">
        <v>916</v>
      </c>
      <c r="G223" s="27" t="s">
        <v>268</v>
      </c>
      <c r="H223" s="27"/>
      <c r="I223" s="27" t="s">
        <v>866</v>
      </c>
      <c r="J223" s="27"/>
      <c r="K223" s="27" t="s">
        <v>396</v>
      </c>
      <c r="L223" s="27"/>
      <c r="M223" s="27"/>
      <c r="N223" s="27"/>
      <c r="O223" s="27"/>
      <c r="P223" s="27"/>
      <c r="Q223" s="27"/>
      <c r="R223" s="27"/>
      <c r="S223" s="27"/>
      <c r="T223" s="27"/>
      <c r="U223" s="27"/>
      <c r="V223" s="27"/>
      <c r="W223" s="27"/>
      <c r="X223" s="27">
        <v>1</v>
      </c>
      <c r="Y223" s="27">
        <v>1</v>
      </c>
      <c r="Z223" s="27" t="s">
        <v>1929</v>
      </c>
      <c r="AA223" s="29">
        <f>AB223*0.0046</f>
        <v>6.4399999999999995E-3</v>
      </c>
      <c r="AB223" s="30">
        <v>1.4</v>
      </c>
      <c r="AC223" s="30">
        <f>AB223*0.089*24*365/10^6</f>
        <v>1.091496E-3</v>
      </c>
      <c r="AD223" s="30"/>
      <c r="AE223" s="30">
        <f>AB223</f>
        <v>1.4</v>
      </c>
      <c r="AF223" s="28" t="s">
        <v>1930</v>
      </c>
      <c r="AG223" s="28"/>
    </row>
    <row r="224" spans="1:33" ht="32.25" customHeight="1" x14ac:dyDescent="0.2">
      <c r="A224" s="27">
        <v>528</v>
      </c>
      <c r="B224" s="27" t="s">
        <v>1931</v>
      </c>
      <c r="C224" s="27" t="s">
        <v>346</v>
      </c>
      <c r="D224" s="27">
        <v>2015</v>
      </c>
      <c r="E224" s="27">
        <v>2018</v>
      </c>
      <c r="F224" s="27" t="s">
        <v>916</v>
      </c>
      <c r="G224" s="27" t="s">
        <v>268</v>
      </c>
      <c r="H224" s="27"/>
      <c r="I224" s="27" t="s">
        <v>866</v>
      </c>
      <c r="J224" s="27"/>
      <c r="K224" s="27" t="s">
        <v>396</v>
      </c>
      <c r="L224" s="27"/>
      <c r="M224" s="27"/>
      <c r="N224" s="27"/>
      <c r="O224" s="27"/>
      <c r="P224" s="27"/>
      <c r="Q224" s="27"/>
      <c r="R224" s="27"/>
      <c r="S224" s="27"/>
      <c r="T224" s="27"/>
      <c r="U224" s="27"/>
      <c r="V224" s="27"/>
      <c r="W224" s="27"/>
      <c r="X224" s="27">
        <v>1</v>
      </c>
      <c r="Y224" s="27">
        <v>1</v>
      </c>
      <c r="Z224" s="27" t="s">
        <v>1932</v>
      </c>
      <c r="AA224" s="29">
        <v>0.25</v>
      </c>
      <c r="AB224" s="30">
        <f>AA224/0.0046</f>
        <v>54.347826086956523</v>
      </c>
      <c r="AC224" s="30">
        <f>AB224*0.089*24*365/10^6</f>
        <v>4.2371739130434787E-2</v>
      </c>
      <c r="AD224" s="30"/>
      <c r="AE224" s="30">
        <f>AB224</f>
        <v>54.347826086956523</v>
      </c>
      <c r="AF224" s="28" t="s">
        <v>1933</v>
      </c>
      <c r="AG224" s="28"/>
    </row>
    <row r="225" spans="1:33" ht="32.25" customHeight="1" x14ac:dyDescent="0.2">
      <c r="A225" s="27">
        <v>529</v>
      </c>
      <c r="B225" s="27" t="s">
        <v>1934</v>
      </c>
      <c r="C225" s="27" t="s">
        <v>346</v>
      </c>
      <c r="D225" s="27">
        <v>2007</v>
      </c>
      <c r="E225" s="27">
        <v>2014</v>
      </c>
      <c r="F225" s="27" t="s">
        <v>916</v>
      </c>
      <c r="G225" s="27" t="s">
        <v>266</v>
      </c>
      <c r="H225" s="27"/>
      <c r="I225" s="27" t="s">
        <v>911</v>
      </c>
      <c r="J225" s="27"/>
      <c r="K225" s="27" t="s">
        <v>377</v>
      </c>
      <c r="L225" s="27"/>
      <c r="M225" s="27"/>
      <c r="N225" s="27"/>
      <c r="O225" s="27"/>
      <c r="P225" s="27"/>
      <c r="Q225" s="27"/>
      <c r="R225" s="27">
        <v>1</v>
      </c>
      <c r="S225" s="27"/>
      <c r="T225" s="27">
        <v>1</v>
      </c>
      <c r="U225" s="27"/>
      <c r="V225" s="27"/>
      <c r="W225" s="27"/>
      <c r="X225" s="27"/>
      <c r="Y225" s="27"/>
      <c r="Z225" s="27" t="s">
        <v>1935</v>
      </c>
      <c r="AA225" s="29">
        <f>AB225*0.0052</f>
        <v>8.3199999999999996E-2</v>
      </c>
      <c r="AB225" s="30">
        <v>16</v>
      </c>
      <c r="AC225" s="30">
        <f>AB225*0.089*24*365/10^6</f>
        <v>1.2474240000000001E-2</v>
      </c>
      <c r="AD225" s="30"/>
      <c r="AE225" s="30">
        <f>AB225</f>
        <v>16</v>
      </c>
      <c r="AF225" s="28" t="s">
        <v>1936</v>
      </c>
      <c r="AG225" s="28"/>
    </row>
    <row r="226" spans="1:33" ht="32.25" customHeight="1" x14ac:dyDescent="0.2">
      <c r="A226" s="27">
        <v>530</v>
      </c>
      <c r="B226" s="27" t="s">
        <v>1937</v>
      </c>
      <c r="C226" s="27" t="s">
        <v>346</v>
      </c>
      <c r="D226" s="27">
        <v>2021</v>
      </c>
      <c r="E226" s="27"/>
      <c r="F226" s="27" t="s">
        <v>754</v>
      </c>
      <c r="G226" s="27" t="s">
        <v>268</v>
      </c>
      <c r="H226" s="27"/>
      <c r="I226" s="27" t="s">
        <v>768</v>
      </c>
      <c r="J226" s="27" t="s">
        <v>863</v>
      </c>
      <c r="K226" s="27" t="s">
        <v>377</v>
      </c>
      <c r="L226" s="27"/>
      <c r="M226" s="27"/>
      <c r="N226" s="27"/>
      <c r="O226" s="27"/>
      <c r="P226" s="27"/>
      <c r="Q226" s="27">
        <v>1</v>
      </c>
      <c r="R226" s="27"/>
      <c r="S226" s="27"/>
      <c r="T226" s="27"/>
      <c r="U226" s="27"/>
      <c r="V226" s="27"/>
      <c r="W226" s="27"/>
      <c r="X226" s="27"/>
      <c r="Y226" s="27"/>
      <c r="Z226" s="27" t="s">
        <v>1938</v>
      </c>
      <c r="AA226" s="29">
        <v>2</v>
      </c>
      <c r="AB226" s="30">
        <f>AA226/0.0046</f>
        <v>434.78260869565219</v>
      </c>
      <c r="AC226" s="30">
        <f>AB226*0.089*24*365/10^6</f>
        <v>0.33897391304347829</v>
      </c>
      <c r="AD226" s="30"/>
      <c r="AE226" s="30">
        <f>AB226</f>
        <v>434.78260869565219</v>
      </c>
      <c r="AF226" s="28" t="s">
        <v>3155</v>
      </c>
      <c r="AG226" s="28"/>
    </row>
    <row r="227" spans="1:33" ht="32.25" customHeight="1" x14ac:dyDescent="0.2">
      <c r="A227" s="27">
        <v>531</v>
      </c>
      <c r="B227" s="27" t="s">
        <v>1939</v>
      </c>
      <c r="C227" s="27" t="s">
        <v>346</v>
      </c>
      <c r="D227" s="27"/>
      <c r="E227" s="27"/>
      <c r="F227" s="27" t="s">
        <v>756</v>
      </c>
      <c r="G227" s="27" t="s">
        <v>268</v>
      </c>
      <c r="H227" s="27"/>
      <c r="I227" s="27" t="s">
        <v>911</v>
      </c>
      <c r="J227" s="27"/>
      <c r="K227" s="27" t="s">
        <v>377</v>
      </c>
      <c r="L227" s="27"/>
      <c r="M227" s="27"/>
      <c r="N227" s="27"/>
      <c r="O227" s="27"/>
      <c r="P227" s="27"/>
      <c r="Q227" s="27">
        <v>1</v>
      </c>
      <c r="R227" s="27"/>
      <c r="S227" s="27"/>
      <c r="T227" s="27"/>
      <c r="U227" s="27"/>
      <c r="V227" s="27"/>
      <c r="W227" s="27"/>
      <c r="X227" s="27"/>
      <c r="Y227" s="27"/>
      <c r="Z227" s="27"/>
      <c r="AA227" s="29"/>
      <c r="AB227" s="30"/>
      <c r="AC227" s="30"/>
      <c r="AD227" s="30"/>
      <c r="AE227" s="30"/>
      <c r="AF227" s="28" t="s">
        <v>1940</v>
      </c>
      <c r="AG227" s="28"/>
    </row>
    <row r="228" spans="1:33" ht="32.25" customHeight="1" x14ac:dyDescent="0.2">
      <c r="A228" s="27">
        <v>532</v>
      </c>
      <c r="B228" s="27" t="s">
        <v>1941</v>
      </c>
      <c r="C228" s="27" t="s">
        <v>346</v>
      </c>
      <c r="D228" s="81"/>
      <c r="E228" s="27"/>
      <c r="F228" s="27" t="s">
        <v>1336</v>
      </c>
      <c r="G228" s="27" t="s">
        <v>758</v>
      </c>
      <c r="H228" s="27" t="s">
        <v>1406</v>
      </c>
      <c r="I228" s="27" t="s">
        <v>768</v>
      </c>
      <c r="J228" s="27" t="s">
        <v>865</v>
      </c>
      <c r="K228" s="27" t="s">
        <v>740</v>
      </c>
      <c r="L228" s="27"/>
      <c r="M228" s="27">
        <v>1</v>
      </c>
      <c r="N228" s="27"/>
      <c r="O228" s="27"/>
      <c r="P228" s="27"/>
      <c r="Q228" s="27"/>
      <c r="R228" s="27"/>
      <c r="S228" s="27"/>
      <c r="T228" s="27"/>
      <c r="U228" s="27"/>
      <c r="V228" s="27"/>
      <c r="W228" s="27"/>
      <c r="X228" s="27"/>
      <c r="Y228" s="27"/>
      <c r="Z228" s="27"/>
      <c r="AA228" s="80"/>
      <c r="AB228" s="30">
        <f>AA228/0.0045</f>
        <v>0</v>
      </c>
      <c r="AC228" s="30">
        <f>AB228*0.089*24*365/10^6</f>
        <v>0</v>
      </c>
      <c r="AD228" s="30"/>
      <c r="AE228" s="30">
        <f>AB228</f>
        <v>0</v>
      </c>
      <c r="AF228" s="28" t="s">
        <v>1942</v>
      </c>
      <c r="AG228" s="79" t="s">
        <v>3912</v>
      </c>
    </row>
    <row r="229" spans="1:33" ht="32.25" customHeight="1" x14ac:dyDescent="0.2">
      <c r="A229" s="27">
        <v>533</v>
      </c>
      <c r="B229" s="27" t="s">
        <v>1943</v>
      </c>
      <c r="C229" s="27" t="s">
        <v>346</v>
      </c>
      <c r="D229" s="27">
        <v>2020</v>
      </c>
      <c r="E229" s="27"/>
      <c r="F229" s="27" t="s">
        <v>836</v>
      </c>
      <c r="G229" s="27" t="s">
        <v>268</v>
      </c>
      <c r="H229" s="27"/>
      <c r="I229" s="27" t="s">
        <v>866</v>
      </c>
      <c r="J229" s="27"/>
      <c r="K229" s="27" t="s">
        <v>377</v>
      </c>
      <c r="L229" s="27"/>
      <c r="M229" s="27"/>
      <c r="N229" s="27"/>
      <c r="O229" s="27"/>
      <c r="P229" s="27"/>
      <c r="Q229" s="27">
        <v>1</v>
      </c>
      <c r="R229" s="27"/>
      <c r="S229" s="27"/>
      <c r="T229" s="27"/>
      <c r="U229" s="27"/>
      <c r="V229" s="27"/>
      <c r="W229" s="27"/>
      <c r="X229" s="27"/>
      <c r="Y229" s="27"/>
      <c r="Z229" s="27" t="s">
        <v>1944</v>
      </c>
      <c r="AA229" s="29">
        <v>0.25</v>
      </c>
      <c r="AB229" s="30">
        <v>60</v>
      </c>
      <c r="AC229" s="30">
        <f>AB229*0.089*24*365/10^6</f>
        <v>4.6778400000000005E-2</v>
      </c>
      <c r="AD229" s="30"/>
      <c r="AE229" s="30">
        <f>AB229</f>
        <v>60</v>
      </c>
      <c r="AF229" s="28" t="s">
        <v>1945</v>
      </c>
      <c r="AG229" s="28"/>
    </row>
    <row r="230" spans="1:33" ht="32.25" customHeight="1" x14ac:dyDescent="0.2">
      <c r="A230" s="27">
        <v>535</v>
      </c>
      <c r="B230" s="27" t="s">
        <v>1946</v>
      </c>
      <c r="C230" s="27" t="s">
        <v>346</v>
      </c>
      <c r="D230" s="27">
        <v>2022</v>
      </c>
      <c r="E230" s="27"/>
      <c r="F230" s="27" t="s">
        <v>916</v>
      </c>
      <c r="G230" s="27" t="s">
        <v>758</v>
      </c>
      <c r="H230" s="27" t="s">
        <v>1406</v>
      </c>
      <c r="I230" s="27" t="s">
        <v>866</v>
      </c>
      <c r="J230" s="27"/>
      <c r="K230" s="27" t="s">
        <v>739</v>
      </c>
      <c r="L230" s="27"/>
      <c r="M230" s="27"/>
      <c r="N230" s="27">
        <v>1</v>
      </c>
      <c r="O230" s="27"/>
      <c r="P230" s="27"/>
      <c r="Q230" s="27"/>
      <c r="R230" s="27"/>
      <c r="S230" s="27"/>
      <c r="T230" s="27"/>
      <c r="U230" s="27"/>
      <c r="V230" s="27"/>
      <c r="W230" s="27"/>
      <c r="X230" s="27"/>
      <c r="Y230" s="27"/>
      <c r="Z230" s="27" t="s">
        <v>1947</v>
      </c>
      <c r="AA230" s="29">
        <f>AB230*0.0038</f>
        <v>2.2316050120204225</v>
      </c>
      <c r="AB230" s="30">
        <f>AC230/(0.089*24*365/10^6)</f>
        <v>587.26447684747961</v>
      </c>
      <c r="AC230" s="30">
        <f>10*24*365/(10^6*0.191327)</f>
        <v>0.45785487672936909</v>
      </c>
      <c r="AD230" s="30"/>
      <c r="AE230" s="30">
        <f>AB230</f>
        <v>587.26447684747961</v>
      </c>
      <c r="AF230" s="28" t="s">
        <v>1948</v>
      </c>
      <c r="AG230" s="28"/>
    </row>
    <row r="231" spans="1:33" ht="32.25" customHeight="1" x14ac:dyDescent="0.2">
      <c r="A231" s="27">
        <v>536</v>
      </c>
      <c r="B231" s="27" t="s">
        <v>1949</v>
      </c>
      <c r="C231" s="27" t="s">
        <v>346</v>
      </c>
      <c r="D231" s="27">
        <v>2008</v>
      </c>
      <c r="E231" s="27">
        <v>2011</v>
      </c>
      <c r="F231" s="27" t="s">
        <v>916</v>
      </c>
      <c r="G231" s="27" t="s">
        <v>266</v>
      </c>
      <c r="H231" s="27"/>
      <c r="I231" s="27" t="s">
        <v>911</v>
      </c>
      <c r="J231" s="27"/>
      <c r="K231" s="27" t="s">
        <v>377</v>
      </c>
      <c r="L231" s="27"/>
      <c r="M231" s="27"/>
      <c r="N231" s="27"/>
      <c r="O231" s="27"/>
      <c r="P231" s="27"/>
      <c r="Q231" s="27"/>
      <c r="R231" s="27"/>
      <c r="S231" s="27"/>
      <c r="T231" s="27"/>
      <c r="U231" s="27"/>
      <c r="V231" s="27"/>
      <c r="W231" s="27"/>
      <c r="X231" s="27"/>
      <c r="Y231" s="27"/>
      <c r="Z231" s="27"/>
      <c r="AA231" s="29"/>
      <c r="AB231" s="30"/>
      <c r="AC231" s="50"/>
      <c r="AD231" s="30"/>
      <c r="AE231" s="30"/>
      <c r="AF231" s="28" t="s">
        <v>1716</v>
      </c>
      <c r="AG231" s="28"/>
    </row>
    <row r="232" spans="1:33" ht="32.25" customHeight="1" x14ac:dyDescent="0.2">
      <c r="A232" s="27">
        <v>537</v>
      </c>
      <c r="B232" s="27" t="s">
        <v>1950</v>
      </c>
      <c r="C232" s="27" t="s">
        <v>332</v>
      </c>
      <c r="D232" s="27">
        <v>2010</v>
      </c>
      <c r="E232" s="27">
        <v>2012</v>
      </c>
      <c r="F232" s="27" t="s">
        <v>916</v>
      </c>
      <c r="G232" s="27" t="s">
        <v>266</v>
      </c>
      <c r="H232" s="27"/>
      <c r="I232" s="27" t="s">
        <v>911</v>
      </c>
      <c r="J232" s="27"/>
      <c r="K232" s="27" t="s">
        <v>377</v>
      </c>
      <c r="L232" s="27"/>
      <c r="M232" s="27"/>
      <c r="N232" s="27"/>
      <c r="O232" s="27"/>
      <c r="P232" s="27"/>
      <c r="Q232" s="27"/>
      <c r="R232" s="27"/>
      <c r="S232" s="27"/>
      <c r="T232" s="27"/>
      <c r="U232" s="27"/>
      <c r="V232" s="27"/>
      <c r="W232" s="27"/>
      <c r="X232" s="27"/>
      <c r="Y232" s="27"/>
      <c r="Z232" s="27"/>
      <c r="AA232" s="29"/>
      <c r="AB232" s="30"/>
      <c r="AC232" s="50"/>
      <c r="AD232" s="30"/>
      <c r="AE232" s="30"/>
      <c r="AF232" s="28" t="s">
        <v>1951</v>
      </c>
      <c r="AG232" s="28"/>
    </row>
    <row r="233" spans="1:33" ht="32.25" customHeight="1" x14ac:dyDescent="0.2">
      <c r="A233" s="27">
        <v>538</v>
      </c>
      <c r="B233" s="27" t="s">
        <v>1952</v>
      </c>
      <c r="C233" s="27" t="s">
        <v>332</v>
      </c>
      <c r="D233" s="27"/>
      <c r="E233" s="27"/>
      <c r="F233" s="27" t="s">
        <v>832</v>
      </c>
      <c r="G233" s="27" t="s">
        <v>268</v>
      </c>
      <c r="H233" s="27"/>
      <c r="I233" s="27" t="s">
        <v>768</v>
      </c>
      <c r="J233" s="27" t="s">
        <v>864</v>
      </c>
      <c r="K233" s="27" t="s">
        <v>377</v>
      </c>
      <c r="L233" s="27"/>
      <c r="M233" s="27"/>
      <c r="N233" s="27"/>
      <c r="O233" s="27"/>
      <c r="P233" s="27"/>
      <c r="Q233" s="27">
        <v>1</v>
      </c>
      <c r="R233" s="27"/>
      <c r="S233" s="27"/>
      <c r="T233" s="27"/>
      <c r="U233" s="27"/>
      <c r="V233" s="27"/>
      <c r="W233" s="27"/>
      <c r="X233" s="27"/>
      <c r="Y233" s="27"/>
      <c r="Z233" s="27" t="s">
        <v>1938</v>
      </c>
      <c r="AA233" s="29">
        <v>2</v>
      </c>
      <c r="AB233" s="30">
        <f>AA233/0.0046</f>
        <v>434.78260869565219</v>
      </c>
      <c r="AC233" s="30">
        <f>AB233*0.089*24*365/10^6</f>
        <v>0.33897391304347829</v>
      </c>
      <c r="AD233" s="30"/>
      <c r="AE233" s="30">
        <f>AB233</f>
        <v>434.78260869565219</v>
      </c>
      <c r="AF233" s="28" t="s">
        <v>1953</v>
      </c>
      <c r="AG233" s="28"/>
    </row>
    <row r="234" spans="1:33" ht="32.25" customHeight="1" x14ac:dyDescent="0.2">
      <c r="A234" s="27">
        <v>539</v>
      </c>
      <c r="B234" s="27" t="s">
        <v>1954</v>
      </c>
      <c r="C234" s="27" t="s">
        <v>332</v>
      </c>
      <c r="D234" s="27">
        <v>2013</v>
      </c>
      <c r="E234" s="27"/>
      <c r="F234" s="27" t="s">
        <v>836</v>
      </c>
      <c r="G234" s="27" t="s">
        <v>762</v>
      </c>
      <c r="H234" s="27"/>
      <c r="I234" s="27"/>
      <c r="J234" s="27"/>
      <c r="K234" s="27" t="s">
        <v>377</v>
      </c>
      <c r="L234" s="27"/>
      <c r="M234" s="27"/>
      <c r="N234" s="27"/>
      <c r="O234" s="27"/>
      <c r="P234" s="27"/>
      <c r="Q234" s="27">
        <v>1</v>
      </c>
      <c r="R234" s="27">
        <v>1</v>
      </c>
      <c r="S234" s="27"/>
      <c r="T234" s="27"/>
      <c r="U234" s="27"/>
      <c r="V234" s="27"/>
      <c r="W234" s="27"/>
      <c r="X234" s="27"/>
      <c r="Y234" s="27"/>
      <c r="Z234" s="27" t="s">
        <v>1603</v>
      </c>
      <c r="AA234" s="29"/>
      <c r="AB234" s="30">
        <v>10</v>
      </c>
      <c r="AC234" s="30">
        <f>AB234*0.089*24*365/10^6</f>
        <v>7.7963999999999993E-3</v>
      </c>
      <c r="AD234" s="30"/>
      <c r="AE234" s="30">
        <f>AB234</f>
        <v>10</v>
      </c>
      <c r="AF234" s="28"/>
      <c r="AG234" s="28"/>
    </row>
    <row r="235" spans="1:33" ht="32.25" customHeight="1" x14ac:dyDescent="0.2">
      <c r="A235" s="27">
        <v>540</v>
      </c>
      <c r="B235" s="27" t="s">
        <v>1956</v>
      </c>
      <c r="C235" s="27" t="s">
        <v>332</v>
      </c>
      <c r="D235" s="27">
        <v>2023</v>
      </c>
      <c r="E235" s="27"/>
      <c r="F235" s="27" t="s">
        <v>832</v>
      </c>
      <c r="G235" s="27" t="s">
        <v>268</v>
      </c>
      <c r="H235" s="27"/>
      <c r="I235" s="27" t="s">
        <v>768</v>
      </c>
      <c r="J235" s="27" t="s">
        <v>865</v>
      </c>
      <c r="K235" s="27" t="s">
        <v>377</v>
      </c>
      <c r="L235" s="27"/>
      <c r="M235" s="27"/>
      <c r="N235" s="27"/>
      <c r="O235" s="27">
        <v>1</v>
      </c>
      <c r="P235" s="27"/>
      <c r="Q235" s="27"/>
      <c r="R235" s="27"/>
      <c r="S235" s="27"/>
      <c r="T235" s="27"/>
      <c r="U235" s="27"/>
      <c r="V235" s="27"/>
      <c r="W235" s="27"/>
      <c r="X235" s="27"/>
      <c r="Y235" s="27"/>
      <c r="Z235" s="27" t="s">
        <v>1957</v>
      </c>
      <c r="AA235" s="29">
        <v>45</v>
      </c>
      <c r="AB235" s="30">
        <f>AA235/0.0046</f>
        <v>9782.608695652174</v>
      </c>
      <c r="AC235" s="30">
        <f>AB235*0.089*24*365/10^6</f>
        <v>7.626913043478261</v>
      </c>
      <c r="AD235" s="30"/>
      <c r="AE235" s="30">
        <f>AB235</f>
        <v>9782.608695652174</v>
      </c>
      <c r="AF235" s="28" t="s">
        <v>1958</v>
      </c>
      <c r="AG235" s="74" t="s">
        <v>4051</v>
      </c>
    </row>
    <row r="236" spans="1:33" ht="32.25" customHeight="1" x14ac:dyDescent="0.2">
      <c r="A236" s="27">
        <v>541</v>
      </c>
      <c r="B236" s="27" t="s">
        <v>1959</v>
      </c>
      <c r="C236" s="27" t="s">
        <v>332</v>
      </c>
      <c r="D236" s="27">
        <v>2004</v>
      </c>
      <c r="E236" s="27">
        <v>2008</v>
      </c>
      <c r="F236" s="27" t="s">
        <v>916</v>
      </c>
      <c r="G236" s="27" t="s">
        <v>268</v>
      </c>
      <c r="H236" s="27"/>
      <c r="I236" s="27" t="s">
        <v>911</v>
      </c>
      <c r="J236" s="27"/>
      <c r="K236" s="27" t="s">
        <v>377</v>
      </c>
      <c r="L236" s="27"/>
      <c r="M236" s="27"/>
      <c r="N236" s="27"/>
      <c r="O236" s="27"/>
      <c r="P236" s="27"/>
      <c r="Q236" s="27"/>
      <c r="R236" s="27">
        <v>1</v>
      </c>
      <c r="S236" s="27"/>
      <c r="T236" s="27"/>
      <c r="U236" s="27"/>
      <c r="V236" s="27"/>
      <c r="W236" s="27"/>
      <c r="X236" s="27"/>
      <c r="Y236" s="27"/>
      <c r="Z236" s="27" t="s">
        <v>1960</v>
      </c>
      <c r="AA236" s="29">
        <v>4.8000000000000001E-2</v>
      </c>
      <c r="AB236" s="30">
        <v>10</v>
      </c>
      <c r="AC236" s="30">
        <f>AB236*0.089*24*365/10^6</f>
        <v>7.7963999999999993E-3</v>
      </c>
      <c r="AD236" s="30"/>
      <c r="AE236" s="30">
        <f>AB236</f>
        <v>10</v>
      </c>
      <c r="AF236" s="28" t="s">
        <v>1961</v>
      </c>
      <c r="AG236" s="28"/>
    </row>
    <row r="237" spans="1:33" ht="32.25" customHeight="1" x14ac:dyDescent="0.2">
      <c r="A237" s="27">
        <v>542</v>
      </c>
      <c r="B237" s="27" t="s">
        <v>1962</v>
      </c>
      <c r="C237" s="27" t="s">
        <v>332</v>
      </c>
      <c r="D237" s="27">
        <v>2024</v>
      </c>
      <c r="E237" s="27"/>
      <c r="F237" s="27" t="s">
        <v>832</v>
      </c>
      <c r="G237" s="27" t="s">
        <v>267</v>
      </c>
      <c r="H237" s="27"/>
      <c r="I237" s="27" t="s">
        <v>768</v>
      </c>
      <c r="J237" s="27" t="s">
        <v>865</v>
      </c>
      <c r="K237" s="27" t="s">
        <v>766</v>
      </c>
      <c r="L237" s="27"/>
      <c r="M237" s="27"/>
      <c r="N237" s="27"/>
      <c r="O237" s="27"/>
      <c r="P237" s="27"/>
      <c r="Q237" s="27"/>
      <c r="R237" s="27"/>
      <c r="S237" s="27"/>
      <c r="T237" s="27"/>
      <c r="U237" s="27"/>
      <c r="V237" s="27"/>
      <c r="W237" s="27">
        <v>1</v>
      </c>
      <c r="X237" s="27"/>
      <c r="Y237" s="27"/>
      <c r="Z237" s="27" t="s">
        <v>1403</v>
      </c>
      <c r="AA237" s="29">
        <v>20</v>
      </c>
      <c r="AB237" s="30">
        <f>AA237/0.0038</f>
        <v>5263.1578947368425</v>
      </c>
      <c r="AC237" s="30">
        <f>AB237*0.089*24*365/10^6</f>
        <v>4.1033684210526316</v>
      </c>
      <c r="AD237" s="30"/>
      <c r="AE237" s="30">
        <f>AB237</f>
        <v>5263.1578947368425</v>
      </c>
      <c r="AF237" s="28" t="s">
        <v>1963</v>
      </c>
      <c r="AG237" s="28"/>
    </row>
    <row r="238" spans="1:33" ht="32.25" customHeight="1" x14ac:dyDescent="0.2">
      <c r="A238" s="27">
        <v>543</v>
      </c>
      <c r="B238" s="27" t="s">
        <v>1964</v>
      </c>
      <c r="C238" s="27" t="s">
        <v>343</v>
      </c>
      <c r="D238" s="27">
        <v>2024</v>
      </c>
      <c r="E238" s="27"/>
      <c r="F238" s="27" t="s">
        <v>832</v>
      </c>
      <c r="G238" s="27" t="s">
        <v>760</v>
      </c>
      <c r="H238" s="27" t="s">
        <v>1437</v>
      </c>
      <c r="I238" s="27"/>
      <c r="J238" s="27"/>
      <c r="K238" s="27" t="s">
        <v>377</v>
      </c>
      <c r="L238" s="27"/>
      <c r="M238" s="27"/>
      <c r="N238" s="27"/>
      <c r="O238" s="27"/>
      <c r="P238" s="27">
        <v>1</v>
      </c>
      <c r="Q238" s="27"/>
      <c r="R238" s="27"/>
      <c r="S238" s="27">
        <v>1</v>
      </c>
      <c r="T238" s="27"/>
      <c r="U238" s="27"/>
      <c r="V238" s="27"/>
      <c r="W238" s="27"/>
      <c r="X238" s="27"/>
      <c r="Y238" s="27"/>
      <c r="Z238" s="27" t="s">
        <v>3297</v>
      </c>
      <c r="AA238" s="29"/>
      <c r="AB238" s="30">
        <f>IF(OR(G238="ALK",G238="PEM",G238="SOEC",G238="Other Electrolysis"),
AA238/VLOOKUP(G238,ElectrolysisConvF,3,FALSE),
AC238*10^6/(H2dens*HoursInYear))</f>
        <v>64044.943820224718</v>
      </c>
      <c r="AC238" s="30">
        <f>200*24*365*0.95*3600/120/10^6</f>
        <v>49.932000000000002</v>
      </c>
      <c r="AD238" s="30">
        <v>400000</v>
      </c>
      <c r="AE238" s="53">
        <f>AD238*1000/(24*365*0.9105)</f>
        <v>50150.577107766068</v>
      </c>
      <c r="AF238" s="28" t="s">
        <v>1965</v>
      </c>
      <c r="AG238" s="28"/>
    </row>
    <row r="239" spans="1:33" ht="32.25" customHeight="1" x14ac:dyDescent="0.2">
      <c r="A239" s="27">
        <v>544</v>
      </c>
      <c r="B239" s="27" t="s">
        <v>1966</v>
      </c>
      <c r="C239" s="27" t="s">
        <v>332</v>
      </c>
      <c r="D239" s="27">
        <v>2003</v>
      </c>
      <c r="E239" s="27">
        <v>2016</v>
      </c>
      <c r="F239" s="27" t="s">
        <v>916</v>
      </c>
      <c r="G239" s="27" t="s">
        <v>266</v>
      </c>
      <c r="H239" s="27"/>
      <c r="I239" s="27" t="s">
        <v>756</v>
      </c>
      <c r="J239" s="27"/>
      <c r="K239" s="27" t="s">
        <v>377</v>
      </c>
      <c r="L239" s="27"/>
      <c r="M239" s="27"/>
      <c r="N239" s="27"/>
      <c r="O239" s="27"/>
      <c r="P239" s="27"/>
      <c r="Q239" s="27"/>
      <c r="R239" s="27">
        <v>1</v>
      </c>
      <c r="S239" s="27"/>
      <c r="T239" s="27"/>
      <c r="U239" s="27"/>
      <c r="V239" s="27"/>
      <c r="W239" s="27"/>
      <c r="X239" s="27"/>
      <c r="Y239" s="27"/>
      <c r="Z239" s="27" t="s">
        <v>1967</v>
      </c>
      <c r="AA239" s="29">
        <f>AB239*0.0052</f>
        <v>3.6399999999999996E-3</v>
      </c>
      <c r="AB239" s="30">
        <v>0.7</v>
      </c>
      <c r="AC239" s="30">
        <f>AB239*0.089*24*365/10^6</f>
        <v>5.4574799999999998E-4</v>
      </c>
      <c r="AD239" s="30"/>
      <c r="AE239" s="30">
        <f>AB239</f>
        <v>0.7</v>
      </c>
      <c r="AF239" s="28" t="s">
        <v>1968</v>
      </c>
      <c r="AG239" s="28"/>
    </row>
    <row r="240" spans="1:33" ht="32.25" customHeight="1" x14ac:dyDescent="0.2">
      <c r="A240" s="27">
        <v>545</v>
      </c>
      <c r="B240" s="27" t="s">
        <v>1969</v>
      </c>
      <c r="C240" s="27" t="s">
        <v>343</v>
      </c>
      <c r="D240" s="27">
        <v>2024</v>
      </c>
      <c r="E240" s="27"/>
      <c r="F240" s="27" t="s">
        <v>832</v>
      </c>
      <c r="G240" s="27" t="s">
        <v>760</v>
      </c>
      <c r="H240" s="27" t="s">
        <v>1970</v>
      </c>
      <c r="I240" s="27"/>
      <c r="J240" s="27"/>
      <c r="K240" s="27" t="s">
        <v>377</v>
      </c>
      <c r="L240" s="27"/>
      <c r="M240" s="27"/>
      <c r="N240" s="27"/>
      <c r="O240" s="27"/>
      <c r="P240" s="27">
        <v>1</v>
      </c>
      <c r="Q240" s="27"/>
      <c r="R240" s="27"/>
      <c r="S240" s="27"/>
      <c r="T240" s="27"/>
      <c r="U240" s="27"/>
      <c r="V240" s="27"/>
      <c r="W240" s="27"/>
      <c r="X240" s="27"/>
      <c r="Y240" s="27"/>
      <c r="Z240" s="27" t="s">
        <v>1971</v>
      </c>
      <c r="AA240" s="29"/>
      <c r="AB240" s="30"/>
      <c r="AC240" s="30"/>
      <c r="AD240" s="30">
        <v>680000</v>
      </c>
      <c r="AE240" s="53">
        <f>AD240*1000/(24*365*0.9105)</f>
        <v>85255.981083202321</v>
      </c>
      <c r="AF240" s="28" t="s">
        <v>1972</v>
      </c>
      <c r="AG240" s="28"/>
    </row>
    <row r="241" spans="1:33" ht="32.25" customHeight="1" x14ac:dyDescent="0.2">
      <c r="A241" s="27">
        <v>546</v>
      </c>
      <c r="B241" s="27" t="s">
        <v>1973</v>
      </c>
      <c r="C241" s="27" t="s">
        <v>332</v>
      </c>
      <c r="D241" s="27">
        <v>2025</v>
      </c>
      <c r="E241" s="27"/>
      <c r="F241" s="27" t="s">
        <v>832</v>
      </c>
      <c r="G241" s="27" t="s">
        <v>760</v>
      </c>
      <c r="H241" s="27" t="s">
        <v>1970</v>
      </c>
      <c r="I241" s="27"/>
      <c r="J241" s="27"/>
      <c r="K241" s="27" t="s">
        <v>377</v>
      </c>
      <c r="L241" s="27"/>
      <c r="M241" s="27"/>
      <c r="N241" s="27"/>
      <c r="O241" s="27"/>
      <c r="P241" s="27"/>
      <c r="Q241" s="27">
        <v>1</v>
      </c>
      <c r="R241" s="27">
        <v>1</v>
      </c>
      <c r="S241" s="27"/>
      <c r="T241" s="27"/>
      <c r="U241" s="27"/>
      <c r="V241" s="27"/>
      <c r="W241" s="27"/>
      <c r="X241" s="27"/>
      <c r="Y241" s="27"/>
      <c r="Z241" s="27" t="s">
        <v>1974</v>
      </c>
      <c r="AA241" s="29"/>
      <c r="AB241" s="30">
        <v>280000</v>
      </c>
      <c r="AC241" s="30">
        <f>AB241*0.089*24*365/10^6</f>
        <v>218.29920000000001</v>
      </c>
      <c r="AD241" s="30"/>
      <c r="AE241" s="30"/>
      <c r="AF241" s="28"/>
      <c r="AG241" s="28"/>
    </row>
    <row r="242" spans="1:33" ht="32.25" customHeight="1" x14ac:dyDescent="0.2">
      <c r="A242" s="27">
        <v>547</v>
      </c>
      <c r="B242" s="27" t="s">
        <v>3277</v>
      </c>
      <c r="C242" s="27" t="s">
        <v>332</v>
      </c>
      <c r="D242" s="27">
        <v>2024</v>
      </c>
      <c r="E242" s="27"/>
      <c r="F242" s="27" t="s">
        <v>832</v>
      </c>
      <c r="G242" s="27" t="s">
        <v>758</v>
      </c>
      <c r="H242" s="27" t="s">
        <v>1406</v>
      </c>
      <c r="I242" s="27" t="s">
        <v>768</v>
      </c>
      <c r="J242" s="27"/>
      <c r="K242" s="27" t="s">
        <v>377</v>
      </c>
      <c r="L242" s="27"/>
      <c r="M242" s="27"/>
      <c r="N242" s="27"/>
      <c r="O242" s="27"/>
      <c r="P242" s="27"/>
      <c r="Q242" s="27">
        <v>1</v>
      </c>
      <c r="R242" s="27"/>
      <c r="S242" s="27"/>
      <c r="T242" s="27"/>
      <c r="U242" s="27"/>
      <c r="V242" s="27"/>
      <c r="W242" s="27"/>
      <c r="X242" s="27"/>
      <c r="Y242" s="27"/>
      <c r="Z242" s="27"/>
      <c r="AA242" s="29"/>
      <c r="AB242" s="30"/>
      <c r="AC242" s="30"/>
      <c r="AD242" s="30"/>
      <c r="AE242" s="30"/>
      <c r="AF242" s="28" t="s">
        <v>1975</v>
      </c>
      <c r="AG242" s="28"/>
    </row>
    <row r="243" spans="1:33" ht="32.25" customHeight="1" x14ac:dyDescent="0.2">
      <c r="A243" s="75">
        <v>548</v>
      </c>
      <c r="B243" s="27" t="s">
        <v>1976</v>
      </c>
      <c r="C243" s="27" t="s">
        <v>332</v>
      </c>
      <c r="D243" s="27">
        <v>2023</v>
      </c>
      <c r="E243" s="27"/>
      <c r="F243" s="27" t="s">
        <v>832</v>
      </c>
      <c r="G243" s="27" t="s">
        <v>268</v>
      </c>
      <c r="H243" s="27"/>
      <c r="I243" s="27" t="s">
        <v>765</v>
      </c>
      <c r="J243" s="27"/>
      <c r="K243" s="27" t="s">
        <v>740</v>
      </c>
      <c r="L243" s="27"/>
      <c r="M243" s="27">
        <v>1</v>
      </c>
      <c r="N243" s="27"/>
      <c r="O243" s="27"/>
      <c r="P243" s="27"/>
      <c r="Q243" s="27"/>
      <c r="R243" s="27"/>
      <c r="S243" s="27"/>
      <c r="T243" s="27"/>
      <c r="U243" s="27"/>
      <c r="V243" s="27"/>
      <c r="W243" s="27"/>
      <c r="X243" s="27"/>
      <c r="Y243" s="27"/>
      <c r="Z243" s="75" t="s">
        <v>4082</v>
      </c>
      <c r="AA243" s="77">
        <v>25</v>
      </c>
      <c r="AB243" s="30">
        <f>AA243/0.0046</f>
        <v>5434.782608695652</v>
      </c>
      <c r="AC243" s="30">
        <f>AB243*0.089*24*365/10^6</f>
        <v>4.2371739130434776</v>
      </c>
      <c r="AD243" s="30"/>
      <c r="AE243" s="30">
        <f>AB243</f>
        <v>5434.782608695652</v>
      </c>
      <c r="AF243" s="28" t="s">
        <v>1978</v>
      </c>
      <c r="AG243" s="76" t="s">
        <v>4085</v>
      </c>
    </row>
    <row r="244" spans="1:33" ht="32.25" customHeight="1" x14ac:dyDescent="0.2">
      <c r="A244" s="27">
        <v>549</v>
      </c>
      <c r="B244" s="27" t="s">
        <v>1979</v>
      </c>
      <c r="C244" s="27" t="s">
        <v>332</v>
      </c>
      <c r="D244" s="27">
        <v>2023</v>
      </c>
      <c r="E244" s="27"/>
      <c r="F244" s="27" t="s">
        <v>832</v>
      </c>
      <c r="G244" s="27" t="s">
        <v>758</v>
      </c>
      <c r="H244" s="27" t="s">
        <v>1406</v>
      </c>
      <c r="I244" s="27" t="s">
        <v>911</v>
      </c>
      <c r="J244" s="27"/>
      <c r="K244" s="27" t="s">
        <v>377</v>
      </c>
      <c r="L244" s="27"/>
      <c r="M244" s="27"/>
      <c r="N244" s="27"/>
      <c r="O244" s="27"/>
      <c r="P244" s="27"/>
      <c r="Q244" s="27">
        <v>1</v>
      </c>
      <c r="R244" s="27">
        <v>1</v>
      </c>
      <c r="S244" s="27"/>
      <c r="T244" s="27"/>
      <c r="U244" s="27"/>
      <c r="V244" s="27"/>
      <c r="W244" s="27"/>
      <c r="X244" s="27"/>
      <c r="Y244" s="27"/>
      <c r="Z244" s="27" t="s">
        <v>1980</v>
      </c>
      <c r="AA244" s="29">
        <v>45</v>
      </c>
      <c r="AB244" s="30">
        <f>AC244/(0.089*24*365/10^6)</f>
        <v>7022.4719101123583</v>
      </c>
      <c r="AC244" s="30">
        <f>15*365/1000</f>
        <v>5.4749999999999996</v>
      </c>
      <c r="AD244" s="30"/>
      <c r="AE244" s="30">
        <f>AB244</f>
        <v>7022.4719101123583</v>
      </c>
      <c r="AF244" s="28" t="s">
        <v>1953</v>
      </c>
      <c r="AG244" s="74" t="s">
        <v>4055</v>
      </c>
    </row>
    <row r="245" spans="1:33" ht="32.25" customHeight="1" x14ac:dyDescent="0.2">
      <c r="A245" s="27">
        <v>550</v>
      </c>
      <c r="B245" s="27" t="s">
        <v>1981</v>
      </c>
      <c r="C245" s="27" t="s">
        <v>332</v>
      </c>
      <c r="D245" s="27"/>
      <c r="E245" s="27"/>
      <c r="F245" s="27" t="s">
        <v>832</v>
      </c>
      <c r="G245" s="27" t="s">
        <v>752</v>
      </c>
      <c r="H245" s="27" t="s">
        <v>1982</v>
      </c>
      <c r="I245" s="27"/>
      <c r="J245" s="27"/>
      <c r="K245" s="27" t="s">
        <v>377</v>
      </c>
      <c r="L245" s="27"/>
      <c r="M245" s="27"/>
      <c r="N245" s="27">
        <v>1</v>
      </c>
      <c r="O245" s="27"/>
      <c r="P245" s="27"/>
      <c r="Q245" s="27"/>
      <c r="R245" s="27"/>
      <c r="S245" s="27"/>
      <c r="T245" s="27"/>
      <c r="U245" s="27"/>
      <c r="V245" s="27"/>
      <c r="W245" s="27"/>
      <c r="X245" s="27"/>
      <c r="Y245" s="27"/>
      <c r="Z245" s="27" t="s">
        <v>1983</v>
      </c>
      <c r="AA245" s="29"/>
      <c r="AB245" s="30">
        <f>AC245/(0.089*24*365/10^6)</f>
        <v>19.239649068800983</v>
      </c>
      <c r="AC245" s="30">
        <v>1.4999999999999999E-2</v>
      </c>
      <c r="AD245" s="30"/>
      <c r="AE245" s="30">
        <f>AB245</f>
        <v>19.239649068800983</v>
      </c>
      <c r="AF245" s="28" t="s">
        <v>1953</v>
      </c>
      <c r="AG245" s="28"/>
    </row>
    <row r="246" spans="1:33" ht="32.25" customHeight="1" x14ac:dyDescent="0.2">
      <c r="A246" s="27">
        <v>552</v>
      </c>
      <c r="B246" s="27" t="s">
        <v>1985</v>
      </c>
      <c r="C246" s="27" t="s">
        <v>343</v>
      </c>
      <c r="D246" s="27"/>
      <c r="E246" s="27"/>
      <c r="F246" s="27" t="s">
        <v>1336</v>
      </c>
      <c r="G246" s="27" t="s">
        <v>266</v>
      </c>
      <c r="H246" s="27"/>
      <c r="I246" s="27" t="s">
        <v>768</v>
      </c>
      <c r="J246" s="27" t="s">
        <v>863</v>
      </c>
      <c r="K246" s="27" t="s">
        <v>377</v>
      </c>
      <c r="L246" s="27"/>
      <c r="M246" s="27"/>
      <c r="N246" s="27"/>
      <c r="O246" s="27"/>
      <c r="P246" s="27"/>
      <c r="Q246" s="27"/>
      <c r="R246" s="27"/>
      <c r="S246" s="27"/>
      <c r="T246" s="27"/>
      <c r="U246" s="27"/>
      <c r="V246" s="27"/>
      <c r="W246" s="27"/>
      <c r="X246" s="27"/>
      <c r="Y246" s="27"/>
      <c r="Z246" s="27" t="s">
        <v>1917</v>
      </c>
      <c r="AA246" s="29">
        <v>100</v>
      </c>
      <c r="AB246" s="30">
        <f>AA246/0.0052</f>
        <v>19230.76923076923</v>
      </c>
      <c r="AC246" s="50">
        <f>AB246*0.089*24*365/10^6</f>
        <v>14.993076923076924</v>
      </c>
      <c r="AD246" s="30"/>
      <c r="AE246" s="30">
        <f>AB246</f>
        <v>19230.76923076923</v>
      </c>
      <c r="AF246" s="28" t="s">
        <v>1986</v>
      </c>
      <c r="AG246" s="28"/>
    </row>
    <row r="247" spans="1:33" ht="32.25" customHeight="1" x14ac:dyDescent="0.2">
      <c r="A247" s="27">
        <v>553</v>
      </c>
      <c r="B247" s="27" t="s">
        <v>1987</v>
      </c>
      <c r="C247" s="27" t="s">
        <v>343</v>
      </c>
      <c r="D247" s="27">
        <v>2010</v>
      </c>
      <c r="E247" s="27">
        <v>2014</v>
      </c>
      <c r="F247" s="27" t="s">
        <v>916</v>
      </c>
      <c r="G247" s="27" t="s">
        <v>268</v>
      </c>
      <c r="H247" s="27"/>
      <c r="I247" s="27" t="s">
        <v>911</v>
      </c>
      <c r="J247" s="27"/>
      <c r="K247" s="27" t="s">
        <v>377</v>
      </c>
      <c r="L247" s="27"/>
      <c r="M247" s="27"/>
      <c r="N247" s="27"/>
      <c r="O247" s="27"/>
      <c r="P247" s="27"/>
      <c r="Q247" s="27"/>
      <c r="R247" s="27">
        <v>1</v>
      </c>
      <c r="S247" s="27"/>
      <c r="T247" s="27"/>
      <c r="U247" s="27">
        <v>1</v>
      </c>
      <c r="V247" s="27"/>
      <c r="W247" s="27"/>
      <c r="X247" s="27"/>
      <c r="Y247" s="27"/>
      <c r="Z247" s="27" t="s">
        <v>1988</v>
      </c>
      <c r="AA247" s="29">
        <f>AB247*0.0046</f>
        <v>2.4379999999999999E-2</v>
      </c>
      <c r="AB247" s="30">
        <v>5.3</v>
      </c>
      <c r="AC247" s="50">
        <f>AB247*0.089*24*365/10^6</f>
        <v>4.1320919999999995E-3</v>
      </c>
      <c r="AD247" s="30"/>
      <c r="AE247" s="30">
        <f>AB247</f>
        <v>5.3</v>
      </c>
      <c r="AF247" s="28" t="s">
        <v>1989</v>
      </c>
      <c r="AG247" s="28"/>
    </row>
    <row r="248" spans="1:33" ht="32.25" customHeight="1" x14ac:dyDescent="0.2">
      <c r="A248" s="27">
        <v>554</v>
      </c>
      <c r="B248" s="27" t="s">
        <v>1990</v>
      </c>
      <c r="C248" s="27" t="s">
        <v>343</v>
      </c>
      <c r="D248" s="27">
        <v>2011</v>
      </c>
      <c r="E248" s="27">
        <v>2014</v>
      </c>
      <c r="F248" s="27" t="s">
        <v>916</v>
      </c>
      <c r="G248" s="27" t="s">
        <v>268</v>
      </c>
      <c r="H248" s="27"/>
      <c r="I248" s="27" t="s">
        <v>911</v>
      </c>
      <c r="J248" s="27"/>
      <c r="K248" s="27" t="s">
        <v>377</v>
      </c>
      <c r="L248" s="27"/>
      <c r="M248" s="27"/>
      <c r="N248" s="27"/>
      <c r="O248" s="27"/>
      <c r="P248" s="27"/>
      <c r="Q248" s="27">
        <v>1</v>
      </c>
      <c r="R248" s="27">
        <v>1</v>
      </c>
      <c r="S248" s="27"/>
      <c r="T248" s="27"/>
      <c r="U248" s="27"/>
      <c r="V248" s="27"/>
      <c r="W248" s="27"/>
      <c r="X248" s="27"/>
      <c r="Y248" s="27"/>
      <c r="Z248" s="27" t="s">
        <v>1814</v>
      </c>
      <c r="AA248" s="29">
        <v>5.0000000000000001E-3</v>
      </c>
      <c r="AB248" s="30">
        <f>AA248/0.0046</f>
        <v>1.0869565217391304</v>
      </c>
      <c r="AC248" s="50">
        <f>AB248*0.089*24*365/10^6</f>
        <v>8.4743478260869561E-4</v>
      </c>
      <c r="AD248" s="30"/>
      <c r="AE248" s="30">
        <f>AB248</f>
        <v>1.0869565217391304</v>
      </c>
      <c r="AF248" s="28" t="s">
        <v>1991</v>
      </c>
      <c r="AG248" s="28"/>
    </row>
    <row r="249" spans="1:33" ht="32.25" customHeight="1" x14ac:dyDescent="0.2">
      <c r="A249" s="27">
        <v>555</v>
      </c>
      <c r="B249" s="27" t="s">
        <v>1992</v>
      </c>
      <c r="C249" s="27" t="s">
        <v>343</v>
      </c>
      <c r="D249" s="27">
        <v>2012</v>
      </c>
      <c r="E249" s="27">
        <v>2013</v>
      </c>
      <c r="F249" s="27" t="s">
        <v>916</v>
      </c>
      <c r="G249" s="27" t="s">
        <v>758</v>
      </c>
      <c r="H249" s="27" t="s">
        <v>1406</v>
      </c>
      <c r="I249" s="27" t="s">
        <v>911</v>
      </c>
      <c r="J249" s="27"/>
      <c r="K249" s="27" t="s">
        <v>766</v>
      </c>
      <c r="L249" s="27"/>
      <c r="M249" s="27"/>
      <c r="N249" s="27"/>
      <c r="O249" s="27"/>
      <c r="P249" s="27"/>
      <c r="Q249" s="27"/>
      <c r="R249" s="27"/>
      <c r="S249" s="27"/>
      <c r="T249" s="27"/>
      <c r="U249" s="27"/>
      <c r="V249" s="27"/>
      <c r="W249" s="27">
        <v>1</v>
      </c>
      <c r="X249" s="27"/>
      <c r="Y249" s="27"/>
      <c r="Z249" s="27"/>
      <c r="AA249" s="29"/>
      <c r="AB249" s="30"/>
      <c r="AC249" s="50"/>
      <c r="AD249" s="30"/>
      <c r="AE249" s="30"/>
      <c r="AF249" s="28" t="s">
        <v>1993</v>
      </c>
      <c r="AG249" s="28"/>
    </row>
    <row r="250" spans="1:33" ht="32.25" customHeight="1" x14ac:dyDescent="0.2">
      <c r="A250" s="27">
        <v>556</v>
      </c>
      <c r="B250" s="27" t="s">
        <v>1994</v>
      </c>
      <c r="C250" s="27" t="s">
        <v>343</v>
      </c>
      <c r="D250" s="27">
        <v>2016</v>
      </c>
      <c r="E250" s="27">
        <v>2018</v>
      </c>
      <c r="F250" s="27" t="s">
        <v>916</v>
      </c>
      <c r="G250" s="27" t="s">
        <v>268</v>
      </c>
      <c r="H250" s="27"/>
      <c r="I250" s="27" t="s">
        <v>756</v>
      </c>
      <c r="J250" s="27"/>
      <c r="K250" s="27" t="s">
        <v>377</v>
      </c>
      <c r="L250" s="27"/>
      <c r="M250" s="27"/>
      <c r="N250" s="27"/>
      <c r="O250" s="27"/>
      <c r="P250" s="27"/>
      <c r="Q250" s="27">
        <v>1</v>
      </c>
      <c r="R250" s="27"/>
      <c r="S250" s="27"/>
      <c r="T250" s="27"/>
      <c r="U250" s="27"/>
      <c r="V250" s="27"/>
      <c r="W250" s="27"/>
      <c r="X250" s="27"/>
      <c r="Y250" s="27"/>
      <c r="Z250" s="27" t="s">
        <v>1699</v>
      </c>
      <c r="AA250" s="29">
        <v>1</v>
      </c>
      <c r="AB250" s="30">
        <v>180</v>
      </c>
      <c r="AC250" s="50">
        <f>AB250*0.089*24*365/10^6</f>
        <v>0.14033520000000002</v>
      </c>
      <c r="AD250" s="30"/>
      <c r="AE250" s="30">
        <f>AB250</f>
        <v>180</v>
      </c>
      <c r="AF250" s="28" t="s">
        <v>1995</v>
      </c>
      <c r="AG250" s="28"/>
    </row>
    <row r="251" spans="1:33" ht="32.25" customHeight="1" x14ac:dyDescent="0.2">
      <c r="A251" s="27">
        <v>557</v>
      </c>
      <c r="B251" s="27" t="s">
        <v>1996</v>
      </c>
      <c r="C251" s="27" t="s">
        <v>343</v>
      </c>
      <c r="D251" s="27">
        <v>2016</v>
      </c>
      <c r="E251" s="27"/>
      <c r="F251" s="27" t="s">
        <v>836</v>
      </c>
      <c r="G251" s="27" t="s">
        <v>758</v>
      </c>
      <c r="H251" s="27" t="s">
        <v>1406</v>
      </c>
      <c r="I251" s="27" t="s">
        <v>768</v>
      </c>
      <c r="J251" s="27" t="s">
        <v>862</v>
      </c>
      <c r="K251" s="27" t="s">
        <v>377</v>
      </c>
      <c r="L251" s="27"/>
      <c r="M251" s="27"/>
      <c r="N251" s="27"/>
      <c r="O251" s="27"/>
      <c r="P251" s="27"/>
      <c r="Q251" s="27">
        <v>1</v>
      </c>
      <c r="R251" s="27">
        <v>1</v>
      </c>
      <c r="S251" s="27"/>
      <c r="T251" s="27"/>
      <c r="U251" s="27"/>
      <c r="V251" s="27"/>
      <c r="W251" s="27"/>
      <c r="X251" s="27"/>
      <c r="Y251" s="27"/>
      <c r="Z251" s="27" t="s">
        <v>1997</v>
      </c>
      <c r="AA251" s="29">
        <v>0.37</v>
      </c>
      <c r="AB251" s="30">
        <f>AA251/0.0045</f>
        <v>82.222222222222229</v>
      </c>
      <c r="AC251" s="50">
        <f>AB251*0.089*24*365/10^6</f>
        <v>6.4103733333333329E-2</v>
      </c>
      <c r="AD251" s="30"/>
      <c r="AE251" s="30">
        <f>AB251</f>
        <v>82.222222222222229</v>
      </c>
      <c r="AF251" s="28" t="s">
        <v>1998</v>
      </c>
      <c r="AG251" s="28"/>
    </row>
    <row r="252" spans="1:33" ht="32.25" customHeight="1" x14ac:dyDescent="0.2">
      <c r="A252" s="27">
        <v>558</v>
      </c>
      <c r="B252" s="27" t="s">
        <v>1999</v>
      </c>
      <c r="C252" s="27" t="s">
        <v>343</v>
      </c>
      <c r="D252" s="27">
        <v>2005</v>
      </c>
      <c r="E252" s="27"/>
      <c r="F252" s="27" t="s">
        <v>836</v>
      </c>
      <c r="G252" s="27" t="s">
        <v>268</v>
      </c>
      <c r="H252" s="27"/>
      <c r="I252" s="27" t="s">
        <v>911</v>
      </c>
      <c r="J252" s="27"/>
      <c r="K252" s="27" t="s">
        <v>377</v>
      </c>
      <c r="L252" s="27"/>
      <c r="M252" s="27"/>
      <c r="N252" s="27"/>
      <c r="O252" s="27"/>
      <c r="P252" s="27"/>
      <c r="Q252" s="27">
        <v>1</v>
      </c>
      <c r="R252" s="27">
        <v>1</v>
      </c>
      <c r="S252" s="27"/>
      <c r="T252" s="27">
        <v>1</v>
      </c>
      <c r="U252" s="27"/>
      <c r="V252" s="27"/>
      <c r="W252" s="27"/>
      <c r="X252" s="27"/>
      <c r="Y252" s="27"/>
      <c r="Z252" s="27" t="s">
        <v>2000</v>
      </c>
      <c r="AA252" s="29">
        <v>1.4999999999999999E-2</v>
      </c>
      <c r="AB252" s="30">
        <f>AA252/0.0046</f>
        <v>3.2608695652173911</v>
      </c>
      <c r="AC252" s="50">
        <f>AB252*0.089*24*365/10^6</f>
        <v>2.5423043478260869E-3</v>
      </c>
      <c r="AD252" s="30"/>
      <c r="AE252" s="30">
        <f>AB252</f>
        <v>3.2608695652173911</v>
      </c>
      <c r="AF252" s="28" t="s">
        <v>2001</v>
      </c>
      <c r="AG252" s="28"/>
    </row>
    <row r="253" spans="1:33" ht="32.25" customHeight="1" x14ac:dyDescent="0.2">
      <c r="A253" s="27">
        <v>559</v>
      </c>
      <c r="B253" s="27" t="s">
        <v>2002</v>
      </c>
      <c r="C253" s="27" t="s">
        <v>343</v>
      </c>
      <c r="D253" s="27">
        <v>2021</v>
      </c>
      <c r="E253" s="27"/>
      <c r="F253" s="27" t="s">
        <v>753</v>
      </c>
      <c r="G253" s="27" t="s">
        <v>266</v>
      </c>
      <c r="H253" s="27"/>
      <c r="I253" s="27" t="s">
        <v>768</v>
      </c>
      <c r="J253" s="27" t="s">
        <v>865</v>
      </c>
      <c r="K253" s="27" t="s">
        <v>377</v>
      </c>
      <c r="L253" s="27"/>
      <c r="M253" s="27"/>
      <c r="N253" s="27"/>
      <c r="O253" s="27"/>
      <c r="P253" s="27"/>
      <c r="Q253" s="27">
        <v>1</v>
      </c>
      <c r="R253" s="27"/>
      <c r="S253" s="27"/>
      <c r="T253" s="27"/>
      <c r="U253" s="27"/>
      <c r="V253" s="27"/>
      <c r="W253" s="27"/>
      <c r="X253" s="27"/>
      <c r="Y253" s="27"/>
      <c r="Z253" s="27" t="s">
        <v>2003</v>
      </c>
      <c r="AA253" s="29">
        <v>3</v>
      </c>
      <c r="AB253" s="30">
        <f>AA253/0.0052</f>
        <v>576.92307692307691</v>
      </c>
      <c r="AC253" s="50">
        <f>AB253*0.089*24*365/10^6</f>
        <v>0.4497923076923076</v>
      </c>
      <c r="AD253" s="30"/>
      <c r="AE253" s="30">
        <f>AB253</f>
        <v>576.92307692307691</v>
      </c>
      <c r="AF253" s="28" t="s">
        <v>2004</v>
      </c>
      <c r="AG253" s="28"/>
    </row>
    <row r="254" spans="1:33" ht="32.25" customHeight="1" x14ac:dyDescent="0.2">
      <c r="A254" s="27">
        <v>562</v>
      </c>
      <c r="B254" s="27" t="s">
        <v>2005</v>
      </c>
      <c r="C254" s="27" t="s">
        <v>343</v>
      </c>
      <c r="D254" s="27">
        <v>2026</v>
      </c>
      <c r="E254" s="27"/>
      <c r="F254" s="27" t="s">
        <v>832</v>
      </c>
      <c r="G254" s="27" t="s">
        <v>760</v>
      </c>
      <c r="H254" s="27" t="s">
        <v>1437</v>
      </c>
      <c r="I254" s="27"/>
      <c r="J254" s="27"/>
      <c r="K254" s="27" t="s">
        <v>377</v>
      </c>
      <c r="L254" s="27"/>
      <c r="M254" s="27"/>
      <c r="N254" s="27"/>
      <c r="O254" s="27"/>
      <c r="P254" s="27">
        <v>1</v>
      </c>
      <c r="Q254" s="27"/>
      <c r="R254" s="27">
        <v>1</v>
      </c>
      <c r="S254" s="27">
        <v>1</v>
      </c>
      <c r="T254" s="27"/>
      <c r="U254" s="27"/>
      <c r="V254" s="27"/>
      <c r="W254" s="27"/>
      <c r="X254" s="27"/>
      <c r="Y254" s="27"/>
      <c r="Z254" s="27" t="s">
        <v>2006</v>
      </c>
      <c r="AA254" s="29"/>
      <c r="AB254" s="30"/>
      <c r="AC254" s="30">
        <f>600*24*365*0.95*3600/120/10^6</f>
        <v>149.79599999999999</v>
      </c>
      <c r="AD254" s="30">
        <v>1400000</v>
      </c>
      <c r="AE254" s="53">
        <f>AD254*1000/(24*365*0.9105)</f>
        <v>175527.01987718124</v>
      </c>
      <c r="AF254" s="28" t="s">
        <v>2007</v>
      </c>
      <c r="AG254" s="28"/>
    </row>
    <row r="255" spans="1:33" ht="32.25" customHeight="1" x14ac:dyDescent="0.2">
      <c r="A255" s="27">
        <v>563</v>
      </c>
      <c r="B255" s="27" t="s">
        <v>3275</v>
      </c>
      <c r="C255" s="27" t="s">
        <v>346</v>
      </c>
      <c r="D255" s="27">
        <v>2027</v>
      </c>
      <c r="E255" s="27"/>
      <c r="F255" s="27" t="s">
        <v>832</v>
      </c>
      <c r="G255" s="27" t="s">
        <v>758</v>
      </c>
      <c r="H255" s="27" t="s">
        <v>1406</v>
      </c>
      <c r="I255" s="27" t="s">
        <v>768</v>
      </c>
      <c r="J255" s="27" t="s">
        <v>865</v>
      </c>
      <c r="K255" s="27" t="s">
        <v>767</v>
      </c>
      <c r="L255" s="27"/>
      <c r="M255" s="27"/>
      <c r="N255" s="27"/>
      <c r="O255" s="27"/>
      <c r="P255" s="27">
        <v>1</v>
      </c>
      <c r="Q255" s="27">
        <v>1</v>
      </c>
      <c r="R255" s="27"/>
      <c r="S255" s="27"/>
      <c r="T255" s="27"/>
      <c r="U255" s="27"/>
      <c r="V255" s="27"/>
      <c r="W255" s="27">
        <v>1</v>
      </c>
      <c r="X255" s="27"/>
      <c r="Y255" s="27"/>
      <c r="Z255" s="27" t="s">
        <v>2008</v>
      </c>
      <c r="AA255" s="29">
        <v>240</v>
      </c>
      <c r="AB255" s="30">
        <f>AA255/0.0045</f>
        <v>53333.333333333336</v>
      </c>
      <c r="AC255" s="30"/>
      <c r="AD255" s="30"/>
      <c r="AE255" s="30">
        <f>AB255</f>
        <v>53333.333333333336</v>
      </c>
      <c r="AF255" s="28" t="s">
        <v>2009</v>
      </c>
      <c r="AG255" s="28"/>
    </row>
    <row r="256" spans="1:33" ht="32.25" customHeight="1" x14ac:dyDescent="0.2">
      <c r="A256" s="27">
        <v>565</v>
      </c>
      <c r="B256" s="27" t="s">
        <v>3276</v>
      </c>
      <c r="C256" s="27" t="s">
        <v>346</v>
      </c>
      <c r="D256" s="27">
        <v>2030</v>
      </c>
      <c r="E256" s="27"/>
      <c r="F256" s="27" t="s">
        <v>832</v>
      </c>
      <c r="G256" s="27" t="s">
        <v>758</v>
      </c>
      <c r="H256" s="27" t="s">
        <v>1406</v>
      </c>
      <c r="I256" s="27" t="s">
        <v>768</v>
      </c>
      <c r="J256" s="27" t="s">
        <v>865</v>
      </c>
      <c r="K256" s="27" t="s">
        <v>767</v>
      </c>
      <c r="L256" s="27"/>
      <c r="M256" s="27"/>
      <c r="N256" s="27"/>
      <c r="O256" s="27"/>
      <c r="P256" s="27">
        <v>1</v>
      </c>
      <c r="Q256" s="27">
        <v>1</v>
      </c>
      <c r="R256" s="27"/>
      <c r="S256" s="27"/>
      <c r="T256" s="27"/>
      <c r="U256" s="27"/>
      <c r="V256" s="27"/>
      <c r="W256" s="27">
        <v>1</v>
      </c>
      <c r="X256" s="27"/>
      <c r="Y256" s="27"/>
      <c r="Z256" s="27" t="s">
        <v>2010</v>
      </c>
      <c r="AA256" s="29">
        <v>1050</v>
      </c>
      <c r="AB256" s="30">
        <f>AA256/0.0045</f>
        <v>233333.33333333334</v>
      </c>
      <c r="AC256" s="30">
        <f>AB256*0.089*24*365/10^6</f>
        <v>181.916</v>
      </c>
      <c r="AD256" s="30"/>
      <c r="AE256" s="30">
        <f>AB256</f>
        <v>233333.33333333334</v>
      </c>
      <c r="AF256" s="28" t="s">
        <v>1909</v>
      </c>
      <c r="AG256" s="74" t="s">
        <v>3900</v>
      </c>
    </row>
    <row r="257" spans="1:33" ht="32.25" customHeight="1" x14ac:dyDescent="0.2">
      <c r="A257" s="27">
        <v>566</v>
      </c>
      <c r="B257" s="27" t="s">
        <v>2011</v>
      </c>
      <c r="C257" s="27" t="s">
        <v>343</v>
      </c>
      <c r="D257" s="27">
        <v>2023</v>
      </c>
      <c r="E257" s="27"/>
      <c r="F257" s="27" t="s">
        <v>832</v>
      </c>
      <c r="G257" s="27" t="s">
        <v>266</v>
      </c>
      <c r="H257" s="27"/>
      <c r="I257" s="27" t="s">
        <v>768</v>
      </c>
      <c r="J257" s="27" t="s">
        <v>861</v>
      </c>
      <c r="K257" s="27" t="s">
        <v>377</v>
      </c>
      <c r="L257" s="27"/>
      <c r="M257" s="27"/>
      <c r="N257" s="27"/>
      <c r="O257" s="27"/>
      <c r="P257" s="27"/>
      <c r="Q257" s="27">
        <v>1</v>
      </c>
      <c r="R257" s="27"/>
      <c r="S257" s="27"/>
      <c r="T257" s="27"/>
      <c r="U257" s="27"/>
      <c r="V257" s="27"/>
      <c r="W257" s="27"/>
      <c r="X257" s="27"/>
      <c r="Y257" s="27"/>
      <c r="Z257" s="27" t="s">
        <v>1403</v>
      </c>
      <c r="AA257" s="29">
        <v>20</v>
      </c>
      <c r="AB257" s="30">
        <f>AA257/0.0052</f>
        <v>3846.1538461538462</v>
      </c>
      <c r="AC257" s="50">
        <f>AB257*0.089*24*365/10^6</f>
        <v>2.9986153846153845</v>
      </c>
      <c r="AD257" s="30"/>
      <c r="AE257" s="30">
        <f>AB257</f>
        <v>3846.1538461538462</v>
      </c>
      <c r="AF257" s="28" t="s">
        <v>2871</v>
      </c>
      <c r="AG257" s="28"/>
    </row>
    <row r="258" spans="1:33" ht="32.25" customHeight="1" x14ac:dyDescent="0.2">
      <c r="A258" s="27">
        <v>568</v>
      </c>
      <c r="B258" s="27" t="s">
        <v>2012</v>
      </c>
      <c r="C258" s="27" t="s">
        <v>804</v>
      </c>
      <c r="D258" s="27">
        <v>2030</v>
      </c>
      <c r="E258" s="27"/>
      <c r="F258" s="27" t="s">
        <v>1336</v>
      </c>
      <c r="G258" s="27" t="s">
        <v>760</v>
      </c>
      <c r="H258" s="27" t="s">
        <v>1970</v>
      </c>
      <c r="I258" s="27"/>
      <c r="J258" s="27"/>
      <c r="K258" s="27" t="s">
        <v>377</v>
      </c>
      <c r="L258" s="27"/>
      <c r="M258" s="27"/>
      <c r="N258" s="27"/>
      <c r="O258" s="27">
        <v>1</v>
      </c>
      <c r="P258" s="27"/>
      <c r="Q258" s="27">
        <v>1</v>
      </c>
      <c r="R258" s="27"/>
      <c r="S258" s="27">
        <v>1</v>
      </c>
      <c r="T258" s="27"/>
      <c r="U258" s="27"/>
      <c r="V258" s="27"/>
      <c r="W258" s="27"/>
      <c r="X258" s="27"/>
      <c r="Y258" s="27"/>
      <c r="Z258" s="27" t="s">
        <v>2013</v>
      </c>
      <c r="AA258" s="29"/>
      <c r="AB258" s="30">
        <v>328000</v>
      </c>
      <c r="AC258" s="30">
        <f>AB258*0.089*24*365/10^6</f>
        <v>255.72192000000001</v>
      </c>
      <c r="AD258" s="30">
        <v>1900000</v>
      </c>
      <c r="AE258" s="30">
        <f>AD258*1000/(24*365*0.9105)</f>
        <v>238215.24126188885</v>
      </c>
      <c r="AF258" s="28" t="s">
        <v>2872</v>
      </c>
      <c r="AG258" s="28"/>
    </row>
    <row r="259" spans="1:33" ht="32.25" customHeight="1" x14ac:dyDescent="0.2">
      <c r="A259" s="27">
        <v>571</v>
      </c>
      <c r="B259" s="27" t="s">
        <v>2014</v>
      </c>
      <c r="C259" s="27" t="s">
        <v>337</v>
      </c>
      <c r="D259" s="27">
        <v>2023</v>
      </c>
      <c r="E259" s="27"/>
      <c r="F259" s="27" t="s">
        <v>753</v>
      </c>
      <c r="G259" s="27" t="s">
        <v>268</v>
      </c>
      <c r="H259" s="27"/>
      <c r="I259" s="27" t="s">
        <v>765</v>
      </c>
      <c r="J259" s="27"/>
      <c r="K259" s="27" t="s">
        <v>740</v>
      </c>
      <c r="L259" s="27"/>
      <c r="M259" s="27">
        <v>1</v>
      </c>
      <c r="N259" s="27"/>
      <c r="O259" s="27"/>
      <c r="P259" s="27"/>
      <c r="Q259" s="27"/>
      <c r="R259" s="27"/>
      <c r="S259" s="27"/>
      <c r="T259" s="27"/>
      <c r="U259" s="27"/>
      <c r="V259" s="27"/>
      <c r="W259" s="27"/>
      <c r="X259" s="27"/>
      <c r="Y259" s="27"/>
      <c r="Z259" s="27" t="s">
        <v>3046</v>
      </c>
      <c r="AA259" s="29">
        <v>20</v>
      </c>
      <c r="AB259" s="30">
        <f>AC259/(0.089*24*365/10^6)</f>
        <v>4619.3627828228409</v>
      </c>
      <c r="AC259" s="50">
        <f>20*0.180072</f>
        <v>3.6014400000000002</v>
      </c>
      <c r="AD259" s="30"/>
      <c r="AE259" s="30">
        <f>AB259</f>
        <v>4619.3627828228409</v>
      </c>
      <c r="AF259" s="28" t="s">
        <v>3047</v>
      </c>
      <c r="AG259" s="28"/>
    </row>
    <row r="260" spans="1:33" ht="32.25" customHeight="1" x14ac:dyDescent="0.2">
      <c r="A260" s="27">
        <v>572</v>
      </c>
      <c r="B260" s="27" t="s">
        <v>2015</v>
      </c>
      <c r="C260" s="27" t="s">
        <v>337</v>
      </c>
      <c r="D260" s="27"/>
      <c r="E260" s="27"/>
      <c r="F260" s="27" t="s">
        <v>753</v>
      </c>
      <c r="G260" s="27" t="s">
        <v>758</v>
      </c>
      <c r="H260" s="27" t="s">
        <v>1406</v>
      </c>
      <c r="I260" s="27" t="s">
        <v>768</v>
      </c>
      <c r="J260" s="27" t="s">
        <v>378</v>
      </c>
      <c r="K260" s="27" t="s">
        <v>377</v>
      </c>
      <c r="L260" s="27"/>
      <c r="M260" s="27"/>
      <c r="N260" s="27"/>
      <c r="O260" s="27"/>
      <c r="P260" s="27"/>
      <c r="Q260" s="27">
        <v>1</v>
      </c>
      <c r="R260" s="27"/>
      <c r="S260" s="27"/>
      <c r="T260" s="27"/>
      <c r="U260" s="27"/>
      <c r="V260" s="27"/>
      <c r="W260" s="27"/>
      <c r="X260" s="27"/>
      <c r="Y260" s="27"/>
      <c r="Z260" s="27"/>
      <c r="AA260" s="29"/>
      <c r="AB260" s="30"/>
      <c r="AC260" s="50"/>
      <c r="AD260" s="30"/>
      <c r="AE260" s="30"/>
      <c r="AF260" s="28" t="s">
        <v>2016</v>
      </c>
      <c r="AG260" s="28"/>
    </row>
    <row r="261" spans="1:33" ht="32.25" customHeight="1" x14ac:dyDescent="0.2">
      <c r="A261" s="27">
        <v>573</v>
      </c>
      <c r="B261" s="27" t="s">
        <v>2017</v>
      </c>
      <c r="C261" s="27" t="s">
        <v>804</v>
      </c>
      <c r="D261" s="27">
        <v>2028</v>
      </c>
      <c r="E261" s="27"/>
      <c r="F261" s="27" t="s">
        <v>832</v>
      </c>
      <c r="G261" s="27" t="s">
        <v>268</v>
      </c>
      <c r="H261" s="27"/>
      <c r="I261" s="27" t="s">
        <v>768</v>
      </c>
      <c r="J261" s="27" t="s">
        <v>865</v>
      </c>
      <c r="K261" s="27" t="s">
        <v>377</v>
      </c>
      <c r="L261" s="27">
        <v>1</v>
      </c>
      <c r="M261" s="27"/>
      <c r="N261" s="27"/>
      <c r="O261" s="27"/>
      <c r="P261" s="27"/>
      <c r="Q261" s="27"/>
      <c r="R261" s="27"/>
      <c r="S261" s="27">
        <v>1</v>
      </c>
      <c r="T261" s="27"/>
      <c r="U261" s="27"/>
      <c r="V261" s="27"/>
      <c r="W261" s="27">
        <v>1</v>
      </c>
      <c r="X261" s="27"/>
      <c r="Y261" s="27"/>
      <c r="Z261" s="27" t="s">
        <v>2556</v>
      </c>
      <c r="AA261" s="29">
        <v>270</v>
      </c>
      <c r="AB261" s="30">
        <f>AA261/0.0045</f>
        <v>60000.000000000007</v>
      </c>
      <c r="AC261" s="50">
        <f>AB261*0.089*24*365/10^6</f>
        <v>46.778399999999998</v>
      </c>
      <c r="AD261" s="30"/>
      <c r="AE261" s="30">
        <f>AB261</f>
        <v>60000.000000000007</v>
      </c>
      <c r="AF261" s="28" t="s">
        <v>2019</v>
      </c>
      <c r="AG261" s="28"/>
    </row>
    <row r="262" spans="1:33" ht="32.25" customHeight="1" x14ac:dyDescent="0.2">
      <c r="A262" s="92">
        <v>574</v>
      </c>
      <c r="B262" s="27" t="s">
        <v>2020</v>
      </c>
      <c r="C262" s="27" t="s">
        <v>804</v>
      </c>
      <c r="D262" s="27"/>
      <c r="E262" s="27"/>
      <c r="F262" s="27" t="s">
        <v>832</v>
      </c>
      <c r="G262" s="27" t="s">
        <v>758</v>
      </c>
      <c r="H262" s="27" t="s">
        <v>1406</v>
      </c>
      <c r="I262" s="27" t="s">
        <v>911</v>
      </c>
      <c r="J262" s="27"/>
      <c r="K262" s="27" t="s">
        <v>377</v>
      </c>
      <c r="L262" s="27">
        <v>1</v>
      </c>
      <c r="M262" s="27"/>
      <c r="N262" s="27"/>
      <c r="O262" s="27">
        <v>1</v>
      </c>
      <c r="P262" s="27"/>
      <c r="Q262" s="27"/>
      <c r="R262" s="27"/>
      <c r="S262" s="27"/>
      <c r="T262" s="27"/>
      <c r="U262" s="27"/>
      <c r="V262" s="27"/>
      <c r="W262" s="27"/>
      <c r="X262" s="27"/>
      <c r="Y262" s="27"/>
      <c r="Z262" s="92" t="s">
        <v>1407</v>
      </c>
      <c r="AA262" s="91">
        <v>10</v>
      </c>
      <c r="AB262" s="30">
        <f>AA262/0.0045</f>
        <v>2222.2222222222222</v>
      </c>
      <c r="AC262" s="50">
        <f>AB262*0.089*24*365/10^6</f>
        <v>1.732533333333333</v>
      </c>
      <c r="AD262" s="30"/>
      <c r="AE262" s="30">
        <f>AB262</f>
        <v>2222.2222222222222</v>
      </c>
      <c r="AF262" s="28" t="s">
        <v>3243</v>
      </c>
      <c r="AG262" s="28"/>
    </row>
    <row r="263" spans="1:33" ht="32.25" customHeight="1" x14ac:dyDescent="0.2">
      <c r="A263" s="27">
        <v>575</v>
      </c>
      <c r="B263" s="27" t="s">
        <v>2022</v>
      </c>
      <c r="C263" s="27" t="s">
        <v>804</v>
      </c>
      <c r="D263" s="27"/>
      <c r="E263" s="27"/>
      <c r="F263" s="27" t="s">
        <v>832</v>
      </c>
      <c r="G263" s="27" t="s">
        <v>266</v>
      </c>
      <c r="H263" s="27"/>
      <c r="I263" s="27" t="s">
        <v>911</v>
      </c>
      <c r="J263" s="27"/>
      <c r="K263" s="27" t="s">
        <v>396</v>
      </c>
      <c r="L263" s="27"/>
      <c r="M263" s="27"/>
      <c r="N263" s="27"/>
      <c r="O263" s="27"/>
      <c r="P263" s="27"/>
      <c r="Q263" s="27"/>
      <c r="R263" s="27"/>
      <c r="S263" s="27"/>
      <c r="T263" s="27"/>
      <c r="U263" s="27"/>
      <c r="V263" s="27"/>
      <c r="W263" s="27"/>
      <c r="X263" s="27">
        <v>1</v>
      </c>
      <c r="Y263" s="27">
        <v>1</v>
      </c>
      <c r="Z263" s="27" t="s">
        <v>1902</v>
      </c>
      <c r="AA263" s="29">
        <v>50</v>
      </c>
      <c r="AB263" s="30">
        <f>AA263/0.0052</f>
        <v>9615.3846153846152</v>
      </c>
      <c r="AC263" s="50">
        <f>AB263*0.089*24*365/10^6</f>
        <v>7.4965384615384618</v>
      </c>
      <c r="AD263" s="30"/>
      <c r="AE263" s="30">
        <f>AB263</f>
        <v>9615.3846153846152</v>
      </c>
      <c r="AF263" s="28" t="s">
        <v>2023</v>
      </c>
      <c r="AG263" s="28"/>
    </row>
    <row r="264" spans="1:33" ht="32.25" customHeight="1" x14ac:dyDescent="0.2">
      <c r="A264" s="27">
        <v>576</v>
      </c>
      <c r="B264" s="27" t="s">
        <v>2024</v>
      </c>
      <c r="C264" s="27" t="s">
        <v>343</v>
      </c>
      <c r="D264" s="27">
        <v>2021</v>
      </c>
      <c r="E264" s="27"/>
      <c r="F264" s="27" t="s">
        <v>754</v>
      </c>
      <c r="G264" s="27" t="s">
        <v>758</v>
      </c>
      <c r="H264" s="27" t="s">
        <v>1406</v>
      </c>
      <c r="I264" s="27" t="s">
        <v>911</v>
      </c>
      <c r="J264" s="27"/>
      <c r="K264" s="27" t="s">
        <v>377</v>
      </c>
      <c r="L264" s="27"/>
      <c r="M264" s="27"/>
      <c r="N264" s="27"/>
      <c r="O264" s="27"/>
      <c r="P264" s="27"/>
      <c r="Q264" s="27">
        <v>1</v>
      </c>
      <c r="R264" s="27"/>
      <c r="S264" s="27"/>
      <c r="T264" s="27"/>
      <c r="U264" s="27"/>
      <c r="V264" s="27"/>
      <c r="W264" s="27"/>
      <c r="X264" s="27"/>
      <c r="Y264" s="27"/>
      <c r="Z264" s="27" t="s">
        <v>1459</v>
      </c>
      <c r="AA264" s="29">
        <v>1</v>
      </c>
      <c r="AB264" s="30">
        <f>AA264/0.0045</f>
        <v>222.22222222222223</v>
      </c>
      <c r="AC264" s="50">
        <f>AB264*0.089*24*365/10^6</f>
        <v>0.17325333333333334</v>
      </c>
      <c r="AD264" s="30"/>
      <c r="AE264" s="30">
        <f>AB264</f>
        <v>222.22222222222223</v>
      </c>
      <c r="AF264" s="28" t="s">
        <v>2025</v>
      </c>
      <c r="AG264" s="28"/>
    </row>
    <row r="265" spans="1:33" ht="32.25" customHeight="1" x14ac:dyDescent="0.2">
      <c r="A265" s="27">
        <v>577</v>
      </c>
      <c r="B265" s="27" t="s">
        <v>2873</v>
      </c>
      <c r="C265" s="27" t="s">
        <v>360</v>
      </c>
      <c r="D265" s="27">
        <v>2024</v>
      </c>
      <c r="E265" s="27"/>
      <c r="F265" s="27" t="s">
        <v>832</v>
      </c>
      <c r="G265" s="27" t="s">
        <v>266</v>
      </c>
      <c r="H265" s="27"/>
      <c r="I265" s="27" t="s">
        <v>768</v>
      </c>
      <c r="J265" s="27" t="s">
        <v>865</v>
      </c>
      <c r="K265" s="27" t="s">
        <v>739</v>
      </c>
      <c r="L265" s="27"/>
      <c r="M265" s="27"/>
      <c r="N265" s="27">
        <v>1</v>
      </c>
      <c r="O265" s="27"/>
      <c r="P265" s="27"/>
      <c r="Q265" s="27"/>
      <c r="R265" s="27"/>
      <c r="S265" s="27"/>
      <c r="T265" s="27"/>
      <c r="U265" s="27"/>
      <c r="V265" s="27"/>
      <c r="W265" s="27"/>
      <c r="X265" s="27"/>
      <c r="Y265" s="27"/>
      <c r="Z265" s="27" t="s">
        <v>2026</v>
      </c>
      <c r="AA265" s="29">
        <f>AB265*0.0045</f>
        <v>56.430716292134825</v>
      </c>
      <c r="AB265" s="30">
        <f>AC265/(0.089*24*365/10^6)</f>
        <v>12540.159176029962</v>
      </c>
      <c r="AC265" s="30">
        <f>140*365*0.191327/1000</f>
        <v>9.7768096999999994</v>
      </c>
      <c r="AD265" s="30"/>
      <c r="AE265" s="30">
        <f>AB265</f>
        <v>12540.159176029962</v>
      </c>
      <c r="AF265" s="28" t="s">
        <v>2027</v>
      </c>
      <c r="AG265" s="28"/>
    </row>
    <row r="266" spans="1:33" ht="32.25" customHeight="1" x14ac:dyDescent="0.2">
      <c r="A266" s="27">
        <v>578</v>
      </c>
      <c r="B266" s="27" t="s">
        <v>2028</v>
      </c>
      <c r="C266" s="27" t="s">
        <v>336</v>
      </c>
      <c r="D266" s="27">
        <v>2022</v>
      </c>
      <c r="E266" s="27"/>
      <c r="F266" s="27" t="s">
        <v>832</v>
      </c>
      <c r="G266" s="27" t="s">
        <v>758</v>
      </c>
      <c r="H266" s="27" t="s">
        <v>1406</v>
      </c>
      <c r="I266" s="27" t="s">
        <v>768</v>
      </c>
      <c r="J266" s="27" t="s">
        <v>378</v>
      </c>
      <c r="K266" s="27" t="s">
        <v>740</v>
      </c>
      <c r="L266" s="27"/>
      <c r="M266" s="27">
        <v>1</v>
      </c>
      <c r="N266" s="27"/>
      <c r="O266" s="27"/>
      <c r="P266" s="27"/>
      <c r="Q266" s="27"/>
      <c r="R266" s="27"/>
      <c r="S266" s="27"/>
      <c r="T266" s="27"/>
      <c r="U266" s="27"/>
      <c r="V266" s="27"/>
      <c r="W266" s="27"/>
      <c r="X266" s="27"/>
      <c r="Y266" s="27"/>
      <c r="Z266" s="27" t="s">
        <v>2029</v>
      </c>
      <c r="AA266" s="29">
        <v>75</v>
      </c>
      <c r="AB266" s="30">
        <f>AA266/0.0045</f>
        <v>16666.666666666668</v>
      </c>
      <c r="AC266" s="50">
        <f>AB266*0.089*24*365/10^6</f>
        <v>12.994</v>
      </c>
      <c r="AD266" s="30"/>
      <c r="AE266" s="30">
        <f>AB266</f>
        <v>16666.666666666668</v>
      </c>
      <c r="AF266" s="28" t="s">
        <v>2030</v>
      </c>
      <c r="AG266" s="74" t="s">
        <v>4002</v>
      </c>
    </row>
    <row r="267" spans="1:33" ht="32.25" customHeight="1" x14ac:dyDescent="0.2">
      <c r="A267" s="27">
        <v>579</v>
      </c>
      <c r="B267" s="27" t="s">
        <v>2031</v>
      </c>
      <c r="C267" s="27" t="s">
        <v>349</v>
      </c>
      <c r="D267" s="27">
        <v>2024</v>
      </c>
      <c r="E267" s="27"/>
      <c r="F267" s="27" t="s">
        <v>832</v>
      </c>
      <c r="G267" s="27" t="s">
        <v>758</v>
      </c>
      <c r="H267" s="27" t="s">
        <v>1406</v>
      </c>
      <c r="I267" s="27" t="s">
        <v>768</v>
      </c>
      <c r="J267" s="27" t="s">
        <v>865</v>
      </c>
      <c r="K267" s="27" t="s">
        <v>739</v>
      </c>
      <c r="L267" s="27"/>
      <c r="M267" s="27"/>
      <c r="N267" s="27">
        <v>1</v>
      </c>
      <c r="O267" s="27"/>
      <c r="P267" s="27"/>
      <c r="Q267" s="27"/>
      <c r="R267" s="27"/>
      <c r="S267" s="27"/>
      <c r="T267" s="27"/>
      <c r="U267" s="27"/>
      <c r="V267" s="27"/>
      <c r="W267" s="27"/>
      <c r="X267" s="27"/>
      <c r="Y267" s="27"/>
      <c r="Z267" s="27" t="s">
        <v>2032</v>
      </c>
      <c r="AA267" s="29">
        <v>63</v>
      </c>
      <c r="AB267" s="30">
        <f>AA267/0.0045</f>
        <v>14000.000000000002</v>
      </c>
      <c r="AC267" s="54">
        <f>AB267*0.089*24*365/10^6</f>
        <v>10.914960000000001</v>
      </c>
      <c r="AD267" s="30"/>
      <c r="AE267" s="30">
        <f>AB267</f>
        <v>14000.000000000002</v>
      </c>
      <c r="AF267" s="28" t="s">
        <v>2033</v>
      </c>
      <c r="AG267" s="28"/>
    </row>
    <row r="268" spans="1:33" ht="32.25" customHeight="1" x14ac:dyDescent="0.2">
      <c r="A268" s="27">
        <v>580</v>
      </c>
      <c r="B268" s="27" t="s">
        <v>2034</v>
      </c>
      <c r="C268" s="27" t="s">
        <v>343</v>
      </c>
      <c r="D268" s="27"/>
      <c r="E268" s="27"/>
      <c r="F268" s="27" t="s">
        <v>1336</v>
      </c>
      <c r="G268" s="27" t="s">
        <v>266</v>
      </c>
      <c r="H268" s="27"/>
      <c r="I268" s="27" t="s">
        <v>768</v>
      </c>
      <c r="J268" s="27" t="s">
        <v>865</v>
      </c>
      <c r="K268" s="27" t="s">
        <v>377</v>
      </c>
      <c r="L268" s="27"/>
      <c r="M268" s="27"/>
      <c r="N268" s="27"/>
      <c r="O268" s="27"/>
      <c r="P268" s="27">
        <v>1</v>
      </c>
      <c r="Q268" s="27">
        <v>1</v>
      </c>
      <c r="R268" s="27"/>
      <c r="S268" s="27">
        <v>1</v>
      </c>
      <c r="T268" s="27"/>
      <c r="U268" s="27"/>
      <c r="V268" s="27"/>
      <c r="W268" s="27"/>
      <c r="X268" s="27"/>
      <c r="Y268" s="27"/>
      <c r="Z268" s="27" t="s">
        <v>1917</v>
      </c>
      <c r="AA268" s="29">
        <v>100</v>
      </c>
      <c r="AB268" s="30">
        <f>AA268/0.0052</f>
        <v>19230.76923076923</v>
      </c>
      <c r="AC268" s="50">
        <f>AB268*0.089*24*365/10^6</f>
        <v>14.993076923076924</v>
      </c>
      <c r="AD268" s="30"/>
      <c r="AE268" s="30">
        <f>AB268</f>
        <v>19230.76923076923</v>
      </c>
      <c r="AF268" s="28" t="s">
        <v>1984</v>
      </c>
      <c r="AG268" s="28"/>
    </row>
    <row r="269" spans="1:33" ht="32.25" customHeight="1" x14ac:dyDescent="0.2">
      <c r="A269" s="27">
        <v>581</v>
      </c>
      <c r="B269" s="27" t="s">
        <v>2035</v>
      </c>
      <c r="C269" s="27" t="s">
        <v>336</v>
      </c>
      <c r="D269" s="27">
        <v>2028</v>
      </c>
      <c r="E269" s="27"/>
      <c r="F269" s="27" t="s">
        <v>832</v>
      </c>
      <c r="G269" s="27" t="s">
        <v>758</v>
      </c>
      <c r="H269" s="27" t="s">
        <v>1406</v>
      </c>
      <c r="I269" s="27" t="s">
        <v>768</v>
      </c>
      <c r="J269" s="27" t="s">
        <v>865</v>
      </c>
      <c r="K269" s="27" t="s">
        <v>377</v>
      </c>
      <c r="L269" s="27"/>
      <c r="M269" s="27"/>
      <c r="N269" s="27"/>
      <c r="O269" s="27"/>
      <c r="P269" s="27"/>
      <c r="Q269" s="27"/>
      <c r="R269" s="27"/>
      <c r="S269" s="27"/>
      <c r="T269" s="27"/>
      <c r="U269" s="27"/>
      <c r="V269" s="27"/>
      <c r="W269" s="27"/>
      <c r="X269" s="27"/>
      <c r="Y269" s="27"/>
      <c r="Z269" s="27" t="s">
        <v>3061</v>
      </c>
      <c r="AA269" s="29">
        <v>14000</v>
      </c>
      <c r="AB269" s="30">
        <f>AA269/0.0045</f>
        <v>3111111.1111111115</v>
      </c>
      <c r="AC269" s="50">
        <f>AB269*0.089*24*365/10^6</f>
        <v>2425.5466666666671</v>
      </c>
      <c r="AD269" s="30"/>
      <c r="AE269" s="30">
        <f>AB269</f>
        <v>3111111.1111111115</v>
      </c>
      <c r="AF269" s="28" t="s">
        <v>3064</v>
      </c>
      <c r="AG269" s="74" t="s">
        <v>3854</v>
      </c>
    </row>
    <row r="270" spans="1:33" ht="32.25" customHeight="1" x14ac:dyDescent="0.2">
      <c r="A270" s="27">
        <v>582</v>
      </c>
      <c r="B270" s="55" t="s">
        <v>2036</v>
      </c>
      <c r="C270" s="55" t="s">
        <v>342</v>
      </c>
      <c r="D270" s="55">
        <v>2030</v>
      </c>
      <c r="E270" s="55"/>
      <c r="F270" s="55" t="s">
        <v>1336</v>
      </c>
      <c r="G270" s="55" t="s">
        <v>266</v>
      </c>
      <c r="H270" s="55"/>
      <c r="I270" s="55" t="s">
        <v>768</v>
      </c>
      <c r="J270" s="55" t="s">
        <v>865</v>
      </c>
      <c r="K270" s="55" t="s">
        <v>377</v>
      </c>
      <c r="L270" s="55"/>
      <c r="M270" s="55"/>
      <c r="N270" s="55"/>
      <c r="O270" s="55"/>
      <c r="P270" s="55">
        <v>1</v>
      </c>
      <c r="Q270" s="55">
        <v>1</v>
      </c>
      <c r="R270" s="55"/>
      <c r="S270" s="55">
        <v>1</v>
      </c>
      <c r="T270" s="55"/>
      <c r="U270" s="55"/>
      <c r="V270" s="55"/>
      <c r="W270" s="55"/>
      <c r="X270" s="55"/>
      <c r="Y270" s="55"/>
      <c r="Z270" s="75" t="s">
        <v>3915</v>
      </c>
      <c r="AA270" s="77">
        <v>10000</v>
      </c>
      <c r="AB270" s="58">
        <f>AA270/0.0052</f>
        <v>1923076.9230769232</v>
      </c>
      <c r="AC270" s="59">
        <f>AB270*0.089*24*365/10^6</f>
        <v>1499.3076923076926</v>
      </c>
      <c r="AD270" s="58"/>
      <c r="AE270" s="58">
        <f>AB270</f>
        <v>1923076.9230769232</v>
      </c>
      <c r="AF270" s="56" t="s">
        <v>2037</v>
      </c>
      <c r="AG270" s="76" t="s">
        <v>3917</v>
      </c>
    </row>
    <row r="271" spans="1:33" ht="32.25" customHeight="1" x14ac:dyDescent="0.2">
      <c r="A271" s="27">
        <v>583</v>
      </c>
      <c r="B271" s="55" t="s">
        <v>2038</v>
      </c>
      <c r="C271" s="56" t="s">
        <v>2039</v>
      </c>
      <c r="D271" s="55"/>
      <c r="E271" s="55"/>
      <c r="F271" s="55" t="s">
        <v>1336</v>
      </c>
      <c r="G271" s="55" t="s">
        <v>758</v>
      </c>
      <c r="H271" s="55" t="s">
        <v>1406</v>
      </c>
      <c r="I271" s="55" t="s">
        <v>768</v>
      </c>
      <c r="J271" s="55" t="s">
        <v>865</v>
      </c>
      <c r="K271" s="55" t="s">
        <v>377</v>
      </c>
      <c r="L271" s="55"/>
      <c r="M271" s="55"/>
      <c r="N271" s="55"/>
      <c r="O271" s="55"/>
      <c r="P271" s="55"/>
      <c r="Q271" s="55"/>
      <c r="R271" s="55"/>
      <c r="S271" s="55"/>
      <c r="T271" s="55"/>
      <c r="U271" s="55"/>
      <c r="V271" s="55"/>
      <c r="W271" s="55"/>
      <c r="X271" s="55"/>
      <c r="Y271" s="55"/>
      <c r="Z271" s="55" t="s">
        <v>2040</v>
      </c>
      <c r="AA271" s="57">
        <v>5000</v>
      </c>
      <c r="AB271" s="58">
        <f>AA271/0.0045</f>
        <v>1111111.1111111112</v>
      </c>
      <c r="AC271" s="59">
        <f>AB271*0.089*24*365/10^6</f>
        <v>866.26666666666677</v>
      </c>
      <c r="AD271" s="58"/>
      <c r="AE271" s="58">
        <f>AB271</f>
        <v>1111111.1111111112</v>
      </c>
      <c r="AF271" s="56" t="s">
        <v>2041</v>
      </c>
      <c r="AG271" s="28"/>
    </row>
    <row r="272" spans="1:33" ht="32.25" customHeight="1" x14ac:dyDescent="0.2">
      <c r="A272" s="27">
        <v>584</v>
      </c>
      <c r="B272" s="27" t="s">
        <v>2042</v>
      </c>
      <c r="C272" s="27" t="s">
        <v>336</v>
      </c>
      <c r="D272" s="27">
        <v>2028</v>
      </c>
      <c r="E272" s="27"/>
      <c r="F272" s="27" t="s">
        <v>832</v>
      </c>
      <c r="G272" s="27" t="s">
        <v>266</v>
      </c>
      <c r="H272" s="27"/>
      <c r="I272" s="27" t="s">
        <v>768</v>
      </c>
      <c r="J272" s="27" t="s">
        <v>861</v>
      </c>
      <c r="K272" s="27" t="s">
        <v>377</v>
      </c>
      <c r="L272" s="27"/>
      <c r="M272" s="27"/>
      <c r="N272" s="27"/>
      <c r="O272" s="27"/>
      <c r="P272" s="27">
        <v>1</v>
      </c>
      <c r="Q272" s="27">
        <v>1</v>
      </c>
      <c r="R272" s="27">
        <v>1</v>
      </c>
      <c r="S272" s="27"/>
      <c r="T272" s="27"/>
      <c r="U272" s="27"/>
      <c r="V272" s="27"/>
      <c r="W272" s="27"/>
      <c r="X272" s="27"/>
      <c r="Y272" s="27"/>
      <c r="Z272" s="27" t="s">
        <v>2040</v>
      </c>
      <c r="AA272" s="29">
        <v>5000</v>
      </c>
      <c r="AB272" s="30">
        <f>AA272/0.0052</f>
        <v>961538.46153846162</v>
      </c>
      <c r="AC272" s="50">
        <f>AB272*0.089*24*365/10^6</f>
        <v>749.6538461538463</v>
      </c>
      <c r="AD272" s="30"/>
      <c r="AE272" s="30">
        <f>AB272</f>
        <v>961538.46153846162</v>
      </c>
      <c r="AF272" s="28" t="s">
        <v>3063</v>
      </c>
      <c r="AG272" s="74" t="s">
        <v>3859</v>
      </c>
    </row>
    <row r="273" spans="1:33" ht="32.25" customHeight="1" x14ac:dyDescent="0.2">
      <c r="A273" s="27">
        <v>585</v>
      </c>
      <c r="B273" s="27" t="s">
        <v>2874</v>
      </c>
      <c r="C273" s="27" t="s">
        <v>624</v>
      </c>
      <c r="D273" s="27">
        <v>2025</v>
      </c>
      <c r="E273" s="27"/>
      <c r="F273" s="27" t="s">
        <v>753</v>
      </c>
      <c r="G273" s="27" t="s">
        <v>268</v>
      </c>
      <c r="H273" s="27"/>
      <c r="I273" s="27" t="s">
        <v>768</v>
      </c>
      <c r="J273" s="27" t="s">
        <v>865</v>
      </c>
      <c r="K273" s="27" t="s">
        <v>767</v>
      </c>
      <c r="L273" s="27"/>
      <c r="M273" s="27">
        <v>1</v>
      </c>
      <c r="N273" s="27"/>
      <c r="O273" s="27"/>
      <c r="P273" s="27"/>
      <c r="Q273" s="27"/>
      <c r="R273" s="27"/>
      <c r="S273" s="27"/>
      <c r="T273" s="27"/>
      <c r="U273" s="27"/>
      <c r="V273" s="27"/>
      <c r="W273" s="27">
        <v>1</v>
      </c>
      <c r="X273" s="27"/>
      <c r="Y273" s="27"/>
      <c r="Z273" s="27" t="s">
        <v>2043</v>
      </c>
      <c r="AA273" s="30">
        <f>AB273*0.0046</f>
        <v>1399.8127340823969</v>
      </c>
      <c r="AB273" s="30">
        <f>AC273/(0.089*24*365/10^6)</f>
        <v>304307.11610486888</v>
      </c>
      <c r="AC273" s="50">
        <f>0.65*365</f>
        <v>237.25</v>
      </c>
      <c r="AD273" s="30"/>
      <c r="AE273" s="30">
        <f>AB273</f>
        <v>304307.11610486888</v>
      </c>
      <c r="AF273" s="28"/>
      <c r="AG273" s="74" t="s">
        <v>3898</v>
      </c>
    </row>
    <row r="274" spans="1:33" ht="32.25" customHeight="1" x14ac:dyDescent="0.2">
      <c r="A274" s="27">
        <v>586</v>
      </c>
      <c r="B274" s="55" t="s">
        <v>2044</v>
      </c>
      <c r="C274" s="56" t="s">
        <v>2045</v>
      </c>
      <c r="D274" s="55"/>
      <c r="E274" s="55"/>
      <c r="F274" s="55" t="s">
        <v>1336</v>
      </c>
      <c r="G274" s="55" t="s">
        <v>758</v>
      </c>
      <c r="H274" s="55" t="s">
        <v>1406</v>
      </c>
      <c r="I274" s="55" t="s">
        <v>768</v>
      </c>
      <c r="J274" s="55" t="s">
        <v>865</v>
      </c>
      <c r="K274" s="55" t="s">
        <v>377</v>
      </c>
      <c r="L274" s="55"/>
      <c r="M274" s="55"/>
      <c r="N274" s="55"/>
      <c r="O274" s="55"/>
      <c r="P274" s="55">
        <v>1</v>
      </c>
      <c r="Q274" s="55">
        <v>1</v>
      </c>
      <c r="R274" s="55"/>
      <c r="S274" s="55"/>
      <c r="T274" s="55"/>
      <c r="U274" s="55"/>
      <c r="V274" s="55"/>
      <c r="W274" s="55"/>
      <c r="X274" s="55"/>
      <c r="Y274" s="55"/>
      <c r="Z274" s="55" t="s">
        <v>2046</v>
      </c>
      <c r="AA274" s="57">
        <v>1500</v>
      </c>
      <c r="AB274" s="58">
        <f>AA274/0.0045</f>
        <v>333333.33333333337</v>
      </c>
      <c r="AC274" s="59">
        <f>AB274*0.089*24*365/10^6</f>
        <v>259.88</v>
      </c>
      <c r="AD274" s="58"/>
      <c r="AE274" s="58">
        <f>AB274</f>
        <v>333333.33333333337</v>
      </c>
      <c r="AF274" s="56"/>
      <c r="AG274" s="28"/>
    </row>
    <row r="275" spans="1:33" ht="32.25" customHeight="1" x14ac:dyDescent="0.2">
      <c r="A275" s="27">
        <v>587</v>
      </c>
      <c r="B275" s="27" t="s">
        <v>3315</v>
      </c>
      <c r="C275" s="27" t="s">
        <v>336</v>
      </c>
      <c r="D275" s="27"/>
      <c r="E275" s="27"/>
      <c r="F275" s="27" t="s">
        <v>832</v>
      </c>
      <c r="G275" s="27" t="s">
        <v>758</v>
      </c>
      <c r="H275" s="27" t="s">
        <v>1406</v>
      </c>
      <c r="I275" s="27" t="s">
        <v>768</v>
      </c>
      <c r="J275" s="27" t="s">
        <v>865</v>
      </c>
      <c r="K275" s="27" t="s">
        <v>740</v>
      </c>
      <c r="L275" s="27"/>
      <c r="M275" s="27">
        <v>1</v>
      </c>
      <c r="N275" s="27"/>
      <c r="O275" s="27"/>
      <c r="P275" s="27"/>
      <c r="Q275" s="27"/>
      <c r="R275" s="27"/>
      <c r="S275" s="27"/>
      <c r="T275" s="27"/>
      <c r="U275" s="27"/>
      <c r="V275" s="27"/>
      <c r="W275" s="27">
        <v>1</v>
      </c>
      <c r="X275" s="27"/>
      <c r="Y275" s="27"/>
      <c r="Z275" s="27" t="s">
        <v>2047</v>
      </c>
      <c r="AA275" s="29">
        <v>1500</v>
      </c>
      <c r="AB275" s="30">
        <f>AA275/0.0045</f>
        <v>333333.33333333337</v>
      </c>
      <c r="AC275" s="50">
        <f>AB275*0.089*24*365/10^6</f>
        <v>259.88</v>
      </c>
      <c r="AD275" s="30"/>
      <c r="AE275" s="30">
        <f>AB275</f>
        <v>333333.33333333337</v>
      </c>
      <c r="AF275" s="28" t="s">
        <v>3316</v>
      </c>
      <c r="AG275" s="28"/>
    </row>
    <row r="276" spans="1:33" ht="32.25" customHeight="1" x14ac:dyDescent="0.2">
      <c r="A276" s="27">
        <v>588</v>
      </c>
      <c r="B276" s="55" t="s">
        <v>2048</v>
      </c>
      <c r="C276" s="56" t="s">
        <v>2049</v>
      </c>
      <c r="D276" s="55">
        <v>2030</v>
      </c>
      <c r="E276" s="55"/>
      <c r="F276" s="55" t="s">
        <v>1336</v>
      </c>
      <c r="G276" s="55" t="s">
        <v>758</v>
      </c>
      <c r="H276" s="55" t="s">
        <v>1406</v>
      </c>
      <c r="I276" s="55" t="s">
        <v>768</v>
      </c>
      <c r="J276" s="55" t="s">
        <v>865</v>
      </c>
      <c r="K276" s="55" t="s">
        <v>377</v>
      </c>
      <c r="L276" s="55"/>
      <c r="M276" s="55"/>
      <c r="N276" s="55"/>
      <c r="O276" s="55"/>
      <c r="P276" s="55"/>
      <c r="Q276" s="55"/>
      <c r="R276" s="55"/>
      <c r="S276" s="55"/>
      <c r="T276" s="55"/>
      <c r="U276" s="55"/>
      <c r="V276" s="55"/>
      <c r="W276" s="55"/>
      <c r="X276" s="55"/>
      <c r="Y276" s="55"/>
      <c r="Z276" s="55" t="s">
        <v>2050</v>
      </c>
      <c r="AA276" s="57">
        <f>AB276*0.0045</f>
        <v>674.15730337078639</v>
      </c>
      <c r="AB276" s="58">
        <f>AC276/(0.089*24*365/10^6)</f>
        <v>149812.73408239699</v>
      </c>
      <c r="AC276" s="59">
        <f>320*365/1000</f>
        <v>116.8</v>
      </c>
      <c r="AD276" s="58"/>
      <c r="AE276" s="58">
        <f>AB276</f>
        <v>149812.73408239699</v>
      </c>
      <c r="AF276" s="56"/>
      <c r="AG276" s="74" t="s">
        <v>3961</v>
      </c>
    </row>
    <row r="277" spans="1:33" ht="32.25" customHeight="1" x14ac:dyDescent="0.2">
      <c r="A277" s="27">
        <v>589</v>
      </c>
      <c r="B277" s="27" t="s">
        <v>2051</v>
      </c>
      <c r="C277" s="28" t="s">
        <v>336</v>
      </c>
      <c r="D277" s="27">
        <v>2027</v>
      </c>
      <c r="E277" s="27"/>
      <c r="F277" s="27" t="s">
        <v>1336</v>
      </c>
      <c r="G277" s="27" t="s">
        <v>758</v>
      </c>
      <c r="H277" s="27" t="s">
        <v>1406</v>
      </c>
      <c r="I277" s="27" t="s">
        <v>768</v>
      </c>
      <c r="J277" s="27" t="s">
        <v>865</v>
      </c>
      <c r="K277" s="27" t="s">
        <v>377</v>
      </c>
      <c r="L277" s="27"/>
      <c r="M277" s="27"/>
      <c r="N277" s="27"/>
      <c r="O277" s="27"/>
      <c r="P277" s="27"/>
      <c r="Q277" s="27"/>
      <c r="R277" s="27"/>
      <c r="S277" s="27"/>
      <c r="T277" s="27"/>
      <c r="U277" s="27"/>
      <c r="V277" s="27"/>
      <c r="W277" s="27"/>
      <c r="X277" s="27"/>
      <c r="Y277" s="27"/>
      <c r="Z277" s="27" t="s">
        <v>1900</v>
      </c>
      <c r="AA277" s="29">
        <v>1000</v>
      </c>
      <c r="AB277" s="30">
        <f>AA277/0.0045</f>
        <v>222222.22222222225</v>
      </c>
      <c r="AC277" s="50">
        <f>AB277*0.089*24*365/10^6</f>
        <v>173.2533333333333</v>
      </c>
      <c r="AD277" s="30"/>
      <c r="AE277" s="30">
        <f>AB277</f>
        <v>222222.22222222225</v>
      </c>
      <c r="AF277" s="28" t="s">
        <v>2052</v>
      </c>
      <c r="AG277" s="74" t="s">
        <v>3919</v>
      </c>
    </row>
    <row r="278" spans="1:33" ht="32.25" customHeight="1" x14ac:dyDescent="0.2">
      <c r="A278" s="27">
        <v>590</v>
      </c>
      <c r="B278" s="27" t="s">
        <v>2053</v>
      </c>
      <c r="C278" s="28" t="s">
        <v>337</v>
      </c>
      <c r="D278" s="27"/>
      <c r="E278" s="27"/>
      <c r="F278" s="27" t="s">
        <v>1336</v>
      </c>
      <c r="G278" s="27" t="s">
        <v>758</v>
      </c>
      <c r="H278" s="27" t="s">
        <v>1406</v>
      </c>
      <c r="I278" s="27" t="s">
        <v>911</v>
      </c>
      <c r="J278" s="27"/>
      <c r="K278" s="27" t="s">
        <v>377</v>
      </c>
      <c r="L278" s="27"/>
      <c r="M278" s="27"/>
      <c r="N278" s="27"/>
      <c r="O278" s="27"/>
      <c r="P278" s="27"/>
      <c r="Q278" s="27">
        <v>1</v>
      </c>
      <c r="R278" s="27"/>
      <c r="S278" s="27"/>
      <c r="T278" s="27"/>
      <c r="U278" s="27"/>
      <c r="V278" s="27"/>
      <c r="W278" s="27"/>
      <c r="X278" s="27"/>
      <c r="Y278" s="27"/>
      <c r="Z278" s="27" t="s">
        <v>1900</v>
      </c>
      <c r="AA278" s="29">
        <v>915</v>
      </c>
      <c r="AB278" s="30">
        <f>AA278/0.0045</f>
        <v>203333.33333333334</v>
      </c>
      <c r="AC278" s="50">
        <f>AB278*0.089*24*365/10^6</f>
        <v>158.52680000000001</v>
      </c>
      <c r="AD278" s="30"/>
      <c r="AE278" s="30">
        <f>AB278</f>
        <v>203333.33333333334</v>
      </c>
      <c r="AF278" s="28" t="s">
        <v>2054</v>
      </c>
      <c r="AG278" s="28"/>
    </row>
    <row r="279" spans="1:33" ht="32.25" customHeight="1" x14ac:dyDescent="0.2">
      <c r="A279" s="27">
        <v>591</v>
      </c>
      <c r="B279" s="27" t="s">
        <v>2055</v>
      </c>
      <c r="C279" s="28" t="s">
        <v>347</v>
      </c>
      <c r="D279" s="27"/>
      <c r="E279" s="27"/>
      <c r="F279" s="27" t="s">
        <v>1336</v>
      </c>
      <c r="G279" s="27" t="s">
        <v>758</v>
      </c>
      <c r="H279" s="27" t="s">
        <v>1406</v>
      </c>
      <c r="I279" s="27" t="s">
        <v>768</v>
      </c>
      <c r="J279" s="27" t="s">
        <v>865</v>
      </c>
      <c r="K279" s="27" t="s">
        <v>377</v>
      </c>
      <c r="L279" s="27"/>
      <c r="M279" s="27"/>
      <c r="N279" s="27"/>
      <c r="O279" s="27"/>
      <c r="P279" s="27"/>
      <c r="Q279" s="27"/>
      <c r="R279" s="27"/>
      <c r="S279" s="27"/>
      <c r="T279" s="27"/>
      <c r="U279" s="27"/>
      <c r="V279" s="27"/>
      <c r="W279" s="27"/>
      <c r="X279" s="27"/>
      <c r="Y279" s="27"/>
      <c r="Z279" s="27" t="s">
        <v>1900</v>
      </c>
      <c r="AA279" s="29">
        <v>900</v>
      </c>
      <c r="AB279" s="30">
        <f>AA279/0.0045</f>
        <v>200000.00000000003</v>
      </c>
      <c r="AC279" s="50">
        <f>AB279*0.089*24*365/10^6</f>
        <v>155.928</v>
      </c>
      <c r="AD279" s="30"/>
      <c r="AE279" s="30">
        <f>AB279</f>
        <v>200000.00000000003</v>
      </c>
      <c r="AF279" s="28" t="s">
        <v>2056</v>
      </c>
      <c r="AG279" s="28"/>
    </row>
    <row r="280" spans="1:33" ht="32.25" customHeight="1" x14ac:dyDescent="0.2">
      <c r="A280" s="27">
        <v>592</v>
      </c>
      <c r="B280" s="27" t="s">
        <v>3070</v>
      </c>
      <c r="C280" s="28" t="s">
        <v>361</v>
      </c>
      <c r="D280" s="27">
        <v>2024</v>
      </c>
      <c r="E280" s="27"/>
      <c r="F280" s="27" t="s">
        <v>832</v>
      </c>
      <c r="G280" s="27" t="s">
        <v>758</v>
      </c>
      <c r="H280" s="27" t="s">
        <v>1406</v>
      </c>
      <c r="I280" s="27" t="s">
        <v>768</v>
      </c>
      <c r="J280" s="27" t="s">
        <v>861</v>
      </c>
      <c r="K280" s="27" t="s">
        <v>740</v>
      </c>
      <c r="L280" s="27"/>
      <c r="M280" s="27">
        <v>1</v>
      </c>
      <c r="N280" s="27"/>
      <c r="O280" s="27"/>
      <c r="P280" s="27"/>
      <c r="Q280" s="27"/>
      <c r="R280" s="27"/>
      <c r="S280" s="27"/>
      <c r="T280" s="27"/>
      <c r="U280" s="27"/>
      <c r="V280" s="27"/>
      <c r="W280" s="27">
        <v>1</v>
      </c>
      <c r="X280" s="27"/>
      <c r="Y280" s="27"/>
      <c r="Z280" s="27" t="s">
        <v>1902</v>
      </c>
      <c r="AA280" s="29">
        <v>50</v>
      </c>
      <c r="AB280" s="30">
        <f>AA280/0.0045</f>
        <v>11111.111111111111</v>
      </c>
      <c r="AC280" s="50">
        <f>AB280*0.089*24*365/10^6</f>
        <v>8.6626666666666683</v>
      </c>
      <c r="AD280" s="30"/>
      <c r="AE280" s="30">
        <f>AB280</f>
        <v>11111.111111111111</v>
      </c>
      <c r="AF280" s="28" t="s">
        <v>3328</v>
      </c>
      <c r="AG280" s="28"/>
    </row>
    <row r="281" spans="1:33" ht="32.25" customHeight="1" x14ac:dyDescent="0.2">
      <c r="A281" s="27">
        <v>593</v>
      </c>
      <c r="B281" s="27" t="s">
        <v>3071</v>
      </c>
      <c r="C281" s="28" t="s">
        <v>361</v>
      </c>
      <c r="D281" s="27"/>
      <c r="E281" s="27"/>
      <c r="F281" s="27" t="s">
        <v>1336</v>
      </c>
      <c r="G281" s="27" t="s">
        <v>758</v>
      </c>
      <c r="H281" s="27" t="s">
        <v>1406</v>
      </c>
      <c r="I281" s="27" t="s">
        <v>768</v>
      </c>
      <c r="J281" s="27" t="s">
        <v>861</v>
      </c>
      <c r="K281" s="27" t="s">
        <v>740</v>
      </c>
      <c r="L281" s="27"/>
      <c r="M281" s="27">
        <v>1</v>
      </c>
      <c r="N281" s="27"/>
      <c r="O281" s="27"/>
      <c r="P281" s="27"/>
      <c r="Q281" s="27"/>
      <c r="R281" s="27"/>
      <c r="S281" s="27"/>
      <c r="T281" s="27"/>
      <c r="U281" s="27"/>
      <c r="V281" s="27"/>
      <c r="W281" s="27">
        <v>1</v>
      </c>
      <c r="X281" s="27"/>
      <c r="Y281" s="27"/>
      <c r="Z281" s="27" t="s">
        <v>3327</v>
      </c>
      <c r="AA281" s="29">
        <v>730</v>
      </c>
      <c r="AB281" s="30">
        <f>AA281/0.0045</f>
        <v>162222.22222222225</v>
      </c>
      <c r="AC281" s="50">
        <f>AB281*0.089*24*365/10^6</f>
        <v>126.47493333333334</v>
      </c>
      <c r="AD281" s="30"/>
      <c r="AE281" s="30">
        <f>AB281</f>
        <v>162222.22222222225</v>
      </c>
      <c r="AF281" s="28" t="s">
        <v>3329</v>
      </c>
      <c r="AG281" s="28"/>
    </row>
    <row r="282" spans="1:33" ht="32.25" customHeight="1" x14ac:dyDescent="0.2">
      <c r="A282" s="27">
        <v>594</v>
      </c>
      <c r="B282" s="27" t="s">
        <v>1642</v>
      </c>
      <c r="C282" s="28" t="s">
        <v>698</v>
      </c>
      <c r="D282" s="27">
        <v>2021</v>
      </c>
      <c r="E282" s="27"/>
      <c r="F282" s="27" t="s">
        <v>754</v>
      </c>
      <c r="G282" s="27" t="s">
        <v>266</v>
      </c>
      <c r="H282" s="27"/>
      <c r="I282" s="27" t="s">
        <v>768</v>
      </c>
      <c r="J282" s="27" t="s">
        <v>865</v>
      </c>
      <c r="K282" s="27" t="s">
        <v>377</v>
      </c>
      <c r="L282" s="27"/>
      <c r="M282" s="27"/>
      <c r="N282" s="27"/>
      <c r="O282" s="27"/>
      <c r="P282" s="27"/>
      <c r="Q282" s="27">
        <v>1</v>
      </c>
      <c r="R282" s="27"/>
      <c r="S282" s="27"/>
      <c r="T282" s="27"/>
      <c r="U282" s="27"/>
      <c r="V282" s="27"/>
      <c r="W282" s="27"/>
      <c r="X282" s="27"/>
      <c r="Y282" s="27"/>
      <c r="Z282" s="27" t="s">
        <v>1862</v>
      </c>
      <c r="AA282" s="29">
        <f>AB282*0.0052</f>
        <v>1.04E-2</v>
      </c>
      <c r="AB282" s="30">
        <v>2</v>
      </c>
      <c r="AC282" s="50">
        <f>AB282*0.089*24*365/10^6</f>
        <v>1.5592800000000001E-3</v>
      </c>
      <c r="AD282" s="30"/>
      <c r="AE282" s="30">
        <f>AB282</f>
        <v>2</v>
      </c>
      <c r="AF282" s="28"/>
      <c r="AG282" s="28"/>
    </row>
    <row r="283" spans="1:33" ht="32.25" customHeight="1" x14ac:dyDescent="0.2">
      <c r="A283" s="27">
        <v>595</v>
      </c>
      <c r="B283" s="27" t="s">
        <v>2057</v>
      </c>
      <c r="C283" s="28" t="s">
        <v>347</v>
      </c>
      <c r="D283" s="27">
        <v>2024</v>
      </c>
      <c r="E283" s="27"/>
      <c r="F283" s="27" t="s">
        <v>832</v>
      </c>
      <c r="G283" s="27" t="s">
        <v>758</v>
      </c>
      <c r="H283" s="27" t="s">
        <v>1406</v>
      </c>
      <c r="I283" s="27" t="s">
        <v>768</v>
      </c>
      <c r="J283" s="27" t="s">
        <v>863</v>
      </c>
      <c r="K283" s="27" t="s">
        <v>377</v>
      </c>
      <c r="L283" s="27"/>
      <c r="M283" s="27"/>
      <c r="N283" s="27"/>
      <c r="O283" s="27"/>
      <c r="P283" s="27"/>
      <c r="Q283" s="27"/>
      <c r="R283" s="27">
        <v>1</v>
      </c>
      <c r="S283" s="27">
        <v>1</v>
      </c>
      <c r="T283" s="27"/>
      <c r="U283" s="27"/>
      <c r="V283" s="27"/>
      <c r="W283" s="27"/>
      <c r="X283" s="27"/>
      <c r="Y283" s="27"/>
      <c r="Z283" s="27" t="s">
        <v>2021</v>
      </c>
      <c r="AA283" s="29">
        <v>100</v>
      </c>
      <c r="AB283" s="30">
        <f>AA283/0.0045</f>
        <v>22222.222222222223</v>
      </c>
      <c r="AC283" s="50">
        <f>AB283*0.089*24*365/10^6</f>
        <v>17.325333333333337</v>
      </c>
      <c r="AD283" s="30"/>
      <c r="AE283" s="30">
        <f>AB283</f>
        <v>22222.222222222223</v>
      </c>
      <c r="AF283" s="28" t="s">
        <v>3170</v>
      </c>
      <c r="AG283" s="74" t="s">
        <v>3942</v>
      </c>
    </row>
    <row r="284" spans="1:33" ht="32.25" customHeight="1" x14ac:dyDescent="0.2">
      <c r="A284" s="27">
        <v>596</v>
      </c>
      <c r="B284" s="27" t="s">
        <v>2059</v>
      </c>
      <c r="C284" s="28" t="s">
        <v>347</v>
      </c>
      <c r="D284" s="27">
        <v>2028</v>
      </c>
      <c r="E284" s="27"/>
      <c r="F284" s="27" t="s">
        <v>832</v>
      </c>
      <c r="G284" s="27" t="s">
        <v>758</v>
      </c>
      <c r="H284" s="27" t="s">
        <v>1406</v>
      </c>
      <c r="I284" s="27" t="s">
        <v>768</v>
      </c>
      <c r="J284" s="27" t="s">
        <v>863</v>
      </c>
      <c r="K284" s="27" t="s">
        <v>377</v>
      </c>
      <c r="L284" s="27"/>
      <c r="M284" s="27"/>
      <c r="N284" s="27"/>
      <c r="O284" s="27"/>
      <c r="P284" s="27"/>
      <c r="Q284" s="27"/>
      <c r="R284" s="27">
        <v>1</v>
      </c>
      <c r="S284" s="27">
        <v>1</v>
      </c>
      <c r="T284" s="27"/>
      <c r="U284" s="27"/>
      <c r="V284" s="27"/>
      <c r="W284" s="27"/>
      <c r="X284" s="27"/>
      <c r="Y284" s="27"/>
      <c r="Z284" s="75" t="s">
        <v>3944</v>
      </c>
      <c r="AA284" s="77">
        <f xml:space="preserve"> 750 - 100</f>
        <v>650</v>
      </c>
      <c r="AB284" s="30">
        <f>AA284/0.0045</f>
        <v>144444.44444444447</v>
      </c>
      <c r="AC284" s="50">
        <f>AB284*0.089*24*365/10^6</f>
        <v>112.61466666666669</v>
      </c>
      <c r="AD284" s="30"/>
      <c r="AE284" s="30">
        <f>AB284</f>
        <v>144444.44444444447</v>
      </c>
      <c r="AF284" s="28" t="s">
        <v>2058</v>
      </c>
      <c r="AG284" s="76" t="s">
        <v>3942</v>
      </c>
    </row>
    <row r="285" spans="1:33" ht="32.25" customHeight="1" x14ac:dyDescent="0.2">
      <c r="A285" s="27">
        <v>597</v>
      </c>
      <c r="B285" s="27" t="s">
        <v>2060</v>
      </c>
      <c r="C285" s="28" t="s">
        <v>331</v>
      </c>
      <c r="D285" s="92">
        <v>2023</v>
      </c>
      <c r="E285" s="27"/>
      <c r="F285" s="27" t="s">
        <v>832</v>
      </c>
      <c r="G285" s="27" t="s">
        <v>758</v>
      </c>
      <c r="H285" s="27" t="s">
        <v>1406</v>
      </c>
      <c r="I285" s="27" t="s">
        <v>768</v>
      </c>
      <c r="J285" s="27" t="s">
        <v>861</v>
      </c>
      <c r="K285" s="27" t="s">
        <v>377</v>
      </c>
      <c r="L285" s="27"/>
      <c r="M285" s="27"/>
      <c r="N285" s="27"/>
      <c r="O285" s="27"/>
      <c r="P285" s="27">
        <v>1</v>
      </c>
      <c r="Q285" s="27">
        <v>1</v>
      </c>
      <c r="R285" s="27">
        <v>1</v>
      </c>
      <c r="S285" s="27">
        <v>1</v>
      </c>
      <c r="T285" s="27"/>
      <c r="U285" s="27"/>
      <c r="V285" s="27"/>
      <c r="W285" s="27"/>
      <c r="X285" s="27"/>
      <c r="Y285" s="27"/>
      <c r="Z285" s="27" t="s">
        <v>2061</v>
      </c>
      <c r="AA285" s="91">
        <v>1</v>
      </c>
      <c r="AB285" s="30">
        <f>AA285/0.0045</f>
        <v>222.22222222222223</v>
      </c>
      <c r="AC285" s="50">
        <f>AB285*0.089*24*365/10^6</f>
        <v>0.17325333333333334</v>
      </c>
      <c r="AD285" s="30"/>
      <c r="AE285" s="30">
        <f>AB285</f>
        <v>222.22222222222223</v>
      </c>
      <c r="AF285" s="28" t="s">
        <v>2062</v>
      </c>
      <c r="AG285" s="28"/>
    </row>
    <row r="286" spans="1:33" ht="32.25" customHeight="1" x14ac:dyDescent="0.2">
      <c r="A286" s="27">
        <v>598</v>
      </c>
      <c r="B286" s="27" t="s">
        <v>2063</v>
      </c>
      <c r="C286" s="28" t="s">
        <v>331</v>
      </c>
      <c r="D286" s="27">
        <v>2025</v>
      </c>
      <c r="E286" s="27"/>
      <c r="F286" s="27" t="s">
        <v>1336</v>
      </c>
      <c r="G286" s="27" t="s">
        <v>758</v>
      </c>
      <c r="H286" s="27" t="s">
        <v>1406</v>
      </c>
      <c r="I286" s="27" t="s">
        <v>768</v>
      </c>
      <c r="J286" s="27" t="s">
        <v>861</v>
      </c>
      <c r="K286" s="27" t="s">
        <v>377</v>
      </c>
      <c r="L286" s="27"/>
      <c r="M286" s="27"/>
      <c r="N286" s="27"/>
      <c r="O286" s="27"/>
      <c r="P286" s="27">
        <v>1</v>
      </c>
      <c r="Q286" s="27">
        <v>1</v>
      </c>
      <c r="R286" s="27">
        <v>1</v>
      </c>
      <c r="S286" s="27">
        <v>1</v>
      </c>
      <c r="T286" s="27"/>
      <c r="U286" s="27"/>
      <c r="V286" s="27"/>
      <c r="W286" s="27"/>
      <c r="X286" s="27"/>
      <c r="Y286" s="27"/>
      <c r="Z286" s="27" t="s">
        <v>2064</v>
      </c>
      <c r="AA286" s="91">
        <v>129</v>
      </c>
      <c r="AB286" s="30">
        <f>AA286/0.0045</f>
        <v>28666.666666666668</v>
      </c>
      <c r="AC286" s="50">
        <f>AB286*0.089*24*365/10^6</f>
        <v>22.349679999999999</v>
      </c>
      <c r="AD286" s="30"/>
      <c r="AE286" s="30">
        <f>AB286</f>
        <v>28666.666666666668</v>
      </c>
      <c r="AF286" s="28"/>
      <c r="AG286" s="28"/>
    </row>
    <row r="287" spans="1:33" ht="32.25" customHeight="1" x14ac:dyDescent="0.2">
      <c r="A287" s="27">
        <v>599</v>
      </c>
      <c r="B287" s="27" t="s">
        <v>2065</v>
      </c>
      <c r="C287" s="28" t="s">
        <v>331</v>
      </c>
      <c r="D287" s="27">
        <v>2027</v>
      </c>
      <c r="E287" s="27"/>
      <c r="F287" s="27" t="s">
        <v>1336</v>
      </c>
      <c r="G287" s="27" t="s">
        <v>758</v>
      </c>
      <c r="H287" s="27" t="s">
        <v>1406</v>
      </c>
      <c r="I287" s="27" t="s">
        <v>768</v>
      </c>
      <c r="J287" s="27" t="s">
        <v>861</v>
      </c>
      <c r="K287" s="27" t="s">
        <v>377</v>
      </c>
      <c r="L287" s="27"/>
      <c r="M287" s="27"/>
      <c r="N287" s="27"/>
      <c r="O287" s="27"/>
      <c r="P287" s="27">
        <v>1</v>
      </c>
      <c r="Q287" s="27">
        <v>1</v>
      </c>
      <c r="R287" s="27">
        <v>1</v>
      </c>
      <c r="S287" s="27">
        <v>1</v>
      </c>
      <c r="T287" s="27"/>
      <c r="U287" s="27"/>
      <c r="V287" s="27"/>
      <c r="W287" s="27"/>
      <c r="X287" s="27"/>
      <c r="Y287" s="27"/>
      <c r="Z287" s="27" t="s">
        <v>2066</v>
      </c>
      <c r="AA287" s="29">
        <v>305</v>
      </c>
      <c r="AB287" s="30">
        <f>AA287/0.0045</f>
        <v>67777.777777777781</v>
      </c>
      <c r="AC287" s="50">
        <f>AB287*0.089*24*365/10^6</f>
        <v>52.842266666666674</v>
      </c>
      <c r="AD287" s="30"/>
      <c r="AE287" s="30">
        <f>AB287</f>
        <v>67777.777777777781</v>
      </c>
      <c r="AF287" s="28"/>
      <c r="AG287" s="28"/>
    </row>
    <row r="288" spans="1:33" ht="32.25" customHeight="1" x14ac:dyDescent="0.2">
      <c r="A288" s="27">
        <v>600</v>
      </c>
      <c r="B288" s="27" t="s">
        <v>2067</v>
      </c>
      <c r="C288" s="28" t="s">
        <v>334</v>
      </c>
      <c r="D288" s="27"/>
      <c r="E288" s="27"/>
      <c r="F288" s="27" t="s">
        <v>1336</v>
      </c>
      <c r="G288" s="27" t="s">
        <v>758</v>
      </c>
      <c r="H288" s="27" t="s">
        <v>1406</v>
      </c>
      <c r="I288" s="27" t="s">
        <v>768</v>
      </c>
      <c r="J288" s="27" t="s">
        <v>865</v>
      </c>
      <c r="K288" s="27" t="s">
        <v>377</v>
      </c>
      <c r="L288" s="27"/>
      <c r="M288" s="27"/>
      <c r="N288" s="27"/>
      <c r="O288" s="27"/>
      <c r="P288" s="27"/>
      <c r="Q288" s="27"/>
      <c r="R288" s="27"/>
      <c r="S288" s="27">
        <v>1</v>
      </c>
      <c r="T288" s="27"/>
      <c r="U288" s="27"/>
      <c r="V288" s="27"/>
      <c r="W288" s="27"/>
      <c r="X288" s="27"/>
      <c r="Y288" s="27"/>
      <c r="Z288" s="27" t="s">
        <v>2068</v>
      </c>
      <c r="AA288" s="29">
        <f>AB288*0.0045</f>
        <v>126.40449438202243</v>
      </c>
      <c r="AB288" s="30">
        <f>AC288/(0.089*24*365/10^6)</f>
        <v>28089.887640449433</v>
      </c>
      <c r="AC288" s="50">
        <f>0.06*365</f>
        <v>21.9</v>
      </c>
      <c r="AD288" s="30"/>
      <c r="AE288" s="30">
        <f>AB288</f>
        <v>28089.887640449433</v>
      </c>
      <c r="AF288" s="28" t="s">
        <v>2069</v>
      </c>
      <c r="AG288" s="28"/>
    </row>
    <row r="289" spans="1:33" ht="32.25" customHeight="1" x14ac:dyDescent="0.2">
      <c r="A289" s="27">
        <v>601</v>
      </c>
      <c r="B289" s="27" t="s">
        <v>2070</v>
      </c>
      <c r="C289" s="28" t="s">
        <v>347</v>
      </c>
      <c r="D289" s="27">
        <v>2025</v>
      </c>
      <c r="E289" s="27"/>
      <c r="F289" s="27" t="s">
        <v>832</v>
      </c>
      <c r="G289" s="27" t="s">
        <v>758</v>
      </c>
      <c r="H289" s="27" t="s">
        <v>1406</v>
      </c>
      <c r="I289" s="27" t="s">
        <v>768</v>
      </c>
      <c r="J289" s="27" t="s">
        <v>865</v>
      </c>
      <c r="K289" s="27" t="s">
        <v>377</v>
      </c>
      <c r="L289" s="27">
        <v>1</v>
      </c>
      <c r="M289" s="27"/>
      <c r="N289" s="27"/>
      <c r="O289" s="27"/>
      <c r="P289" s="27"/>
      <c r="Q289" s="27"/>
      <c r="R289" s="27"/>
      <c r="S289" s="27"/>
      <c r="T289" s="27"/>
      <c r="U289" s="27"/>
      <c r="V289" s="27"/>
      <c r="W289" s="27"/>
      <c r="X289" s="27"/>
      <c r="Y289" s="27"/>
      <c r="Z289" s="27" t="s">
        <v>2008</v>
      </c>
      <c r="AA289" s="29">
        <v>250</v>
      </c>
      <c r="AB289" s="30">
        <f>AA289/0.0045</f>
        <v>55555.555555555562</v>
      </c>
      <c r="AC289" s="50">
        <f>AB289*0.089*24*365/10^6</f>
        <v>43.313333333333325</v>
      </c>
      <c r="AD289" s="30"/>
      <c r="AE289" s="30">
        <f>AB289</f>
        <v>55555.555555555562</v>
      </c>
      <c r="AF289" s="28" t="s">
        <v>2071</v>
      </c>
      <c r="AG289" s="28"/>
    </row>
    <row r="290" spans="1:33" ht="32.25" customHeight="1" x14ac:dyDescent="0.2">
      <c r="A290" s="27">
        <v>602</v>
      </c>
      <c r="B290" s="27" t="s">
        <v>2072</v>
      </c>
      <c r="C290" s="27" t="s">
        <v>980</v>
      </c>
      <c r="D290" s="27">
        <v>2023</v>
      </c>
      <c r="E290" s="27"/>
      <c r="F290" s="27" t="s">
        <v>832</v>
      </c>
      <c r="G290" s="27" t="s">
        <v>758</v>
      </c>
      <c r="H290" s="27" t="s">
        <v>1406</v>
      </c>
      <c r="I290" s="27" t="s">
        <v>768</v>
      </c>
      <c r="J290" s="27" t="s">
        <v>865</v>
      </c>
      <c r="K290" s="27" t="s">
        <v>377</v>
      </c>
      <c r="L290" s="27"/>
      <c r="M290" s="27"/>
      <c r="N290" s="27"/>
      <c r="O290" s="27"/>
      <c r="P290" s="27">
        <v>1</v>
      </c>
      <c r="Q290" s="27">
        <v>1</v>
      </c>
      <c r="R290" s="27"/>
      <c r="S290" s="27"/>
      <c r="T290" s="27"/>
      <c r="U290" s="27"/>
      <c r="V290" s="27"/>
      <c r="W290" s="27"/>
      <c r="X290" s="27"/>
      <c r="Y290" s="27"/>
      <c r="Z290" s="75" t="s">
        <v>1428</v>
      </c>
      <c r="AA290" s="77">
        <v>20</v>
      </c>
      <c r="AB290" s="30">
        <f>AA290/0.0045</f>
        <v>4444.4444444444443</v>
      </c>
      <c r="AC290" s="30">
        <f>AB290*0.089*24*365/10^6</f>
        <v>3.4650666666666661</v>
      </c>
      <c r="AD290" s="30"/>
      <c r="AE290" s="30">
        <f>AB290</f>
        <v>4444.4444444444443</v>
      </c>
      <c r="AF290" s="28" t="s">
        <v>2074</v>
      </c>
      <c r="AG290" s="76" t="s">
        <v>4057</v>
      </c>
    </row>
    <row r="291" spans="1:33" ht="32.25" customHeight="1" x14ac:dyDescent="0.2">
      <c r="A291" s="27">
        <v>603</v>
      </c>
      <c r="B291" s="27" t="s">
        <v>3021</v>
      </c>
      <c r="C291" s="27" t="s">
        <v>338</v>
      </c>
      <c r="D291" s="27">
        <v>2021</v>
      </c>
      <c r="E291" s="27"/>
      <c r="F291" s="27" t="s">
        <v>753</v>
      </c>
      <c r="G291" s="27" t="s">
        <v>268</v>
      </c>
      <c r="H291" s="27"/>
      <c r="I291" s="27" t="s">
        <v>768</v>
      </c>
      <c r="J291" s="27" t="s">
        <v>861</v>
      </c>
      <c r="K291" s="27" t="s">
        <v>377</v>
      </c>
      <c r="L291" s="27"/>
      <c r="M291" s="27"/>
      <c r="N291" s="27">
        <v>1</v>
      </c>
      <c r="O291" s="27"/>
      <c r="P291" s="27"/>
      <c r="Q291" s="27"/>
      <c r="R291" s="27"/>
      <c r="S291" s="27"/>
      <c r="T291" s="27"/>
      <c r="U291" s="27"/>
      <c r="V291" s="27"/>
      <c r="W291" s="27"/>
      <c r="X291" s="27"/>
      <c r="Y291" s="27"/>
      <c r="Z291" s="27" t="s">
        <v>2021</v>
      </c>
      <c r="AA291" s="29">
        <v>100</v>
      </c>
      <c r="AB291" s="30">
        <f>AA291/0.0046</f>
        <v>21739.130434782608</v>
      </c>
      <c r="AC291" s="30">
        <f>AB291*0.089*24*365/10^6</f>
        <v>16.94869565217391</v>
      </c>
      <c r="AD291" s="30"/>
      <c r="AE291" s="30">
        <f>AB291</f>
        <v>21739.130434782608</v>
      </c>
      <c r="AF291" s="28" t="s">
        <v>2875</v>
      </c>
      <c r="AG291" s="28"/>
    </row>
    <row r="292" spans="1:33" ht="32.25" customHeight="1" x14ac:dyDescent="0.2">
      <c r="A292" s="27">
        <v>604</v>
      </c>
      <c r="B292" s="27" t="s">
        <v>3323</v>
      </c>
      <c r="C292" s="27" t="s">
        <v>336</v>
      </c>
      <c r="D292" s="27"/>
      <c r="E292" s="27"/>
      <c r="F292" s="27" t="s">
        <v>832</v>
      </c>
      <c r="G292" s="27" t="s">
        <v>758</v>
      </c>
      <c r="H292" s="27" t="s">
        <v>1406</v>
      </c>
      <c r="I292" s="27" t="s">
        <v>768</v>
      </c>
      <c r="J292" s="27" t="s">
        <v>861</v>
      </c>
      <c r="K292" s="27" t="s">
        <v>740</v>
      </c>
      <c r="L292" s="27"/>
      <c r="M292" s="27">
        <v>1</v>
      </c>
      <c r="N292" s="27"/>
      <c r="O292" s="27"/>
      <c r="P292" s="27"/>
      <c r="Q292" s="27"/>
      <c r="R292" s="27"/>
      <c r="S292" s="27"/>
      <c r="T292" s="27"/>
      <c r="U292" s="27"/>
      <c r="V292" s="27"/>
      <c r="W292" s="27"/>
      <c r="X292" s="27"/>
      <c r="Y292" s="27"/>
      <c r="Z292" s="27" t="s">
        <v>2076</v>
      </c>
      <c r="AA292" s="29">
        <v>160</v>
      </c>
      <c r="AB292" s="30">
        <f>AA292/0.0045</f>
        <v>35555.555555555555</v>
      </c>
      <c r="AC292" s="30">
        <f>AB292*0.089*24*365/10^6</f>
        <v>27.720533333333329</v>
      </c>
      <c r="AD292" s="30"/>
      <c r="AE292" s="30">
        <f>AB292</f>
        <v>35555.555555555555</v>
      </c>
      <c r="AF292" s="28" t="s">
        <v>2077</v>
      </c>
      <c r="AG292" s="28"/>
    </row>
    <row r="293" spans="1:33" ht="32.25" customHeight="1" x14ac:dyDescent="0.2">
      <c r="A293" s="27">
        <v>605</v>
      </c>
      <c r="B293" s="27" t="s">
        <v>2078</v>
      </c>
      <c r="C293" s="27" t="s">
        <v>980</v>
      </c>
      <c r="D293" s="27"/>
      <c r="E293" s="27"/>
      <c r="F293" s="27" t="s">
        <v>832</v>
      </c>
      <c r="G293" s="27" t="s">
        <v>758</v>
      </c>
      <c r="H293" s="27" t="s">
        <v>1406</v>
      </c>
      <c r="I293" s="27" t="s">
        <v>768</v>
      </c>
      <c r="J293" s="27" t="s">
        <v>865</v>
      </c>
      <c r="K293" s="27" t="s">
        <v>377</v>
      </c>
      <c r="L293" s="27"/>
      <c r="M293" s="27"/>
      <c r="N293" s="27"/>
      <c r="O293" s="27"/>
      <c r="P293" s="27">
        <v>1</v>
      </c>
      <c r="Q293" s="27"/>
      <c r="R293" s="27"/>
      <c r="S293" s="27"/>
      <c r="T293" s="27"/>
      <c r="U293" s="27"/>
      <c r="V293" s="27"/>
      <c r="W293" s="27"/>
      <c r="X293" s="27"/>
      <c r="Y293" s="27"/>
      <c r="Z293" s="27" t="s">
        <v>2079</v>
      </c>
      <c r="AA293" s="29">
        <v>150</v>
      </c>
      <c r="AB293" s="30">
        <f>AA293/0.0045</f>
        <v>33333.333333333336</v>
      </c>
      <c r="AC293" s="30">
        <f>AB293*0.089*24*365/10^6</f>
        <v>25.988</v>
      </c>
      <c r="AD293" s="30"/>
      <c r="AE293" s="30">
        <f>AB293</f>
        <v>33333.333333333336</v>
      </c>
      <c r="AF293" s="28" t="s">
        <v>2080</v>
      </c>
      <c r="AG293" s="28"/>
    </row>
    <row r="294" spans="1:33" ht="32.25" customHeight="1" x14ac:dyDescent="0.2">
      <c r="A294" s="27">
        <v>606</v>
      </c>
      <c r="B294" s="27" t="s">
        <v>3330</v>
      </c>
      <c r="C294" s="27" t="s">
        <v>980</v>
      </c>
      <c r="D294" s="27"/>
      <c r="E294" s="27"/>
      <c r="F294" s="27" t="s">
        <v>832</v>
      </c>
      <c r="G294" s="27" t="s">
        <v>758</v>
      </c>
      <c r="H294" s="27" t="s">
        <v>1406</v>
      </c>
      <c r="I294" s="27" t="s">
        <v>765</v>
      </c>
      <c r="J294" s="27"/>
      <c r="K294" s="27" t="s">
        <v>377</v>
      </c>
      <c r="L294" s="27"/>
      <c r="M294" s="27"/>
      <c r="N294" s="27"/>
      <c r="O294" s="27"/>
      <c r="P294" s="27">
        <v>1</v>
      </c>
      <c r="Q294" s="27"/>
      <c r="R294" s="27"/>
      <c r="S294" s="27"/>
      <c r="T294" s="27"/>
      <c r="U294" s="27"/>
      <c r="V294" s="27"/>
      <c r="W294" s="27"/>
      <c r="X294" s="27"/>
      <c r="Y294" s="27"/>
      <c r="Z294" s="27" t="s">
        <v>2021</v>
      </c>
      <c r="AA294" s="29">
        <v>100</v>
      </c>
      <c r="AB294" s="30">
        <f>AA294/0.0045</f>
        <v>22222.222222222223</v>
      </c>
      <c r="AC294" s="30">
        <f>AB294*0.089*24*365/10^6</f>
        <v>17.325333333333337</v>
      </c>
      <c r="AD294" s="30"/>
      <c r="AE294" s="30">
        <f>AB294</f>
        <v>22222.222222222223</v>
      </c>
      <c r="AF294" s="28" t="s">
        <v>2081</v>
      </c>
      <c r="AG294" s="28"/>
    </row>
    <row r="295" spans="1:33" ht="32.25" customHeight="1" x14ac:dyDescent="0.2">
      <c r="A295" s="27">
        <v>607</v>
      </c>
      <c r="B295" s="27" t="s">
        <v>2082</v>
      </c>
      <c r="C295" s="27" t="s">
        <v>980</v>
      </c>
      <c r="D295" s="27"/>
      <c r="E295" s="27"/>
      <c r="F295" s="27" t="s">
        <v>832</v>
      </c>
      <c r="G295" s="27" t="s">
        <v>758</v>
      </c>
      <c r="H295" s="27" t="s">
        <v>1406</v>
      </c>
      <c r="I295" s="27" t="s">
        <v>768</v>
      </c>
      <c r="J295" s="27" t="s">
        <v>865</v>
      </c>
      <c r="K295" s="27" t="s">
        <v>377</v>
      </c>
      <c r="L295" s="27"/>
      <c r="M295" s="27"/>
      <c r="N295" s="27"/>
      <c r="O295" s="27"/>
      <c r="P295" s="27">
        <v>1</v>
      </c>
      <c r="Q295" s="27">
        <v>1</v>
      </c>
      <c r="R295" s="27"/>
      <c r="S295" s="27"/>
      <c r="T295" s="27"/>
      <c r="U295" s="27"/>
      <c r="V295" s="27"/>
      <c r="W295" s="27"/>
      <c r="X295" s="27"/>
      <c r="Y295" s="27"/>
      <c r="Z295" s="27" t="s">
        <v>2021</v>
      </c>
      <c r="AA295" s="29">
        <v>68</v>
      </c>
      <c r="AB295" s="30">
        <f>AA295/0.0045</f>
        <v>15111.111111111113</v>
      </c>
      <c r="AC295" s="30">
        <f>AB295*0.089*24*365/10^6</f>
        <v>11.781226666666669</v>
      </c>
      <c r="AD295" s="30"/>
      <c r="AE295" s="30">
        <f>AB295</f>
        <v>15111.111111111113</v>
      </c>
      <c r="AF295" s="28" t="s">
        <v>2080</v>
      </c>
      <c r="AG295" s="28"/>
    </row>
    <row r="296" spans="1:33" ht="32.25" customHeight="1" x14ac:dyDescent="0.2">
      <c r="A296" s="27">
        <v>608</v>
      </c>
      <c r="B296" s="27" t="s">
        <v>2083</v>
      </c>
      <c r="C296" s="27" t="s">
        <v>980</v>
      </c>
      <c r="D296" s="27"/>
      <c r="E296" s="27"/>
      <c r="F296" s="27" t="s">
        <v>832</v>
      </c>
      <c r="G296" s="27" t="s">
        <v>758</v>
      </c>
      <c r="H296" s="27" t="s">
        <v>1406</v>
      </c>
      <c r="I296" s="27" t="s">
        <v>768</v>
      </c>
      <c r="J296" s="27" t="s">
        <v>865</v>
      </c>
      <c r="K296" s="27" t="s">
        <v>377</v>
      </c>
      <c r="L296" s="27"/>
      <c r="M296" s="27"/>
      <c r="N296" s="27"/>
      <c r="O296" s="27"/>
      <c r="P296" s="27"/>
      <c r="Q296" s="27"/>
      <c r="R296" s="27"/>
      <c r="S296" s="27">
        <v>1</v>
      </c>
      <c r="T296" s="27"/>
      <c r="U296" s="27"/>
      <c r="V296" s="27"/>
      <c r="W296" s="27"/>
      <c r="X296" s="27"/>
      <c r="Y296" s="27"/>
      <c r="Z296" s="27" t="s">
        <v>1902</v>
      </c>
      <c r="AA296" s="29">
        <v>50</v>
      </c>
      <c r="AB296" s="30">
        <f>AA296/0.0045</f>
        <v>11111.111111111111</v>
      </c>
      <c r="AC296" s="30">
        <f>AB296*0.089*24*365/10^6</f>
        <v>8.6626666666666683</v>
      </c>
      <c r="AD296" s="30"/>
      <c r="AE296" s="30">
        <f>AB296</f>
        <v>11111.111111111111</v>
      </c>
      <c r="AF296" s="28" t="s">
        <v>2080</v>
      </c>
      <c r="AG296" s="28"/>
    </row>
    <row r="297" spans="1:33" ht="32.25" customHeight="1" x14ac:dyDescent="0.2">
      <c r="A297" s="27">
        <v>609</v>
      </c>
      <c r="B297" s="27" t="s">
        <v>2084</v>
      </c>
      <c r="C297" s="27" t="s">
        <v>347</v>
      </c>
      <c r="D297" s="27">
        <v>2024</v>
      </c>
      <c r="E297" s="27"/>
      <c r="F297" s="27" t="s">
        <v>832</v>
      </c>
      <c r="G297" s="27" t="s">
        <v>758</v>
      </c>
      <c r="H297" s="27" t="s">
        <v>1406</v>
      </c>
      <c r="I297" s="27" t="s">
        <v>768</v>
      </c>
      <c r="J297" s="27" t="s">
        <v>863</v>
      </c>
      <c r="K297" s="27" t="s">
        <v>377</v>
      </c>
      <c r="L297" s="27"/>
      <c r="M297" s="27"/>
      <c r="N297" s="27"/>
      <c r="O297" s="27"/>
      <c r="P297" s="27"/>
      <c r="Q297" s="27"/>
      <c r="R297" s="27"/>
      <c r="S297" s="27"/>
      <c r="T297" s="27"/>
      <c r="U297" s="27">
        <v>1</v>
      </c>
      <c r="V297" s="27"/>
      <c r="W297" s="27"/>
      <c r="X297" s="27"/>
      <c r="Y297" s="27"/>
      <c r="Z297" s="27" t="s">
        <v>1902</v>
      </c>
      <c r="AA297" s="29">
        <v>5</v>
      </c>
      <c r="AB297" s="30">
        <f>AA297/0.0045</f>
        <v>1111.1111111111111</v>
      </c>
      <c r="AC297" s="30">
        <f>AB297*0.089*24*365/10^6</f>
        <v>0.86626666666666652</v>
      </c>
      <c r="AD297" s="30"/>
      <c r="AE297" s="30">
        <f>AB297</f>
        <v>1111.1111111111111</v>
      </c>
      <c r="AF297" s="28" t="s">
        <v>3167</v>
      </c>
      <c r="AG297" s="28"/>
    </row>
    <row r="298" spans="1:33" ht="32.25" customHeight="1" x14ac:dyDescent="0.2">
      <c r="A298" s="27">
        <v>610</v>
      </c>
      <c r="B298" s="27" t="s">
        <v>3322</v>
      </c>
      <c r="C298" s="27" t="s">
        <v>336</v>
      </c>
      <c r="D298" s="27"/>
      <c r="E298" s="27"/>
      <c r="F298" s="27" t="s">
        <v>832</v>
      </c>
      <c r="G298" s="27" t="s">
        <v>758</v>
      </c>
      <c r="H298" s="27" t="s">
        <v>1406</v>
      </c>
      <c r="I298" s="27" t="s">
        <v>768</v>
      </c>
      <c r="J298" s="27" t="s">
        <v>861</v>
      </c>
      <c r="K298" s="27" t="s">
        <v>740</v>
      </c>
      <c r="L298" s="27"/>
      <c r="M298" s="27">
        <v>1</v>
      </c>
      <c r="N298" s="27"/>
      <c r="O298" s="27"/>
      <c r="P298" s="27"/>
      <c r="Q298" s="27"/>
      <c r="R298" s="27"/>
      <c r="S298" s="27"/>
      <c r="T298" s="27"/>
      <c r="U298" s="27"/>
      <c r="V298" s="27"/>
      <c r="W298" s="27"/>
      <c r="X298" s="27"/>
      <c r="Y298" s="27"/>
      <c r="Z298" s="27" t="s">
        <v>1702</v>
      </c>
      <c r="AA298" s="29">
        <v>30</v>
      </c>
      <c r="AB298" s="30">
        <f>AA298/0.0045</f>
        <v>6666.666666666667</v>
      </c>
      <c r="AC298" s="30">
        <f>AB298*0.089*24*365/10^6</f>
        <v>5.1976000000000004</v>
      </c>
      <c r="AD298" s="30"/>
      <c r="AE298" s="30">
        <f>AB298</f>
        <v>6666.666666666667</v>
      </c>
      <c r="AF298" s="28" t="s">
        <v>2085</v>
      </c>
      <c r="AG298" s="28"/>
    </row>
    <row r="299" spans="1:33" ht="32.25" customHeight="1" x14ac:dyDescent="0.2">
      <c r="A299" s="27">
        <v>611</v>
      </c>
      <c r="B299" s="27" t="s">
        <v>2086</v>
      </c>
      <c r="C299" s="27" t="s">
        <v>347</v>
      </c>
      <c r="D299" s="27">
        <v>2024</v>
      </c>
      <c r="E299" s="27"/>
      <c r="F299" s="27" t="s">
        <v>832</v>
      </c>
      <c r="G299" s="27" t="s">
        <v>758</v>
      </c>
      <c r="H299" s="27" t="s">
        <v>1406</v>
      </c>
      <c r="I299" s="27" t="s">
        <v>768</v>
      </c>
      <c r="J299" s="27" t="s">
        <v>863</v>
      </c>
      <c r="K299" s="27" t="s">
        <v>377</v>
      </c>
      <c r="L299" s="27"/>
      <c r="M299" s="27"/>
      <c r="N299" s="27"/>
      <c r="O299" s="27"/>
      <c r="P299" s="27"/>
      <c r="Q299" s="27"/>
      <c r="R299" s="27">
        <v>1</v>
      </c>
      <c r="S299" s="27">
        <v>1</v>
      </c>
      <c r="T299" s="27"/>
      <c r="U299" s="27"/>
      <c r="V299" s="27"/>
      <c r="W299" s="27"/>
      <c r="X299" s="27"/>
      <c r="Y299" s="27"/>
      <c r="Z299" s="27" t="s">
        <v>1407</v>
      </c>
      <c r="AA299" s="29">
        <v>10</v>
      </c>
      <c r="AB299" s="30">
        <f>AA299/0.0045</f>
        <v>2222.2222222222222</v>
      </c>
      <c r="AC299" s="30">
        <f>AB299*0.089*24*365/10^6</f>
        <v>1.732533333333333</v>
      </c>
      <c r="AD299" s="30"/>
      <c r="AE299" s="30">
        <f>AB299</f>
        <v>2222.2222222222222</v>
      </c>
      <c r="AF299" s="28" t="s">
        <v>3166</v>
      </c>
      <c r="AG299" s="28"/>
    </row>
    <row r="300" spans="1:33" ht="32.25" customHeight="1" x14ac:dyDescent="0.2">
      <c r="A300" s="27">
        <v>612</v>
      </c>
      <c r="B300" s="27" t="s">
        <v>3164</v>
      </c>
      <c r="C300" s="27" t="s">
        <v>347</v>
      </c>
      <c r="D300" s="27">
        <v>2025</v>
      </c>
      <c r="E300" s="27"/>
      <c r="F300" s="27" t="s">
        <v>832</v>
      </c>
      <c r="G300" s="27" t="s">
        <v>758</v>
      </c>
      <c r="H300" s="27" t="s">
        <v>1406</v>
      </c>
      <c r="I300" s="27" t="s">
        <v>768</v>
      </c>
      <c r="J300" s="27" t="s">
        <v>863</v>
      </c>
      <c r="K300" s="27" t="s">
        <v>740</v>
      </c>
      <c r="L300" s="27"/>
      <c r="M300" s="27">
        <v>1</v>
      </c>
      <c r="N300" s="27"/>
      <c r="O300" s="27"/>
      <c r="P300" s="27"/>
      <c r="Q300" s="27"/>
      <c r="R300" s="27"/>
      <c r="S300" s="27"/>
      <c r="T300" s="27"/>
      <c r="U300" s="27"/>
      <c r="V300" s="27"/>
      <c r="W300" s="27"/>
      <c r="X300" s="27"/>
      <c r="Y300" s="27"/>
      <c r="Z300" s="27" t="s">
        <v>2087</v>
      </c>
      <c r="AA300" s="29">
        <v>100</v>
      </c>
      <c r="AB300" s="30">
        <f>AA300/0.0045</f>
        <v>22222.222222222223</v>
      </c>
      <c r="AC300" s="30">
        <f>AB300*0.089*24*365/10^6</f>
        <v>17.325333333333337</v>
      </c>
      <c r="AD300" s="30"/>
      <c r="AE300" s="30">
        <f>AB300</f>
        <v>22222.222222222223</v>
      </c>
      <c r="AF300" s="28" t="s">
        <v>3165</v>
      </c>
      <c r="AG300" s="74" t="s">
        <v>3952</v>
      </c>
    </row>
    <row r="301" spans="1:33" ht="32.25" customHeight="1" x14ac:dyDescent="0.2">
      <c r="A301" s="27">
        <v>613</v>
      </c>
      <c r="B301" s="27" t="s">
        <v>2088</v>
      </c>
      <c r="C301" s="27" t="s">
        <v>338</v>
      </c>
      <c r="D301" s="27"/>
      <c r="E301" s="27"/>
      <c r="F301" s="27" t="s">
        <v>1336</v>
      </c>
      <c r="G301" s="27" t="s">
        <v>758</v>
      </c>
      <c r="H301" s="27" t="s">
        <v>1406</v>
      </c>
      <c r="I301" s="27" t="s">
        <v>768</v>
      </c>
      <c r="J301" s="27" t="s">
        <v>861</v>
      </c>
      <c r="K301" s="27" t="s">
        <v>377</v>
      </c>
      <c r="L301" s="27"/>
      <c r="M301" s="27"/>
      <c r="N301" s="27"/>
      <c r="O301" s="27"/>
      <c r="P301" s="27"/>
      <c r="Q301" s="27"/>
      <c r="R301" s="27"/>
      <c r="S301" s="27"/>
      <c r="T301" s="27"/>
      <c r="U301" s="27"/>
      <c r="V301" s="27"/>
      <c r="W301" s="27"/>
      <c r="X301" s="27"/>
      <c r="Y301" s="27"/>
      <c r="Z301" s="27"/>
      <c r="AA301" s="29"/>
      <c r="AB301" s="30"/>
      <c r="AC301" s="30"/>
      <c r="AD301" s="30"/>
      <c r="AE301" s="30"/>
      <c r="AF301" s="28" t="s">
        <v>2089</v>
      </c>
      <c r="AG301" s="28"/>
    </row>
    <row r="302" spans="1:33" ht="32.25" customHeight="1" x14ac:dyDescent="0.2">
      <c r="A302" s="27">
        <v>614</v>
      </c>
      <c r="B302" s="27" t="s">
        <v>2090</v>
      </c>
      <c r="C302" s="27" t="s">
        <v>347</v>
      </c>
      <c r="D302" s="27">
        <v>2030</v>
      </c>
      <c r="E302" s="27"/>
      <c r="F302" s="27" t="s">
        <v>832</v>
      </c>
      <c r="G302" s="27" t="s">
        <v>758</v>
      </c>
      <c r="H302" s="27" t="s">
        <v>1406</v>
      </c>
      <c r="I302" s="27" t="s">
        <v>768</v>
      </c>
      <c r="J302" s="27" t="s">
        <v>862</v>
      </c>
      <c r="K302" s="27" t="s">
        <v>377</v>
      </c>
      <c r="L302" s="27"/>
      <c r="M302" s="27"/>
      <c r="N302" s="27"/>
      <c r="O302" s="27"/>
      <c r="P302" s="27">
        <v>1</v>
      </c>
      <c r="Q302" s="27">
        <v>1</v>
      </c>
      <c r="R302" s="27">
        <v>1</v>
      </c>
      <c r="S302" s="27">
        <v>1</v>
      </c>
      <c r="T302" s="27"/>
      <c r="U302" s="27"/>
      <c r="V302" s="27"/>
      <c r="W302" s="27"/>
      <c r="X302" s="27"/>
      <c r="Y302" s="27"/>
      <c r="Z302" s="27" t="s">
        <v>2021</v>
      </c>
      <c r="AA302" s="29">
        <v>95</v>
      </c>
      <c r="AB302" s="30">
        <f>AA302/0.0045</f>
        <v>21111.111111111113</v>
      </c>
      <c r="AC302" s="30">
        <f>AB302*0.089*24*365/10^6</f>
        <v>16.459066666666669</v>
      </c>
      <c r="AD302" s="30"/>
      <c r="AE302" s="30">
        <f>AB302</f>
        <v>21111.111111111113</v>
      </c>
      <c r="AF302" s="28" t="s">
        <v>2056</v>
      </c>
      <c r="AG302" s="28"/>
    </row>
    <row r="303" spans="1:33" ht="32.25" customHeight="1" x14ac:dyDescent="0.2">
      <c r="A303" s="27">
        <v>615</v>
      </c>
      <c r="B303" s="27" t="s">
        <v>2876</v>
      </c>
      <c r="C303" s="27" t="s">
        <v>331</v>
      </c>
      <c r="D303" s="27">
        <v>2021</v>
      </c>
      <c r="E303" s="27"/>
      <c r="F303" s="27" t="s">
        <v>836</v>
      </c>
      <c r="G303" s="27" t="s">
        <v>268</v>
      </c>
      <c r="H303" s="27"/>
      <c r="I303" s="27" t="s">
        <v>768</v>
      </c>
      <c r="J303" s="27" t="s">
        <v>378</v>
      </c>
      <c r="K303" s="27" t="s">
        <v>377</v>
      </c>
      <c r="L303" s="27"/>
      <c r="M303" s="27"/>
      <c r="N303" s="27"/>
      <c r="O303" s="27"/>
      <c r="P303" s="27"/>
      <c r="Q303" s="27">
        <v>1</v>
      </c>
      <c r="R303" s="27"/>
      <c r="S303" s="27"/>
      <c r="T303" s="27"/>
      <c r="U303" s="27"/>
      <c r="V303" s="27"/>
      <c r="W303" s="27"/>
      <c r="X303" s="27"/>
      <c r="Y303" s="27"/>
      <c r="Z303" s="27" t="s">
        <v>3343</v>
      </c>
      <c r="AA303" s="29">
        <v>1</v>
      </c>
      <c r="AB303" s="50">
        <f>AC303/(0.089*24*365/10^6)</f>
        <v>140.44943820224717</v>
      </c>
      <c r="AC303" s="30">
        <f>300*365/1000000</f>
        <v>0.1095</v>
      </c>
      <c r="AD303" s="30"/>
      <c r="AE303" s="30">
        <f>AB303</f>
        <v>140.44943820224717</v>
      </c>
      <c r="AF303" s="28" t="s">
        <v>3345</v>
      </c>
      <c r="AG303" s="28"/>
    </row>
    <row r="304" spans="1:33" ht="32.25" customHeight="1" x14ac:dyDescent="0.2">
      <c r="A304" s="27">
        <v>616</v>
      </c>
      <c r="B304" s="27" t="s">
        <v>2877</v>
      </c>
      <c r="C304" s="27" t="s">
        <v>331</v>
      </c>
      <c r="D304" s="27"/>
      <c r="E304" s="27"/>
      <c r="F304" s="27" t="s">
        <v>753</v>
      </c>
      <c r="G304" s="27" t="s">
        <v>758</v>
      </c>
      <c r="H304" s="27" t="s">
        <v>1406</v>
      </c>
      <c r="I304" s="27" t="s">
        <v>768</v>
      </c>
      <c r="J304" s="27" t="s">
        <v>378</v>
      </c>
      <c r="K304" s="27" t="s">
        <v>377</v>
      </c>
      <c r="L304" s="27"/>
      <c r="M304" s="27"/>
      <c r="N304" s="27"/>
      <c r="O304" s="27"/>
      <c r="P304" s="27"/>
      <c r="Q304" s="27">
        <v>1</v>
      </c>
      <c r="R304" s="27"/>
      <c r="S304" s="27"/>
      <c r="T304" s="27"/>
      <c r="U304" s="27"/>
      <c r="V304" s="27"/>
      <c r="W304" s="27"/>
      <c r="X304" s="27"/>
      <c r="Y304" s="27"/>
      <c r="Z304" s="27" t="s">
        <v>2091</v>
      </c>
      <c r="AA304" s="29">
        <f>60-0.69</f>
        <v>59.31</v>
      </c>
      <c r="AB304" s="30">
        <f>AA304/0.0046</f>
        <v>12893.478260869566</v>
      </c>
      <c r="AC304" s="30">
        <f>AB304*0.089*24*365/10^6</f>
        <v>10.052271391304348</v>
      </c>
      <c r="AD304" s="30"/>
      <c r="AE304" s="30">
        <f>AB304</f>
        <v>12893.478260869566</v>
      </c>
      <c r="AF304" s="28" t="s">
        <v>2878</v>
      </c>
      <c r="AG304" s="28"/>
    </row>
    <row r="305" spans="1:33" ht="32.25" customHeight="1" x14ac:dyDescent="0.2">
      <c r="A305" s="27">
        <v>617</v>
      </c>
      <c r="B305" s="27" t="s">
        <v>2092</v>
      </c>
      <c r="C305" s="27" t="s">
        <v>355</v>
      </c>
      <c r="D305" s="27">
        <v>2010</v>
      </c>
      <c r="E305" s="27">
        <v>2012</v>
      </c>
      <c r="F305" s="27" t="s">
        <v>916</v>
      </c>
      <c r="G305" s="27" t="s">
        <v>268</v>
      </c>
      <c r="H305" s="27"/>
      <c r="I305" s="27" t="s">
        <v>756</v>
      </c>
      <c r="J305" s="27"/>
      <c r="K305" s="27" t="s">
        <v>377</v>
      </c>
      <c r="L305" s="27"/>
      <c r="M305" s="27"/>
      <c r="N305" s="27"/>
      <c r="O305" s="27"/>
      <c r="P305" s="27"/>
      <c r="Q305" s="27"/>
      <c r="R305" s="27">
        <v>1</v>
      </c>
      <c r="S305" s="27"/>
      <c r="T305" s="27">
        <v>1</v>
      </c>
      <c r="U305" s="27"/>
      <c r="V305" s="27"/>
      <c r="W305" s="27"/>
      <c r="X305" s="27"/>
      <c r="Y305" s="27"/>
      <c r="Z305" s="27" t="s">
        <v>1609</v>
      </c>
      <c r="AA305" s="29">
        <f>AB305*0.0046</f>
        <v>1.84E-2</v>
      </c>
      <c r="AB305" s="30">
        <v>4</v>
      </c>
      <c r="AC305" s="30">
        <f>AB305*0.089*24*365/10^6</f>
        <v>3.1185600000000003E-3</v>
      </c>
      <c r="AD305" s="30"/>
      <c r="AE305" s="30">
        <f>AB305</f>
        <v>4</v>
      </c>
      <c r="AF305" s="28" t="s">
        <v>2093</v>
      </c>
      <c r="AG305" s="28"/>
    </row>
    <row r="306" spans="1:33" ht="32.25" customHeight="1" x14ac:dyDescent="0.2">
      <c r="A306" s="27">
        <v>618</v>
      </c>
      <c r="B306" s="27" t="s">
        <v>3291</v>
      </c>
      <c r="C306" s="27" t="s">
        <v>980</v>
      </c>
      <c r="D306" s="27"/>
      <c r="E306" s="27"/>
      <c r="F306" s="27" t="s">
        <v>832</v>
      </c>
      <c r="G306" s="27" t="s">
        <v>758</v>
      </c>
      <c r="H306" s="27" t="s">
        <v>1406</v>
      </c>
      <c r="I306" s="27" t="s">
        <v>768</v>
      </c>
      <c r="J306" s="27" t="s">
        <v>863</v>
      </c>
      <c r="K306" s="27" t="s">
        <v>377</v>
      </c>
      <c r="L306" s="27"/>
      <c r="M306" s="27"/>
      <c r="N306" s="27"/>
      <c r="O306" s="27"/>
      <c r="P306" s="27"/>
      <c r="Q306" s="27">
        <v>1</v>
      </c>
      <c r="R306" s="27"/>
      <c r="S306" s="27"/>
      <c r="T306" s="27"/>
      <c r="U306" s="27"/>
      <c r="V306" s="27"/>
      <c r="W306" s="27"/>
      <c r="X306" s="27"/>
      <c r="Y306" s="27"/>
      <c r="Z306" s="27" t="s">
        <v>2021</v>
      </c>
      <c r="AA306" s="29">
        <v>100</v>
      </c>
      <c r="AB306" s="30">
        <f>AA306/0.0045</f>
        <v>22222.222222222223</v>
      </c>
      <c r="AC306" s="30">
        <f>AB306*0.089*24*365/10^6</f>
        <v>17.325333333333337</v>
      </c>
      <c r="AD306" s="30"/>
      <c r="AE306" s="30">
        <f>AB306</f>
        <v>22222.222222222223</v>
      </c>
      <c r="AF306" s="28" t="s">
        <v>2094</v>
      </c>
      <c r="AG306" s="28"/>
    </row>
    <row r="307" spans="1:33" ht="32.25" customHeight="1" x14ac:dyDescent="0.2">
      <c r="A307" s="27">
        <v>619</v>
      </c>
      <c r="B307" s="27" t="s">
        <v>2095</v>
      </c>
      <c r="C307" s="27" t="s">
        <v>980</v>
      </c>
      <c r="D307" s="27">
        <v>2011</v>
      </c>
      <c r="E307" s="27">
        <v>2014</v>
      </c>
      <c r="F307" s="27" t="s">
        <v>916</v>
      </c>
      <c r="G307" s="27" t="s">
        <v>268</v>
      </c>
      <c r="H307" s="27"/>
      <c r="I307" s="27" t="s">
        <v>911</v>
      </c>
      <c r="J307" s="27"/>
      <c r="K307" s="27" t="s">
        <v>377</v>
      </c>
      <c r="L307" s="27"/>
      <c r="M307" s="27"/>
      <c r="N307" s="27"/>
      <c r="O307" s="27"/>
      <c r="P307" s="27"/>
      <c r="Q307" s="27"/>
      <c r="R307" s="27">
        <v>1</v>
      </c>
      <c r="S307" s="27"/>
      <c r="T307" s="27"/>
      <c r="U307" s="27"/>
      <c r="V307" s="27"/>
      <c r="W307" s="27"/>
      <c r="X307" s="27"/>
      <c r="Y307" s="27"/>
      <c r="Z307" s="27" t="s">
        <v>2096</v>
      </c>
      <c r="AA307" s="29">
        <v>2.6</v>
      </c>
      <c r="AB307" s="30">
        <f>AA307/0.0046</f>
        <v>565.21739130434787</v>
      </c>
      <c r="AC307" s="30">
        <f>AB307*0.089*24*365/10^6</f>
        <v>0.44066608695652171</v>
      </c>
      <c r="AD307" s="30"/>
      <c r="AE307" s="30">
        <f>AB307</f>
        <v>565.21739130434787</v>
      </c>
      <c r="AF307" s="28" t="s">
        <v>2097</v>
      </c>
      <c r="AG307" s="28"/>
    </row>
    <row r="308" spans="1:33" ht="32.25" customHeight="1" x14ac:dyDescent="0.2">
      <c r="A308" s="27">
        <v>620</v>
      </c>
      <c r="B308" s="27" t="s">
        <v>2098</v>
      </c>
      <c r="C308" s="27" t="s">
        <v>977</v>
      </c>
      <c r="D308" s="27"/>
      <c r="E308" s="27"/>
      <c r="F308" s="27" t="s">
        <v>832</v>
      </c>
      <c r="G308" s="27" t="s">
        <v>266</v>
      </c>
      <c r="H308" s="27"/>
      <c r="I308" s="27" t="s">
        <v>768</v>
      </c>
      <c r="J308" s="27" t="s">
        <v>865</v>
      </c>
      <c r="K308" s="27" t="s">
        <v>766</v>
      </c>
      <c r="L308" s="27"/>
      <c r="M308" s="27"/>
      <c r="N308" s="27"/>
      <c r="O308" s="27"/>
      <c r="P308" s="27"/>
      <c r="Q308" s="27"/>
      <c r="R308" s="27"/>
      <c r="S308" s="27"/>
      <c r="T308" s="27"/>
      <c r="U308" s="27"/>
      <c r="V308" s="27"/>
      <c r="W308" s="27">
        <v>1</v>
      </c>
      <c r="X308" s="27"/>
      <c r="Y308" s="27"/>
      <c r="Z308" s="27" t="s">
        <v>2099</v>
      </c>
      <c r="AA308" s="29">
        <f>AB308*0.0052</f>
        <v>34.262388752659284</v>
      </c>
      <c r="AB308" s="30">
        <f>AC308/(0.089*24*365/10^6)</f>
        <v>6588.9209139729392</v>
      </c>
      <c r="AC308" s="30">
        <f>10*0.045/0.73/0.12</f>
        <v>5.1369863013698627</v>
      </c>
      <c r="AD308" s="30"/>
      <c r="AE308" s="30">
        <f>AB308</f>
        <v>6588.9209139729392</v>
      </c>
      <c r="AF308" s="28" t="s">
        <v>2100</v>
      </c>
      <c r="AG308" s="28"/>
    </row>
    <row r="309" spans="1:33" ht="32.25" customHeight="1" x14ac:dyDescent="0.2">
      <c r="A309" s="27">
        <v>621</v>
      </c>
      <c r="B309" s="27" t="s">
        <v>2101</v>
      </c>
      <c r="C309" s="27" t="s">
        <v>977</v>
      </c>
      <c r="D309" s="27">
        <v>2024</v>
      </c>
      <c r="E309" s="27"/>
      <c r="F309" s="27" t="s">
        <v>832</v>
      </c>
      <c r="G309" s="27" t="s">
        <v>758</v>
      </c>
      <c r="H309" s="27" t="s">
        <v>1406</v>
      </c>
      <c r="I309" s="27" t="s">
        <v>911</v>
      </c>
      <c r="J309" s="27"/>
      <c r="K309" s="27" t="s">
        <v>377</v>
      </c>
      <c r="L309" s="27"/>
      <c r="M309" s="27"/>
      <c r="N309" s="27"/>
      <c r="O309" s="27"/>
      <c r="P309" s="27"/>
      <c r="Q309" s="27"/>
      <c r="R309" s="27">
        <v>1</v>
      </c>
      <c r="S309" s="27"/>
      <c r="T309" s="27"/>
      <c r="U309" s="27"/>
      <c r="V309" s="27"/>
      <c r="W309" s="27"/>
      <c r="X309" s="27"/>
      <c r="Y309" s="27"/>
      <c r="Z309" s="27" t="s">
        <v>2102</v>
      </c>
      <c r="AA309" s="29">
        <v>15</v>
      </c>
      <c r="AB309" s="30">
        <f>AA309/0.0045</f>
        <v>3333.3333333333335</v>
      </c>
      <c r="AC309" s="30">
        <f>AB309*0.089*24*365/10^6</f>
        <v>2.5988000000000002</v>
      </c>
      <c r="AD309" s="30"/>
      <c r="AE309" s="30">
        <f>AB309</f>
        <v>3333.3333333333335</v>
      </c>
      <c r="AF309" s="28" t="s">
        <v>2100</v>
      </c>
      <c r="AG309" s="28"/>
    </row>
    <row r="310" spans="1:33" ht="32.25" customHeight="1" x14ac:dyDescent="0.2">
      <c r="A310" s="27">
        <v>622</v>
      </c>
      <c r="B310" s="27" t="s">
        <v>2879</v>
      </c>
      <c r="C310" s="27" t="s">
        <v>804</v>
      </c>
      <c r="D310" s="27">
        <v>2024</v>
      </c>
      <c r="E310" s="27"/>
      <c r="F310" s="27" t="s">
        <v>832</v>
      </c>
      <c r="G310" s="27" t="s">
        <v>758</v>
      </c>
      <c r="H310" s="27" t="s">
        <v>1406</v>
      </c>
      <c r="I310" s="27" t="s">
        <v>911</v>
      </c>
      <c r="J310" s="27"/>
      <c r="K310" s="27" t="s">
        <v>377</v>
      </c>
      <c r="L310" s="27">
        <v>1</v>
      </c>
      <c r="M310" s="27"/>
      <c r="N310" s="27"/>
      <c r="O310" s="27"/>
      <c r="P310" s="27"/>
      <c r="Q310" s="27"/>
      <c r="R310" s="27"/>
      <c r="S310" s="27"/>
      <c r="T310" s="27"/>
      <c r="U310" s="27"/>
      <c r="V310" s="27"/>
      <c r="W310" s="27"/>
      <c r="X310" s="27"/>
      <c r="Y310" s="27"/>
      <c r="Z310" s="27" t="s">
        <v>1902</v>
      </c>
      <c r="AA310" s="29">
        <v>50</v>
      </c>
      <c r="AB310" s="30">
        <f>AA310/0.0045</f>
        <v>11111.111111111111</v>
      </c>
      <c r="AC310" s="30">
        <f>AB310*0.089*24*365/10^6</f>
        <v>8.6626666666666683</v>
      </c>
      <c r="AD310" s="30"/>
      <c r="AE310" s="30">
        <f>AB310</f>
        <v>11111.111111111111</v>
      </c>
      <c r="AF310" s="28" t="s">
        <v>2103</v>
      </c>
      <c r="AG310" s="28"/>
    </row>
    <row r="311" spans="1:33" ht="32.25" customHeight="1" x14ac:dyDescent="0.2">
      <c r="A311" s="92">
        <v>623</v>
      </c>
      <c r="B311" s="27" t="s">
        <v>2104</v>
      </c>
      <c r="C311" s="27" t="s">
        <v>804</v>
      </c>
      <c r="D311" s="27">
        <v>2022</v>
      </c>
      <c r="E311" s="27"/>
      <c r="F311" s="27" t="s">
        <v>754</v>
      </c>
      <c r="G311" s="27" t="s">
        <v>266</v>
      </c>
      <c r="H311" s="27"/>
      <c r="I311" s="27" t="s">
        <v>768</v>
      </c>
      <c r="J311" s="27" t="s">
        <v>865</v>
      </c>
      <c r="K311" s="27" t="s">
        <v>377</v>
      </c>
      <c r="L311" s="27"/>
      <c r="M311" s="27"/>
      <c r="N311" s="27"/>
      <c r="O311" s="27"/>
      <c r="P311" s="27">
        <v>1</v>
      </c>
      <c r="Q311" s="27">
        <v>1</v>
      </c>
      <c r="R311" s="27"/>
      <c r="S311" s="27"/>
      <c r="T311" s="27"/>
      <c r="U311" s="27"/>
      <c r="V311" s="27"/>
      <c r="W311" s="27"/>
      <c r="X311" s="27"/>
      <c r="Y311" s="27"/>
      <c r="Z311" s="27" t="s">
        <v>3310</v>
      </c>
      <c r="AA311" s="98">
        <v>8.75</v>
      </c>
      <c r="AB311" s="30">
        <f>AA311/0.0052</f>
        <v>1682.6923076923078</v>
      </c>
      <c r="AC311" s="30">
        <f>AB311*0.089*24*365/10^6</f>
        <v>1.311894230769231</v>
      </c>
      <c r="AD311" s="30"/>
      <c r="AE311" s="30">
        <f>AB311</f>
        <v>1682.6923076923078</v>
      </c>
      <c r="AF311" s="28" t="s">
        <v>3309</v>
      </c>
      <c r="AG311" s="74" t="s">
        <v>4099</v>
      </c>
    </row>
    <row r="312" spans="1:33" ht="32.25" customHeight="1" x14ac:dyDescent="0.2">
      <c r="A312" s="27">
        <v>624</v>
      </c>
      <c r="B312" s="27" t="s">
        <v>2107</v>
      </c>
      <c r="C312" s="27" t="s">
        <v>804</v>
      </c>
      <c r="D312" s="27"/>
      <c r="E312" s="27"/>
      <c r="F312" s="27" t="s">
        <v>1336</v>
      </c>
      <c r="G312" s="27" t="s">
        <v>266</v>
      </c>
      <c r="H312" s="27"/>
      <c r="I312" s="27" t="s">
        <v>768</v>
      </c>
      <c r="J312" s="27" t="s">
        <v>865</v>
      </c>
      <c r="K312" s="27" t="s">
        <v>377</v>
      </c>
      <c r="L312" s="27"/>
      <c r="M312" s="27"/>
      <c r="N312" s="27"/>
      <c r="O312" s="27"/>
      <c r="P312" s="27">
        <v>1</v>
      </c>
      <c r="Q312" s="27">
        <v>1</v>
      </c>
      <c r="R312" s="27"/>
      <c r="S312" s="27"/>
      <c r="T312" s="27"/>
      <c r="U312" s="27"/>
      <c r="V312" s="27"/>
      <c r="W312" s="27"/>
      <c r="X312" s="27"/>
      <c r="Y312" s="27"/>
      <c r="Z312" s="27" t="s">
        <v>2108</v>
      </c>
      <c r="AA312" s="29">
        <f>AB312*0.0052</f>
        <v>13.339490021035349</v>
      </c>
      <c r="AB312" s="30">
        <f>AC312/(0.089*24*365/10^6)</f>
        <v>2565.286542506798</v>
      </c>
      <c r="AC312" s="30">
        <v>2</v>
      </c>
      <c r="AD312" s="30"/>
      <c r="AE312" s="30">
        <f>AB312</f>
        <v>2565.286542506798</v>
      </c>
      <c r="AF312" s="28" t="s">
        <v>2106</v>
      </c>
      <c r="AG312" s="28"/>
    </row>
    <row r="313" spans="1:33" ht="32.25" customHeight="1" x14ac:dyDescent="0.2">
      <c r="A313" s="27">
        <v>625</v>
      </c>
      <c r="B313" s="27" t="s">
        <v>2109</v>
      </c>
      <c r="C313" s="27" t="s">
        <v>980</v>
      </c>
      <c r="D313" s="27">
        <v>2024</v>
      </c>
      <c r="E313" s="27"/>
      <c r="F313" s="27" t="s">
        <v>753</v>
      </c>
      <c r="G313" s="27" t="s">
        <v>758</v>
      </c>
      <c r="H313" s="27" t="s">
        <v>1406</v>
      </c>
      <c r="I313" s="27" t="s">
        <v>768</v>
      </c>
      <c r="J313" s="27" t="s">
        <v>865</v>
      </c>
      <c r="K313" s="27" t="s">
        <v>766</v>
      </c>
      <c r="L313" s="27"/>
      <c r="M313" s="27"/>
      <c r="N313" s="27"/>
      <c r="O313" s="27"/>
      <c r="P313" s="27"/>
      <c r="Q313" s="27"/>
      <c r="R313" s="27"/>
      <c r="S313" s="27"/>
      <c r="T313" s="27"/>
      <c r="U313" s="27"/>
      <c r="V313" s="27"/>
      <c r="W313" s="27">
        <v>1</v>
      </c>
      <c r="X313" s="27"/>
      <c r="Y313" s="27"/>
      <c r="Z313" s="27" t="s">
        <v>1407</v>
      </c>
      <c r="AA313" s="30">
        <v>10</v>
      </c>
      <c r="AB313" s="30">
        <f>AA313/0.0045</f>
        <v>2222.2222222222222</v>
      </c>
      <c r="AC313" s="30">
        <f>AB313*0.089*24*365/10^6</f>
        <v>1.732533333333333</v>
      </c>
      <c r="AD313" s="30"/>
      <c r="AE313" s="30">
        <f>AB313</f>
        <v>2222.2222222222222</v>
      </c>
      <c r="AF313" s="28" t="s">
        <v>2110</v>
      </c>
      <c r="AG313" s="28"/>
    </row>
    <row r="314" spans="1:33" ht="32.25" customHeight="1" x14ac:dyDescent="0.2">
      <c r="A314" s="27">
        <v>626</v>
      </c>
      <c r="B314" s="27" t="s">
        <v>1531</v>
      </c>
      <c r="C314" s="27" t="s">
        <v>339</v>
      </c>
      <c r="D314" s="27">
        <v>2019</v>
      </c>
      <c r="E314" s="27"/>
      <c r="F314" s="27" t="s">
        <v>836</v>
      </c>
      <c r="G314" s="27" t="s">
        <v>758</v>
      </c>
      <c r="H314" s="27" t="s">
        <v>1406</v>
      </c>
      <c r="I314" s="27" t="s">
        <v>911</v>
      </c>
      <c r="J314" s="27"/>
      <c r="K314" s="27" t="s">
        <v>396</v>
      </c>
      <c r="L314" s="27"/>
      <c r="M314" s="27"/>
      <c r="N314" s="27"/>
      <c r="O314" s="27"/>
      <c r="P314" s="27"/>
      <c r="Q314" s="27"/>
      <c r="R314" s="27"/>
      <c r="S314" s="27"/>
      <c r="T314" s="27"/>
      <c r="U314" s="27"/>
      <c r="V314" s="27"/>
      <c r="W314" s="27"/>
      <c r="X314" s="27"/>
      <c r="Y314" s="27"/>
      <c r="Z314" s="27" t="s">
        <v>2111</v>
      </c>
      <c r="AA314" s="29">
        <f>AB314*0.0045</f>
        <v>7.1999999999999995E-2</v>
      </c>
      <c r="AB314" s="30">
        <v>16</v>
      </c>
      <c r="AC314" s="30">
        <f>AB314*0.089*24*365/10^6</f>
        <v>1.2474240000000001E-2</v>
      </c>
      <c r="AD314" s="30"/>
      <c r="AE314" s="30">
        <f>AB314</f>
        <v>16</v>
      </c>
      <c r="AF314" s="28" t="s">
        <v>2112</v>
      </c>
      <c r="AG314" s="28"/>
    </row>
    <row r="315" spans="1:33" ht="32.25" customHeight="1" x14ac:dyDescent="0.2">
      <c r="A315" s="27">
        <v>627</v>
      </c>
      <c r="B315" s="27" t="s">
        <v>2113</v>
      </c>
      <c r="C315" s="27" t="s">
        <v>352</v>
      </c>
      <c r="D315" s="27">
        <v>2011</v>
      </c>
      <c r="E315" s="27">
        <v>2013</v>
      </c>
      <c r="F315" s="27" t="s">
        <v>916</v>
      </c>
      <c r="G315" s="27" t="s">
        <v>268</v>
      </c>
      <c r="H315" s="27"/>
      <c r="I315" s="27" t="s">
        <v>911</v>
      </c>
      <c r="J315" s="27"/>
      <c r="K315" s="27" t="s">
        <v>377</v>
      </c>
      <c r="L315" s="27"/>
      <c r="M315" s="27"/>
      <c r="N315" s="27"/>
      <c r="O315" s="27"/>
      <c r="P315" s="27"/>
      <c r="Q315" s="27">
        <v>1</v>
      </c>
      <c r="R315" s="27">
        <v>1</v>
      </c>
      <c r="S315" s="27"/>
      <c r="T315" s="27"/>
      <c r="U315" s="27"/>
      <c r="V315" s="27"/>
      <c r="W315" s="27"/>
      <c r="X315" s="27"/>
      <c r="Y315" s="27"/>
      <c r="Z315" s="27" t="s">
        <v>1835</v>
      </c>
      <c r="AA315" s="29">
        <v>5.5E-2</v>
      </c>
      <c r="AB315" s="30">
        <f>AA315/0.0046</f>
        <v>11.956521739130435</v>
      </c>
      <c r="AC315" s="30">
        <f>AB315*0.089*24*365/10^6</f>
        <v>9.3217826086956519E-3</v>
      </c>
      <c r="AD315" s="30"/>
      <c r="AE315" s="30">
        <f>AB315</f>
        <v>11.956521739130435</v>
      </c>
      <c r="AF315" s="28" t="s">
        <v>2114</v>
      </c>
      <c r="AG315" s="28"/>
    </row>
    <row r="316" spans="1:33" ht="32.25" customHeight="1" x14ac:dyDescent="0.2">
      <c r="A316" s="27">
        <v>628</v>
      </c>
      <c r="B316" s="27" t="s">
        <v>1780</v>
      </c>
      <c r="C316" s="27" t="s">
        <v>354</v>
      </c>
      <c r="D316" s="27">
        <v>2011</v>
      </c>
      <c r="E316" s="27">
        <v>2014</v>
      </c>
      <c r="F316" s="27" t="s">
        <v>916</v>
      </c>
      <c r="G316" s="27" t="s">
        <v>268</v>
      </c>
      <c r="H316" s="27"/>
      <c r="I316" s="27" t="s">
        <v>911</v>
      </c>
      <c r="J316" s="27"/>
      <c r="K316" s="27" t="s">
        <v>377</v>
      </c>
      <c r="L316" s="27"/>
      <c r="M316" s="27"/>
      <c r="N316" s="27"/>
      <c r="O316" s="27"/>
      <c r="P316" s="27"/>
      <c r="Q316" s="27">
        <v>1</v>
      </c>
      <c r="R316" s="27">
        <v>1</v>
      </c>
      <c r="S316" s="27"/>
      <c r="T316" s="27"/>
      <c r="U316" s="27"/>
      <c r="V316" s="27"/>
      <c r="W316" s="27"/>
      <c r="X316" s="27"/>
      <c r="Y316" s="27"/>
      <c r="Z316" s="27" t="s">
        <v>1835</v>
      </c>
      <c r="AA316" s="29">
        <v>5.5E-2</v>
      </c>
      <c r="AB316" s="30">
        <f>AA316/0.0046</f>
        <v>11.956521739130435</v>
      </c>
      <c r="AC316" s="30">
        <f>AB316*0.089*24*365/10^6</f>
        <v>9.3217826086956519E-3</v>
      </c>
      <c r="AD316" s="30"/>
      <c r="AE316" s="30">
        <f>AB316</f>
        <v>11.956521739130435</v>
      </c>
      <c r="AF316" s="28" t="s">
        <v>2115</v>
      </c>
      <c r="AG316" s="28"/>
    </row>
    <row r="317" spans="1:33" ht="32.25" customHeight="1" x14ac:dyDescent="0.2">
      <c r="A317" s="27">
        <v>629</v>
      </c>
      <c r="B317" s="27" t="s">
        <v>2116</v>
      </c>
      <c r="C317" s="27" t="s">
        <v>347</v>
      </c>
      <c r="D317" s="27"/>
      <c r="E317" s="27"/>
      <c r="F317" s="27" t="s">
        <v>832</v>
      </c>
      <c r="G317" s="27" t="s">
        <v>758</v>
      </c>
      <c r="H317" s="27" t="s">
        <v>1406</v>
      </c>
      <c r="I317" s="27" t="s">
        <v>911</v>
      </c>
      <c r="J317" s="27"/>
      <c r="K317" s="27" t="s">
        <v>739</v>
      </c>
      <c r="L317" s="27"/>
      <c r="M317" s="27"/>
      <c r="N317" s="27">
        <v>1</v>
      </c>
      <c r="O317" s="27"/>
      <c r="P317" s="27"/>
      <c r="Q317" s="27"/>
      <c r="R317" s="27"/>
      <c r="S317" s="27"/>
      <c r="T317" s="27"/>
      <c r="U317" s="27"/>
      <c r="V317" s="27"/>
      <c r="W317" s="27"/>
      <c r="X317" s="27"/>
      <c r="Y317" s="27"/>
      <c r="Z317" s="27" t="s">
        <v>1977</v>
      </c>
      <c r="AA317" s="29">
        <v>5</v>
      </c>
      <c r="AB317" s="30">
        <f>AA317/0.0045</f>
        <v>1111.1111111111111</v>
      </c>
      <c r="AC317" s="30">
        <f>AB317*0.089*24*365/10^6</f>
        <v>0.86626666666666652</v>
      </c>
      <c r="AD317" s="30"/>
      <c r="AE317" s="30">
        <f>AB317</f>
        <v>1111.1111111111111</v>
      </c>
      <c r="AF317" s="28" t="s">
        <v>2117</v>
      </c>
      <c r="AG317" s="28"/>
    </row>
    <row r="318" spans="1:33" ht="32.25" customHeight="1" x14ac:dyDescent="0.2">
      <c r="A318" s="27">
        <v>630</v>
      </c>
      <c r="B318" s="27" t="s">
        <v>2118</v>
      </c>
      <c r="C318" s="27" t="s">
        <v>347</v>
      </c>
      <c r="D318" s="27">
        <v>2022</v>
      </c>
      <c r="E318" s="27"/>
      <c r="F318" s="27" t="s">
        <v>832</v>
      </c>
      <c r="G318" s="27" t="s">
        <v>758</v>
      </c>
      <c r="H318" s="27" t="s">
        <v>1406</v>
      </c>
      <c r="I318" s="27" t="s">
        <v>768</v>
      </c>
      <c r="J318" s="27" t="s">
        <v>861</v>
      </c>
      <c r="K318" s="27" t="s">
        <v>377</v>
      </c>
      <c r="L318" s="27"/>
      <c r="M318" s="27"/>
      <c r="N318" s="27"/>
      <c r="O318" s="27"/>
      <c r="P318" s="27"/>
      <c r="Q318" s="27">
        <v>1</v>
      </c>
      <c r="R318" s="27"/>
      <c r="S318" s="27">
        <v>1</v>
      </c>
      <c r="T318" s="27"/>
      <c r="U318" s="27"/>
      <c r="V318" s="27"/>
      <c r="W318" s="27"/>
      <c r="X318" s="27"/>
      <c r="Y318" s="27"/>
      <c r="Z318" s="27" t="s">
        <v>1977</v>
      </c>
      <c r="AA318" s="29">
        <v>5</v>
      </c>
      <c r="AB318" s="30">
        <f>AA318/0.0045</f>
        <v>1111.1111111111111</v>
      </c>
      <c r="AC318" s="30">
        <f>AB318*0.089*24*365/10^6</f>
        <v>0.86626666666666652</v>
      </c>
      <c r="AD318" s="30"/>
      <c r="AE318" s="30">
        <f>AB318</f>
        <v>1111.1111111111111</v>
      </c>
      <c r="AF318" s="28" t="s">
        <v>2117</v>
      </c>
      <c r="AG318" s="28"/>
    </row>
    <row r="319" spans="1:33" ht="32.25" customHeight="1" x14ac:dyDescent="0.2">
      <c r="A319" s="27">
        <v>631</v>
      </c>
      <c r="B319" s="27" t="s">
        <v>2119</v>
      </c>
      <c r="C319" s="27" t="s">
        <v>804</v>
      </c>
      <c r="D319" s="27">
        <v>2011</v>
      </c>
      <c r="E319" s="27">
        <v>2014</v>
      </c>
      <c r="F319" s="27" t="s">
        <v>916</v>
      </c>
      <c r="G319" s="27" t="s">
        <v>268</v>
      </c>
      <c r="H319" s="27"/>
      <c r="I319" s="27" t="s">
        <v>911</v>
      </c>
      <c r="J319" s="27"/>
      <c r="K319" s="27" t="s">
        <v>396</v>
      </c>
      <c r="L319" s="27"/>
      <c r="M319" s="27"/>
      <c r="N319" s="27"/>
      <c r="O319" s="27"/>
      <c r="P319" s="27"/>
      <c r="Q319" s="27"/>
      <c r="R319" s="27"/>
      <c r="S319" s="27"/>
      <c r="T319" s="27"/>
      <c r="U319" s="27"/>
      <c r="V319" s="27"/>
      <c r="W319" s="27"/>
      <c r="X319" s="27">
        <v>1</v>
      </c>
      <c r="Y319" s="27"/>
      <c r="Z319" s="27" t="s">
        <v>1542</v>
      </c>
      <c r="AA319" s="29">
        <v>6.0000000000000001E-3</v>
      </c>
      <c r="AB319" s="30">
        <f>AA319/0.0046</f>
        <v>1.3043478260869565</v>
      </c>
      <c r="AC319" s="30">
        <f>AB319*0.089*24*365/10^6</f>
        <v>1.0169217391304349E-3</v>
      </c>
      <c r="AD319" s="30"/>
      <c r="AE319" s="30">
        <f>AB319</f>
        <v>1.3043478260869565</v>
      </c>
      <c r="AF319" s="28" t="s">
        <v>2120</v>
      </c>
      <c r="AG319" s="28"/>
    </row>
    <row r="320" spans="1:33" ht="32.25" customHeight="1" x14ac:dyDescent="0.2">
      <c r="A320" s="27">
        <v>632</v>
      </c>
      <c r="B320" s="27" t="s">
        <v>2121</v>
      </c>
      <c r="C320" s="27" t="s">
        <v>350</v>
      </c>
      <c r="D320" s="27">
        <v>2011</v>
      </c>
      <c r="E320" s="27">
        <v>2012</v>
      </c>
      <c r="F320" s="27" t="s">
        <v>916</v>
      </c>
      <c r="G320" s="27" t="s">
        <v>268</v>
      </c>
      <c r="H320" s="27"/>
      <c r="I320" s="27" t="s">
        <v>911</v>
      </c>
      <c r="J320" s="27"/>
      <c r="K320" s="27" t="s">
        <v>377</v>
      </c>
      <c r="L320" s="27"/>
      <c r="M320" s="27"/>
      <c r="N320" s="27"/>
      <c r="O320" s="27"/>
      <c r="P320" s="27"/>
      <c r="Q320" s="27"/>
      <c r="R320" s="27"/>
      <c r="S320" s="27"/>
      <c r="T320" s="27">
        <v>1</v>
      </c>
      <c r="U320" s="27"/>
      <c r="V320" s="27"/>
      <c r="W320" s="27"/>
      <c r="X320" s="27"/>
      <c r="Y320" s="27"/>
      <c r="Z320" s="27" t="s">
        <v>2122</v>
      </c>
      <c r="AA320" s="29">
        <v>1.1999999999999999E-3</v>
      </c>
      <c r="AB320" s="30">
        <f>AA320/0.0046</f>
        <v>0.2608695652173913</v>
      </c>
      <c r="AC320" s="30">
        <f>AB320*0.089*24*365/10^6</f>
        <v>2.0338434782608695E-4</v>
      </c>
      <c r="AD320" s="30"/>
      <c r="AE320" s="30">
        <f>AB320</f>
        <v>0.2608695652173913</v>
      </c>
      <c r="AF320" s="28" t="s">
        <v>2123</v>
      </c>
      <c r="AG320" s="28"/>
    </row>
    <row r="321" spans="1:33" ht="32.25" customHeight="1" x14ac:dyDescent="0.2">
      <c r="A321" s="27">
        <v>633</v>
      </c>
      <c r="B321" s="27" t="s">
        <v>2124</v>
      </c>
      <c r="C321" s="27" t="s">
        <v>331</v>
      </c>
      <c r="D321" s="27"/>
      <c r="E321" s="27"/>
      <c r="F321" s="27" t="s">
        <v>916</v>
      </c>
      <c r="G321" s="27" t="s">
        <v>758</v>
      </c>
      <c r="H321" s="27" t="s">
        <v>1406</v>
      </c>
      <c r="I321" s="27" t="s">
        <v>911</v>
      </c>
      <c r="J321" s="27"/>
      <c r="K321" s="27" t="s">
        <v>377</v>
      </c>
      <c r="L321" s="27"/>
      <c r="M321" s="27"/>
      <c r="N321" s="27"/>
      <c r="O321" s="27"/>
      <c r="P321" s="27"/>
      <c r="Q321" s="27">
        <v>1</v>
      </c>
      <c r="R321" s="27"/>
      <c r="S321" s="27"/>
      <c r="T321" s="27"/>
      <c r="U321" s="27"/>
      <c r="V321" s="27"/>
      <c r="W321" s="27"/>
      <c r="X321" s="27"/>
      <c r="Y321" s="27"/>
      <c r="Z321" s="27" t="s">
        <v>2125</v>
      </c>
      <c r="AA321" s="29">
        <v>3.4</v>
      </c>
      <c r="AB321" s="30">
        <f>AA321/0.0045</f>
        <v>755.55555555555554</v>
      </c>
      <c r="AC321" s="30">
        <f>AB321*0.089*24*365/10^6</f>
        <v>0.58906133333333321</v>
      </c>
      <c r="AD321" s="30"/>
      <c r="AE321" s="30">
        <f>AB321</f>
        <v>755.55555555555554</v>
      </c>
      <c r="AF321" s="28"/>
      <c r="AG321" s="28"/>
    </row>
    <row r="322" spans="1:33" ht="32.25" customHeight="1" x14ac:dyDescent="0.2">
      <c r="A322" s="27">
        <v>634</v>
      </c>
      <c r="B322" s="27" t="s">
        <v>1544</v>
      </c>
      <c r="C322" s="27" t="s">
        <v>359</v>
      </c>
      <c r="D322" s="27">
        <v>2019</v>
      </c>
      <c r="E322" s="27"/>
      <c r="F322" s="27" t="s">
        <v>836</v>
      </c>
      <c r="G322" s="27" t="s">
        <v>266</v>
      </c>
      <c r="H322" s="27"/>
      <c r="I322" s="27" t="s">
        <v>765</v>
      </c>
      <c r="J322" s="27"/>
      <c r="K322" s="27" t="s">
        <v>377</v>
      </c>
      <c r="L322" s="27"/>
      <c r="M322" s="27"/>
      <c r="N322" s="27"/>
      <c r="O322" s="27"/>
      <c r="P322" s="27"/>
      <c r="Q322" s="27">
        <v>1</v>
      </c>
      <c r="R322" s="27"/>
      <c r="S322" s="27"/>
      <c r="T322" s="27"/>
      <c r="U322" s="27"/>
      <c r="V322" s="27"/>
      <c r="W322" s="27"/>
      <c r="X322" s="27"/>
      <c r="Y322" s="27"/>
      <c r="Z322" s="27" t="s">
        <v>1612</v>
      </c>
      <c r="AA322" s="29">
        <f>AB322*0.0052</f>
        <v>5.1999999999999998E-3</v>
      </c>
      <c r="AB322" s="30">
        <v>1</v>
      </c>
      <c r="AC322" s="30">
        <f>AB322*0.089*24*365/10^6</f>
        <v>7.7964000000000006E-4</v>
      </c>
      <c r="AD322" s="30"/>
      <c r="AE322" s="30">
        <f>AB322</f>
        <v>1</v>
      </c>
      <c r="AF322" s="28" t="s">
        <v>1546</v>
      </c>
      <c r="AG322" s="28"/>
    </row>
    <row r="323" spans="1:33" ht="32.25" customHeight="1" x14ac:dyDescent="0.2">
      <c r="A323" s="27">
        <v>635</v>
      </c>
      <c r="B323" s="27" t="s">
        <v>2126</v>
      </c>
      <c r="C323" s="27" t="s">
        <v>2127</v>
      </c>
      <c r="D323" s="27">
        <v>2011</v>
      </c>
      <c r="E323" s="27">
        <v>2014</v>
      </c>
      <c r="F323" s="27" t="s">
        <v>916</v>
      </c>
      <c r="G323" s="27" t="s">
        <v>268</v>
      </c>
      <c r="H323" s="27"/>
      <c r="I323" s="27" t="s">
        <v>911</v>
      </c>
      <c r="J323" s="27"/>
      <c r="K323" s="27" t="s">
        <v>377</v>
      </c>
      <c r="L323" s="27"/>
      <c r="M323" s="27"/>
      <c r="N323" s="27"/>
      <c r="O323" s="27"/>
      <c r="P323" s="27"/>
      <c r="Q323" s="27"/>
      <c r="R323" s="27">
        <v>1</v>
      </c>
      <c r="S323" s="27"/>
      <c r="T323" s="27"/>
      <c r="U323" s="27"/>
      <c r="V323" s="27"/>
      <c r="W323" s="27"/>
      <c r="X323" s="27"/>
      <c r="Y323" s="27"/>
      <c r="Z323" s="27" t="s">
        <v>2128</v>
      </c>
      <c r="AA323" s="29">
        <v>1E-3</v>
      </c>
      <c r="AB323" s="30">
        <f>AA323/0.0046</f>
        <v>0.21739130434782611</v>
      </c>
      <c r="AC323" s="30">
        <f>AB323*0.089*24*365/10^6</f>
        <v>1.6948695652173917E-4</v>
      </c>
      <c r="AD323" s="30"/>
      <c r="AE323" s="30">
        <f>AB323</f>
        <v>0.21739130434782611</v>
      </c>
      <c r="AF323" s="28" t="s">
        <v>2129</v>
      </c>
      <c r="AG323" s="28"/>
    </row>
    <row r="324" spans="1:33" ht="32.25" customHeight="1" x14ac:dyDescent="0.2">
      <c r="A324" s="27">
        <v>636</v>
      </c>
      <c r="B324" s="27" t="s">
        <v>2130</v>
      </c>
      <c r="C324" s="27" t="s">
        <v>804</v>
      </c>
      <c r="D324" s="27">
        <v>2011</v>
      </c>
      <c r="E324" s="27">
        <v>2015</v>
      </c>
      <c r="F324" s="27" t="s">
        <v>916</v>
      </c>
      <c r="G324" s="27" t="s">
        <v>266</v>
      </c>
      <c r="H324" s="27"/>
      <c r="I324" s="27" t="s">
        <v>911</v>
      </c>
      <c r="J324" s="27"/>
      <c r="K324" s="27" t="s">
        <v>396</v>
      </c>
      <c r="L324" s="27"/>
      <c r="M324" s="27"/>
      <c r="N324" s="27"/>
      <c r="O324" s="27"/>
      <c r="P324" s="27"/>
      <c r="Q324" s="27"/>
      <c r="R324" s="27"/>
      <c r="S324" s="27"/>
      <c r="T324" s="27"/>
      <c r="U324" s="27"/>
      <c r="V324" s="27"/>
      <c r="W324" s="27"/>
      <c r="X324" s="27">
        <v>1</v>
      </c>
      <c r="Y324" s="27"/>
      <c r="Z324" s="27"/>
      <c r="AA324" s="29"/>
      <c r="AB324" s="30"/>
      <c r="AC324" s="30"/>
      <c r="AD324" s="30"/>
      <c r="AE324" s="30"/>
      <c r="AF324" s="28" t="s">
        <v>2131</v>
      </c>
      <c r="AG324" s="28"/>
    </row>
    <row r="325" spans="1:33" ht="32.25" customHeight="1" x14ac:dyDescent="0.2">
      <c r="A325" s="27">
        <v>637</v>
      </c>
      <c r="B325" s="27" t="s">
        <v>2132</v>
      </c>
      <c r="C325" s="27" t="s">
        <v>347</v>
      </c>
      <c r="D325" s="27">
        <v>2022</v>
      </c>
      <c r="E325" s="27"/>
      <c r="F325" s="27" t="s">
        <v>754</v>
      </c>
      <c r="G325" s="27" t="s">
        <v>267</v>
      </c>
      <c r="H325" s="27"/>
      <c r="I325" s="27" t="s">
        <v>768</v>
      </c>
      <c r="J325" s="27" t="s">
        <v>378</v>
      </c>
      <c r="K325" s="27" t="s">
        <v>377</v>
      </c>
      <c r="L325" s="27">
        <v>1</v>
      </c>
      <c r="M325" s="27"/>
      <c r="N325" s="27"/>
      <c r="O325" s="27"/>
      <c r="P325" s="27"/>
      <c r="Q325" s="27"/>
      <c r="R325" s="27"/>
      <c r="S325" s="27"/>
      <c r="T325" s="27"/>
      <c r="U325" s="27"/>
      <c r="V325" s="27"/>
      <c r="W325" s="27">
        <v>1</v>
      </c>
      <c r="X325" s="27"/>
      <c r="Y325" s="27"/>
      <c r="Z325" s="27" t="s">
        <v>2096</v>
      </c>
      <c r="AA325" s="29">
        <v>2.6</v>
      </c>
      <c r="AB325" s="30">
        <f>AA325/0.0038</f>
        <v>684.21052631578948</v>
      </c>
      <c r="AC325" s="30">
        <f>AB325*0.089*24*365/10^6</f>
        <v>0.53343789473684211</v>
      </c>
      <c r="AD325" s="30"/>
      <c r="AE325" s="30">
        <f>AB325</f>
        <v>684.21052631578948</v>
      </c>
      <c r="AF325" s="28" t="s">
        <v>3163</v>
      </c>
      <c r="AG325" s="28"/>
    </row>
    <row r="326" spans="1:33" ht="32.25" customHeight="1" x14ac:dyDescent="0.2">
      <c r="A326" s="27">
        <v>638</v>
      </c>
      <c r="B326" s="27" t="s">
        <v>1553</v>
      </c>
      <c r="C326" s="27" t="s">
        <v>359</v>
      </c>
      <c r="D326" s="27">
        <v>2019</v>
      </c>
      <c r="E326" s="27"/>
      <c r="F326" s="27" t="s">
        <v>836</v>
      </c>
      <c r="G326" s="27" t="s">
        <v>758</v>
      </c>
      <c r="H326" s="27" t="s">
        <v>1406</v>
      </c>
      <c r="I326" s="27" t="s">
        <v>911</v>
      </c>
      <c r="J326" s="27"/>
      <c r="K326" s="27" t="s">
        <v>377</v>
      </c>
      <c r="L326" s="27"/>
      <c r="M326" s="27"/>
      <c r="N326" s="27"/>
      <c r="O326" s="27"/>
      <c r="P326" s="27"/>
      <c r="Q326" s="27">
        <v>1</v>
      </c>
      <c r="R326" s="27">
        <v>1</v>
      </c>
      <c r="S326" s="27"/>
      <c r="T326" s="27"/>
      <c r="U326" s="27"/>
      <c r="V326" s="27"/>
      <c r="W326" s="27"/>
      <c r="X326" s="27"/>
      <c r="Y326" s="27"/>
      <c r="Z326" s="27"/>
      <c r="AA326" s="29"/>
      <c r="AB326" s="30"/>
      <c r="AC326" s="30"/>
      <c r="AD326" s="30"/>
      <c r="AE326" s="30"/>
      <c r="AF326" s="28" t="s">
        <v>2133</v>
      </c>
      <c r="AG326" s="28"/>
    </row>
    <row r="327" spans="1:33" ht="32.25" customHeight="1" x14ac:dyDescent="0.2">
      <c r="A327" s="27">
        <v>639</v>
      </c>
      <c r="B327" s="27" t="s">
        <v>2134</v>
      </c>
      <c r="C327" s="27" t="s">
        <v>356</v>
      </c>
      <c r="D327" s="27">
        <v>2012</v>
      </c>
      <c r="E327" s="27">
        <v>2016</v>
      </c>
      <c r="F327" s="27" t="s">
        <v>916</v>
      </c>
      <c r="G327" s="27" t="s">
        <v>268</v>
      </c>
      <c r="H327" s="27"/>
      <c r="I327" s="27" t="s">
        <v>756</v>
      </c>
      <c r="J327" s="27"/>
      <c r="K327" s="27" t="s">
        <v>377</v>
      </c>
      <c r="L327" s="27"/>
      <c r="M327" s="27"/>
      <c r="N327" s="27"/>
      <c r="O327" s="27"/>
      <c r="P327" s="27"/>
      <c r="Q327" s="27">
        <v>1</v>
      </c>
      <c r="R327" s="27"/>
      <c r="S327" s="27"/>
      <c r="T327" s="27"/>
      <c r="U327" s="27"/>
      <c r="V327" s="27"/>
      <c r="W327" s="27"/>
      <c r="X327" s="27"/>
      <c r="Y327" s="27"/>
      <c r="Z327" s="27" t="s">
        <v>2135</v>
      </c>
      <c r="AA327" s="29">
        <f>AB327*0.0046</f>
        <v>0.27600000000000002</v>
      </c>
      <c r="AB327" s="30">
        <v>60</v>
      </c>
      <c r="AC327" s="30">
        <f>AB327*0.089*24*365/10^6</f>
        <v>4.6778400000000005E-2</v>
      </c>
      <c r="AD327" s="30"/>
      <c r="AE327" s="30">
        <f>AB327</f>
        <v>60</v>
      </c>
      <c r="AF327" s="28" t="s">
        <v>2136</v>
      </c>
      <c r="AG327" s="28"/>
    </row>
    <row r="328" spans="1:33" ht="32.25" customHeight="1" x14ac:dyDescent="0.2">
      <c r="A328" s="27">
        <v>640</v>
      </c>
      <c r="B328" s="27" t="s">
        <v>2137</v>
      </c>
      <c r="C328" s="27" t="s">
        <v>804</v>
      </c>
      <c r="D328" s="27">
        <v>2012</v>
      </c>
      <c r="E328" s="27">
        <v>2014</v>
      </c>
      <c r="F328" s="27" t="s">
        <v>916</v>
      </c>
      <c r="G328" s="27" t="s">
        <v>268</v>
      </c>
      <c r="H328" s="27"/>
      <c r="I328" s="27" t="s">
        <v>756</v>
      </c>
      <c r="J328" s="27"/>
      <c r="K328" s="27" t="s">
        <v>396</v>
      </c>
      <c r="L328" s="27"/>
      <c r="M328" s="27"/>
      <c r="N328" s="27"/>
      <c r="O328" s="27"/>
      <c r="P328" s="27"/>
      <c r="Q328" s="27">
        <v>1</v>
      </c>
      <c r="R328" s="27">
        <v>1</v>
      </c>
      <c r="S328" s="27"/>
      <c r="T328" s="27"/>
      <c r="U328" s="27"/>
      <c r="V328" s="27"/>
      <c r="W328" s="27"/>
      <c r="X328" s="27">
        <v>1</v>
      </c>
      <c r="Y328" s="27"/>
      <c r="Z328" s="27" t="s">
        <v>2138</v>
      </c>
      <c r="AA328" s="29">
        <v>0.312</v>
      </c>
      <c r="AB328" s="30">
        <f>AA328/0.0046</f>
        <v>67.826086956521735</v>
      </c>
      <c r="AC328" s="30">
        <f>AB328*0.089*24*365/10^6</f>
        <v>5.2879930434782597E-2</v>
      </c>
      <c r="AD328" s="30"/>
      <c r="AE328" s="30">
        <f>AB328</f>
        <v>67.826086956521735</v>
      </c>
      <c r="AF328" s="28" t="s">
        <v>2139</v>
      </c>
      <c r="AG328" s="28"/>
    </row>
    <row r="329" spans="1:33" ht="32.25" customHeight="1" x14ac:dyDescent="0.2">
      <c r="A329" s="27">
        <v>641</v>
      </c>
      <c r="B329" s="27" t="s">
        <v>2140</v>
      </c>
      <c r="C329" s="27" t="s">
        <v>356</v>
      </c>
      <c r="D329" s="27">
        <v>2022</v>
      </c>
      <c r="E329" s="27"/>
      <c r="F329" s="27" t="s">
        <v>754</v>
      </c>
      <c r="G329" s="27" t="s">
        <v>266</v>
      </c>
      <c r="H329" s="27"/>
      <c r="I329" s="27" t="s">
        <v>768</v>
      </c>
      <c r="J329" s="27" t="s">
        <v>865</v>
      </c>
      <c r="K329" s="27" t="s">
        <v>396</v>
      </c>
      <c r="L329" s="27"/>
      <c r="M329" s="27"/>
      <c r="N329" s="27"/>
      <c r="O329" s="27"/>
      <c r="P329" s="27"/>
      <c r="Q329" s="27"/>
      <c r="R329" s="27"/>
      <c r="S329" s="27"/>
      <c r="T329" s="27"/>
      <c r="U329" s="27"/>
      <c r="V329" s="27"/>
      <c r="W329" s="27"/>
      <c r="X329" s="27">
        <v>1</v>
      </c>
      <c r="Y329" s="27"/>
      <c r="Z329" s="27" t="s">
        <v>1412</v>
      </c>
      <c r="AA329" s="29">
        <v>2.5</v>
      </c>
      <c r="AB329" s="30">
        <f>AA329/0.0052</f>
        <v>480.76923076923077</v>
      </c>
      <c r="AC329" s="30">
        <f>AB329*0.089*24*365/10^6</f>
        <v>0.37482692307692306</v>
      </c>
      <c r="AD329" s="30"/>
      <c r="AE329" s="30">
        <f>AB329</f>
        <v>480.76923076923077</v>
      </c>
      <c r="AF329" s="28" t="s">
        <v>2141</v>
      </c>
      <c r="AG329" s="74" t="s">
        <v>4101</v>
      </c>
    </row>
    <row r="330" spans="1:33" ht="32.25" customHeight="1" x14ac:dyDescent="0.2">
      <c r="A330" s="27">
        <v>642</v>
      </c>
      <c r="B330" s="27" t="s">
        <v>2142</v>
      </c>
      <c r="C330" s="27" t="s">
        <v>331</v>
      </c>
      <c r="D330" s="27">
        <v>2012</v>
      </c>
      <c r="E330" s="27"/>
      <c r="F330" s="27" t="s">
        <v>916</v>
      </c>
      <c r="G330" s="27" t="s">
        <v>266</v>
      </c>
      <c r="H330" s="27"/>
      <c r="I330" s="27" t="s">
        <v>911</v>
      </c>
      <c r="J330" s="27"/>
      <c r="K330" s="27" t="s">
        <v>377</v>
      </c>
      <c r="L330" s="27"/>
      <c r="M330" s="27"/>
      <c r="N330" s="27"/>
      <c r="O330" s="27"/>
      <c r="P330" s="27"/>
      <c r="Q330" s="27"/>
      <c r="R330" s="27">
        <v>1</v>
      </c>
      <c r="S330" s="27"/>
      <c r="T330" s="27"/>
      <c r="U330" s="27"/>
      <c r="V330" s="27"/>
      <c r="W330" s="27"/>
      <c r="X330" s="27"/>
      <c r="Y330" s="27"/>
      <c r="Z330" s="27" t="s">
        <v>2143</v>
      </c>
      <c r="AA330" s="29">
        <v>0.11</v>
      </c>
      <c r="AB330" s="30">
        <f>AA330/0.0052</f>
        <v>21.153846153846153</v>
      </c>
      <c r="AC330" s="30">
        <f>AB330*0.089*24*365/10^6</f>
        <v>1.6492384615384614E-2</v>
      </c>
      <c r="AD330" s="30"/>
      <c r="AE330" s="30">
        <f>AB330</f>
        <v>21.153846153846153</v>
      </c>
      <c r="AF330" s="28" t="s">
        <v>2144</v>
      </c>
      <c r="AG330" s="28"/>
    </row>
    <row r="331" spans="1:33" ht="32.25" customHeight="1" x14ac:dyDescent="0.2">
      <c r="A331" s="27">
        <v>643</v>
      </c>
      <c r="B331" s="27" t="s">
        <v>2145</v>
      </c>
      <c r="C331" s="27" t="s">
        <v>336</v>
      </c>
      <c r="D331" s="27"/>
      <c r="E331" s="27"/>
      <c r="F331" s="27" t="s">
        <v>1336</v>
      </c>
      <c r="G331" s="27" t="s">
        <v>266</v>
      </c>
      <c r="H331" s="27"/>
      <c r="I331" s="27" t="s">
        <v>911</v>
      </c>
      <c r="J331" s="27"/>
      <c r="K331" s="27" t="s">
        <v>377</v>
      </c>
      <c r="L331" s="27"/>
      <c r="M331" s="27"/>
      <c r="N331" s="27"/>
      <c r="O331" s="27"/>
      <c r="P331" s="27"/>
      <c r="Q331" s="27">
        <v>1</v>
      </c>
      <c r="R331" s="27"/>
      <c r="S331" s="27"/>
      <c r="T331" s="27"/>
      <c r="U331" s="27"/>
      <c r="V331" s="27"/>
      <c r="W331" s="27"/>
      <c r="X331" s="27"/>
      <c r="Y331" s="27"/>
      <c r="Z331" s="27" t="s">
        <v>1938</v>
      </c>
      <c r="AA331" s="29">
        <v>2</v>
      </c>
      <c r="AB331" s="30">
        <f>AA331/0.0052</f>
        <v>384.61538461538464</v>
      </c>
      <c r="AC331" s="30">
        <f>AB331*0.089*24*365/10^6</f>
        <v>0.29986153846153851</v>
      </c>
      <c r="AD331" s="30"/>
      <c r="AE331" s="30">
        <f>AB331</f>
        <v>384.61538461538464</v>
      </c>
      <c r="AF331" s="28" t="s">
        <v>2146</v>
      </c>
      <c r="AG331" s="28"/>
    </row>
    <row r="332" spans="1:33" ht="32.25" customHeight="1" x14ac:dyDescent="0.2">
      <c r="A332" s="27">
        <v>644</v>
      </c>
      <c r="B332" s="27" t="s">
        <v>2147</v>
      </c>
      <c r="C332" s="27" t="s">
        <v>804</v>
      </c>
      <c r="D332" s="27">
        <v>2012</v>
      </c>
      <c r="E332" s="27">
        <v>2016</v>
      </c>
      <c r="F332" s="27" t="s">
        <v>916</v>
      </c>
      <c r="G332" s="27" t="s">
        <v>267</v>
      </c>
      <c r="H332" s="27"/>
      <c r="I332" s="27" t="s">
        <v>911</v>
      </c>
      <c r="J332" s="27"/>
      <c r="K332" s="27" t="s">
        <v>766</v>
      </c>
      <c r="L332" s="27"/>
      <c r="M332" s="27"/>
      <c r="N332" s="27"/>
      <c r="O332" s="27"/>
      <c r="P332" s="27"/>
      <c r="Q332" s="27"/>
      <c r="R332" s="27"/>
      <c r="S332" s="27"/>
      <c r="T332" s="27"/>
      <c r="U332" s="27"/>
      <c r="V332" s="27"/>
      <c r="W332" s="27">
        <v>1</v>
      </c>
      <c r="X332" s="27"/>
      <c r="Y332" s="27"/>
      <c r="Z332" s="27" t="s">
        <v>1603</v>
      </c>
      <c r="AA332" s="29">
        <f>AB332*0.0038</f>
        <v>3.7999999999999999E-2</v>
      </c>
      <c r="AB332" s="30">
        <v>10</v>
      </c>
      <c r="AC332" s="30">
        <f>AB332*0.089*24*365/10^6</f>
        <v>7.7963999999999993E-3</v>
      </c>
      <c r="AD332" s="30"/>
      <c r="AE332" s="30">
        <f>AB332</f>
        <v>10</v>
      </c>
      <c r="AF332" s="28" t="s">
        <v>2148</v>
      </c>
      <c r="AG332" s="28"/>
    </row>
    <row r="333" spans="1:33" ht="32.25" customHeight="1" x14ac:dyDescent="0.2">
      <c r="A333" s="27">
        <v>645</v>
      </c>
      <c r="B333" s="27" t="s">
        <v>2149</v>
      </c>
      <c r="C333" s="27" t="s">
        <v>331</v>
      </c>
      <c r="D333" s="27">
        <v>2021</v>
      </c>
      <c r="E333" s="27"/>
      <c r="F333" s="27" t="s">
        <v>753</v>
      </c>
      <c r="G333" s="27" t="s">
        <v>758</v>
      </c>
      <c r="H333" s="27" t="s">
        <v>1406</v>
      </c>
      <c r="I333" s="27" t="s">
        <v>756</v>
      </c>
      <c r="J333" s="27"/>
      <c r="K333" s="27" t="s">
        <v>377</v>
      </c>
      <c r="L333" s="27"/>
      <c r="M333" s="27"/>
      <c r="N333" s="27"/>
      <c r="O333" s="27"/>
      <c r="P333" s="27"/>
      <c r="Q333" s="27">
        <v>1</v>
      </c>
      <c r="R333" s="27"/>
      <c r="S333" s="27"/>
      <c r="T333" s="27"/>
      <c r="U333" s="27"/>
      <c r="V333" s="27"/>
      <c r="W333" s="27"/>
      <c r="X333" s="27"/>
      <c r="Y333" s="27"/>
      <c r="Z333" s="27" t="s">
        <v>2150</v>
      </c>
      <c r="AA333" s="29">
        <f>AB333*0.0045</f>
        <v>0.84269662921348298</v>
      </c>
      <c r="AB333" s="30">
        <f>AC333/(0.089*24*365/10^6)</f>
        <v>187.26591760299624</v>
      </c>
      <c r="AC333" s="30">
        <f>400*365/1000000</f>
        <v>0.14599999999999999</v>
      </c>
      <c r="AD333" s="30"/>
      <c r="AE333" s="30">
        <f>AB333</f>
        <v>187.26591760299624</v>
      </c>
      <c r="AF333" s="28" t="s">
        <v>2151</v>
      </c>
      <c r="AG333" s="28"/>
    </row>
    <row r="334" spans="1:33" ht="32.25" customHeight="1" x14ac:dyDescent="0.2">
      <c r="A334" s="27">
        <v>646</v>
      </c>
      <c r="B334" s="27" t="s">
        <v>2152</v>
      </c>
      <c r="C334" s="27" t="s">
        <v>331</v>
      </c>
      <c r="D334" s="27">
        <v>2012</v>
      </c>
      <c r="E334" s="27">
        <v>2014</v>
      </c>
      <c r="F334" s="27" t="s">
        <v>916</v>
      </c>
      <c r="G334" s="27" t="s">
        <v>267</v>
      </c>
      <c r="H334" s="27"/>
      <c r="I334" s="27" t="s">
        <v>756</v>
      </c>
      <c r="J334" s="27"/>
      <c r="K334" s="27" t="s">
        <v>767</v>
      </c>
      <c r="L334" s="27"/>
      <c r="M334" s="27"/>
      <c r="N334" s="27"/>
      <c r="O334" s="27"/>
      <c r="P334" s="27"/>
      <c r="Q334" s="27"/>
      <c r="R334" s="27">
        <v>1</v>
      </c>
      <c r="S334" s="27"/>
      <c r="T334" s="27"/>
      <c r="U334" s="27"/>
      <c r="V334" s="27"/>
      <c r="W334" s="27"/>
      <c r="X334" s="27">
        <v>1</v>
      </c>
      <c r="Y334" s="27"/>
      <c r="Z334" s="27"/>
      <c r="AA334" s="29"/>
      <c r="AB334" s="30"/>
      <c r="AC334" s="30"/>
      <c r="AD334" s="30"/>
      <c r="AE334" s="30"/>
      <c r="AF334" s="28" t="s">
        <v>2153</v>
      </c>
      <c r="AG334" s="28"/>
    </row>
    <row r="335" spans="1:33" ht="32.25" customHeight="1" x14ac:dyDescent="0.2">
      <c r="A335" s="27">
        <v>647</v>
      </c>
      <c r="B335" s="27" t="s">
        <v>2154</v>
      </c>
      <c r="C335" s="27" t="s">
        <v>804</v>
      </c>
      <c r="D335" s="27">
        <v>2012</v>
      </c>
      <c r="E335" s="27">
        <v>2015</v>
      </c>
      <c r="F335" s="27" t="s">
        <v>916</v>
      </c>
      <c r="G335" s="27" t="s">
        <v>266</v>
      </c>
      <c r="H335" s="27"/>
      <c r="I335" s="27" t="s">
        <v>756</v>
      </c>
      <c r="J335" s="27"/>
      <c r="K335" s="27"/>
      <c r="L335" s="27"/>
      <c r="M335" s="27"/>
      <c r="N335" s="27"/>
      <c r="O335" s="27"/>
      <c r="P335" s="27"/>
      <c r="Q335" s="27"/>
      <c r="R335" s="27"/>
      <c r="S335" s="27"/>
      <c r="T335" s="27"/>
      <c r="U335" s="27"/>
      <c r="V335" s="27"/>
      <c r="W335" s="27"/>
      <c r="X335" s="27"/>
      <c r="Y335" s="27"/>
      <c r="Z335" s="27"/>
      <c r="AA335" s="29"/>
      <c r="AB335" s="30"/>
      <c r="AC335" s="30"/>
      <c r="AD335" s="30"/>
      <c r="AE335" s="30"/>
      <c r="AF335" s="28" t="s">
        <v>2155</v>
      </c>
      <c r="AG335" s="28"/>
    </row>
    <row r="336" spans="1:33" ht="32.25" customHeight="1" x14ac:dyDescent="0.2">
      <c r="A336" s="27">
        <v>648</v>
      </c>
      <c r="B336" s="27" t="s">
        <v>2156</v>
      </c>
      <c r="C336" s="27" t="s">
        <v>804</v>
      </c>
      <c r="D336" s="27">
        <v>2012</v>
      </c>
      <c r="E336" s="27">
        <v>2015</v>
      </c>
      <c r="F336" s="27" t="s">
        <v>916</v>
      </c>
      <c r="G336" s="27" t="s">
        <v>266</v>
      </c>
      <c r="H336" s="27"/>
      <c r="I336" s="27" t="s">
        <v>756</v>
      </c>
      <c r="J336" s="27"/>
      <c r="K336" s="27"/>
      <c r="L336" s="27"/>
      <c r="M336" s="27"/>
      <c r="N336" s="27"/>
      <c r="O336" s="27"/>
      <c r="P336" s="27"/>
      <c r="Q336" s="27"/>
      <c r="R336" s="27"/>
      <c r="S336" s="27"/>
      <c r="T336" s="27"/>
      <c r="U336" s="27"/>
      <c r="V336" s="27"/>
      <c r="W336" s="27"/>
      <c r="X336" s="27"/>
      <c r="Y336" s="27"/>
      <c r="Z336" s="27"/>
      <c r="AA336" s="29"/>
      <c r="AB336" s="30"/>
      <c r="AC336" s="30"/>
      <c r="AD336" s="30"/>
      <c r="AE336" s="30"/>
      <c r="AF336" s="28" t="s">
        <v>2157</v>
      </c>
      <c r="AG336" s="28"/>
    </row>
    <row r="337" spans="1:33" ht="32.25" customHeight="1" x14ac:dyDescent="0.2">
      <c r="A337" s="27">
        <v>649</v>
      </c>
      <c r="B337" s="27" t="s">
        <v>2158</v>
      </c>
      <c r="C337" s="27" t="s">
        <v>804</v>
      </c>
      <c r="D337" s="27">
        <v>2013</v>
      </c>
      <c r="E337" s="27">
        <v>2016</v>
      </c>
      <c r="F337" s="27" t="s">
        <v>916</v>
      </c>
      <c r="G337" s="27" t="s">
        <v>268</v>
      </c>
      <c r="H337" s="27"/>
      <c r="I337" s="27" t="s">
        <v>756</v>
      </c>
      <c r="J337" s="27"/>
      <c r="K337" s="27" t="s">
        <v>396</v>
      </c>
      <c r="L337" s="27"/>
      <c r="M337" s="27"/>
      <c r="N337" s="27"/>
      <c r="O337" s="27"/>
      <c r="P337" s="27"/>
      <c r="Q337" s="27"/>
      <c r="R337" s="27"/>
      <c r="S337" s="27"/>
      <c r="T337" s="27"/>
      <c r="U337" s="27"/>
      <c r="V337" s="27"/>
      <c r="W337" s="27"/>
      <c r="X337" s="27">
        <v>1</v>
      </c>
      <c r="Y337" s="27"/>
      <c r="Z337" s="27" t="s">
        <v>2159</v>
      </c>
      <c r="AA337" s="29">
        <v>0.3</v>
      </c>
      <c r="AB337" s="30">
        <f>AA337/0.0046</f>
        <v>65.217391304347828</v>
      </c>
      <c r="AC337" s="30">
        <f>AB337*0.089*24*365/10^6</f>
        <v>5.0846086956521735E-2</v>
      </c>
      <c r="AD337" s="30"/>
      <c r="AE337" s="30">
        <f>AB337</f>
        <v>65.217391304347828</v>
      </c>
      <c r="AF337" s="28" t="s">
        <v>2160</v>
      </c>
      <c r="AG337" s="28"/>
    </row>
    <row r="338" spans="1:33" ht="32.25" customHeight="1" x14ac:dyDescent="0.2">
      <c r="A338" s="27">
        <v>650</v>
      </c>
      <c r="B338" s="27" t="s">
        <v>2161</v>
      </c>
      <c r="C338" s="27" t="s">
        <v>804</v>
      </c>
      <c r="D338" s="27">
        <v>2013</v>
      </c>
      <c r="E338" s="27">
        <v>2016</v>
      </c>
      <c r="F338" s="27" t="s">
        <v>916</v>
      </c>
      <c r="G338" s="27" t="s">
        <v>266</v>
      </c>
      <c r="H338" s="27"/>
      <c r="I338" s="27" t="s">
        <v>756</v>
      </c>
      <c r="J338" s="27"/>
      <c r="K338" s="27"/>
      <c r="L338" s="27"/>
      <c r="M338" s="27"/>
      <c r="N338" s="27"/>
      <c r="O338" s="27"/>
      <c r="P338" s="27"/>
      <c r="Q338" s="27"/>
      <c r="R338" s="27"/>
      <c r="S338" s="27"/>
      <c r="T338" s="27"/>
      <c r="U338" s="27"/>
      <c r="V338" s="27"/>
      <c r="W338" s="27"/>
      <c r="X338" s="27">
        <v>1</v>
      </c>
      <c r="Y338" s="27"/>
      <c r="Z338" s="27" t="s">
        <v>2135</v>
      </c>
      <c r="AA338" s="29">
        <f>AB338*0.0052</f>
        <v>0.312</v>
      </c>
      <c r="AB338" s="30">
        <v>60</v>
      </c>
      <c r="AC338" s="30">
        <f>AB338*0.089*24*365/10^6</f>
        <v>4.6778400000000005E-2</v>
      </c>
      <c r="AD338" s="30"/>
      <c r="AE338" s="30">
        <f>AB338</f>
        <v>60</v>
      </c>
      <c r="AF338" s="28" t="s">
        <v>2162</v>
      </c>
      <c r="AG338" s="28"/>
    </row>
    <row r="339" spans="1:33" ht="32.25" customHeight="1" x14ac:dyDescent="0.2">
      <c r="A339" s="27">
        <v>651</v>
      </c>
      <c r="B339" s="27" t="s">
        <v>2163</v>
      </c>
      <c r="C339" s="27" t="s">
        <v>347</v>
      </c>
      <c r="D339" s="27">
        <v>2013</v>
      </c>
      <c r="E339" s="27">
        <v>2018</v>
      </c>
      <c r="F339" s="27" t="s">
        <v>916</v>
      </c>
      <c r="G339" s="27" t="s">
        <v>266</v>
      </c>
      <c r="H339" s="27"/>
      <c r="I339" s="27" t="s">
        <v>756</v>
      </c>
      <c r="J339" s="27"/>
      <c r="K339" s="27" t="s">
        <v>396</v>
      </c>
      <c r="L339" s="27"/>
      <c r="M339" s="27"/>
      <c r="N339" s="27"/>
      <c r="O339" s="27"/>
      <c r="P339" s="27"/>
      <c r="Q339" s="27"/>
      <c r="R339" s="27"/>
      <c r="S339" s="27"/>
      <c r="T339" s="27"/>
      <c r="U339" s="27"/>
      <c r="V339" s="27"/>
      <c r="W339" s="27"/>
      <c r="X339" s="27">
        <v>1</v>
      </c>
      <c r="Y339" s="27"/>
      <c r="Z339" s="27" t="s">
        <v>1797</v>
      </c>
      <c r="AA339" s="29">
        <v>7.0000000000000001E-3</v>
      </c>
      <c r="AB339" s="30">
        <f>AA339/0.0052</f>
        <v>1.3461538461538463</v>
      </c>
      <c r="AC339" s="30">
        <f>AB339*0.089*24*365/10^6</f>
        <v>1.0495153846153847E-3</v>
      </c>
      <c r="AD339" s="30"/>
      <c r="AE339" s="30">
        <f>AB339</f>
        <v>1.3461538461538463</v>
      </c>
      <c r="AF339" s="28" t="s">
        <v>1540</v>
      </c>
      <c r="AG339" s="28"/>
    </row>
    <row r="340" spans="1:33" ht="32.25" customHeight="1" x14ac:dyDescent="0.2">
      <c r="A340" s="27">
        <v>652</v>
      </c>
      <c r="B340" s="27" t="s">
        <v>2164</v>
      </c>
      <c r="C340" s="27" t="s">
        <v>342</v>
      </c>
      <c r="D340" s="27">
        <v>2013</v>
      </c>
      <c r="E340" s="27">
        <v>2014</v>
      </c>
      <c r="F340" s="27" t="s">
        <v>916</v>
      </c>
      <c r="G340" s="27" t="s">
        <v>268</v>
      </c>
      <c r="H340" s="27"/>
      <c r="I340" s="27" t="s">
        <v>756</v>
      </c>
      <c r="J340" s="27"/>
      <c r="K340" s="27"/>
      <c r="L340" s="27"/>
      <c r="M340" s="27"/>
      <c r="N340" s="27"/>
      <c r="O340" s="27"/>
      <c r="P340" s="27"/>
      <c r="Q340" s="27"/>
      <c r="R340" s="27">
        <v>1</v>
      </c>
      <c r="S340" s="27"/>
      <c r="T340" s="27"/>
      <c r="U340" s="27"/>
      <c r="V340" s="27"/>
      <c r="W340" s="27"/>
      <c r="X340" s="27"/>
      <c r="Y340" s="27"/>
      <c r="Z340" s="27" t="s">
        <v>1820</v>
      </c>
      <c r="AA340" s="29">
        <v>2.5000000000000001E-3</v>
      </c>
      <c r="AB340" s="30">
        <f>AA340/0.0046</f>
        <v>0.54347826086956519</v>
      </c>
      <c r="AC340" s="30">
        <f>AB340*0.089*24*365/10^6</f>
        <v>4.2371739130434781E-4</v>
      </c>
      <c r="AD340" s="30"/>
      <c r="AE340" s="30">
        <f>AB340</f>
        <v>0.54347826086956519</v>
      </c>
      <c r="AF340" s="28" t="s">
        <v>2165</v>
      </c>
      <c r="AG340" s="28"/>
    </row>
    <row r="341" spans="1:33" ht="32.25" customHeight="1" x14ac:dyDescent="0.2">
      <c r="A341" s="27">
        <v>653</v>
      </c>
      <c r="B341" s="27" t="s">
        <v>2166</v>
      </c>
      <c r="C341" s="27" t="s">
        <v>341</v>
      </c>
      <c r="D341" s="27">
        <v>2013</v>
      </c>
      <c r="E341" s="27">
        <v>2016</v>
      </c>
      <c r="F341" s="27" t="s">
        <v>916</v>
      </c>
      <c r="G341" s="27" t="s">
        <v>758</v>
      </c>
      <c r="H341" s="27" t="s">
        <v>1406</v>
      </c>
      <c r="I341" s="27" t="s">
        <v>756</v>
      </c>
      <c r="J341" s="27"/>
      <c r="K341" s="27" t="s">
        <v>396</v>
      </c>
      <c r="L341" s="27"/>
      <c r="M341" s="27"/>
      <c r="N341" s="27"/>
      <c r="O341" s="27"/>
      <c r="P341" s="27"/>
      <c r="Q341" s="27"/>
      <c r="R341" s="27"/>
      <c r="S341" s="27"/>
      <c r="T341" s="27"/>
      <c r="U341" s="27"/>
      <c r="V341" s="27"/>
      <c r="W341" s="27"/>
      <c r="X341" s="27">
        <v>1</v>
      </c>
      <c r="Y341" s="27"/>
      <c r="Z341" s="27"/>
      <c r="AA341" s="29"/>
      <c r="AB341" s="30"/>
      <c r="AC341" s="30"/>
      <c r="AD341" s="30"/>
      <c r="AE341" s="30"/>
      <c r="AF341" s="28" t="s">
        <v>2167</v>
      </c>
      <c r="AG341" s="28"/>
    </row>
    <row r="342" spans="1:33" ht="32.25" customHeight="1" x14ac:dyDescent="0.2">
      <c r="A342" s="27">
        <v>654</v>
      </c>
      <c r="B342" s="27" t="s">
        <v>2168</v>
      </c>
      <c r="C342" s="27" t="s">
        <v>341</v>
      </c>
      <c r="D342" s="27">
        <v>2013</v>
      </c>
      <c r="E342" s="27">
        <v>2016</v>
      </c>
      <c r="F342" s="27" t="s">
        <v>916</v>
      </c>
      <c r="G342" s="27" t="s">
        <v>758</v>
      </c>
      <c r="H342" s="27" t="s">
        <v>1406</v>
      </c>
      <c r="I342" s="27" t="s">
        <v>756</v>
      </c>
      <c r="J342" s="27"/>
      <c r="K342" s="27" t="s">
        <v>396</v>
      </c>
      <c r="L342" s="27"/>
      <c r="M342" s="27"/>
      <c r="N342" s="27"/>
      <c r="O342" s="27"/>
      <c r="P342" s="27"/>
      <c r="Q342" s="27"/>
      <c r="R342" s="27"/>
      <c r="S342" s="27"/>
      <c r="T342" s="27"/>
      <c r="U342" s="27"/>
      <c r="V342" s="27"/>
      <c r="W342" s="27"/>
      <c r="X342" s="27">
        <v>1</v>
      </c>
      <c r="Y342" s="27"/>
      <c r="Z342" s="27"/>
      <c r="AA342" s="29"/>
      <c r="AB342" s="30"/>
      <c r="AC342" s="30"/>
      <c r="AD342" s="30"/>
      <c r="AE342" s="30"/>
      <c r="AF342" s="28" t="s">
        <v>2169</v>
      </c>
      <c r="AG342" s="28"/>
    </row>
    <row r="343" spans="1:33" ht="32.25" customHeight="1" x14ac:dyDescent="0.2">
      <c r="A343" s="27">
        <v>655</v>
      </c>
      <c r="B343" s="27" t="s">
        <v>2170</v>
      </c>
      <c r="C343" s="27" t="s">
        <v>804</v>
      </c>
      <c r="D343" s="27">
        <v>2014</v>
      </c>
      <c r="E343" s="27">
        <v>2016</v>
      </c>
      <c r="F343" s="27" t="s">
        <v>916</v>
      </c>
      <c r="G343" s="27" t="s">
        <v>266</v>
      </c>
      <c r="H343" s="27"/>
      <c r="I343" s="27" t="s">
        <v>756</v>
      </c>
      <c r="J343" s="27"/>
      <c r="K343" s="27" t="s">
        <v>377</v>
      </c>
      <c r="L343" s="27"/>
      <c r="M343" s="27"/>
      <c r="N343" s="27"/>
      <c r="O343" s="27"/>
      <c r="P343" s="27"/>
      <c r="Q343" s="27">
        <v>1</v>
      </c>
      <c r="R343" s="27">
        <v>1</v>
      </c>
      <c r="S343" s="27">
        <v>1</v>
      </c>
      <c r="T343" s="27"/>
      <c r="U343" s="27"/>
      <c r="V343" s="27"/>
      <c r="W343" s="27"/>
      <c r="X343" s="27"/>
      <c r="Y343" s="27"/>
      <c r="Z343" s="27" t="s">
        <v>2159</v>
      </c>
      <c r="AA343" s="29">
        <v>0.3</v>
      </c>
      <c r="AB343" s="30">
        <f>AA343/0.0052</f>
        <v>57.692307692307693</v>
      </c>
      <c r="AC343" s="30">
        <f>AB343*0.089*24*365/10^6</f>
        <v>4.4979230769230764E-2</v>
      </c>
      <c r="AD343" s="30"/>
      <c r="AE343" s="30">
        <f>AB343</f>
        <v>57.692307692307693</v>
      </c>
      <c r="AF343" s="28" t="s">
        <v>2171</v>
      </c>
      <c r="AG343" s="28"/>
    </row>
    <row r="344" spans="1:33" ht="32.25" customHeight="1" x14ac:dyDescent="0.2">
      <c r="A344" s="27">
        <v>656</v>
      </c>
      <c r="B344" s="27" t="s">
        <v>2172</v>
      </c>
      <c r="C344" s="27" t="s">
        <v>980</v>
      </c>
      <c r="D344" s="27">
        <v>2014</v>
      </c>
      <c r="E344" s="27">
        <v>2017</v>
      </c>
      <c r="F344" s="27" t="s">
        <v>916</v>
      </c>
      <c r="G344" s="27" t="s">
        <v>268</v>
      </c>
      <c r="H344" s="27"/>
      <c r="I344" s="27" t="s">
        <v>756</v>
      </c>
      <c r="J344" s="27"/>
      <c r="K344" s="27" t="s">
        <v>396</v>
      </c>
      <c r="L344" s="27"/>
      <c r="M344" s="27"/>
      <c r="N344" s="27"/>
      <c r="O344" s="27"/>
      <c r="P344" s="27"/>
      <c r="Q344" s="27"/>
      <c r="R344" s="27"/>
      <c r="S344" s="27"/>
      <c r="T344" s="27"/>
      <c r="U344" s="27"/>
      <c r="V344" s="27"/>
      <c r="W344" s="27"/>
      <c r="X344" s="27">
        <v>1</v>
      </c>
      <c r="Y344" s="27"/>
      <c r="Z344" s="27" t="s">
        <v>1664</v>
      </c>
      <c r="AA344" s="29">
        <f>AB344*0.0046</f>
        <v>9.1999999999999998E-3</v>
      </c>
      <c r="AB344" s="30">
        <v>2</v>
      </c>
      <c r="AC344" s="30">
        <f>AB344*0.089*24*365/10^6</f>
        <v>1.5592800000000001E-3</v>
      </c>
      <c r="AD344" s="30"/>
      <c r="AE344" s="30">
        <f>AB344</f>
        <v>2</v>
      </c>
      <c r="AF344" s="28" t="s">
        <v>2173</v>
      </c>
      <c r="AG344" s="28"/>
    </row>
    <row r="345" spans="1:33" ht="32.25" customHeight="1" x14ac:dyDescent="0.2">
      <c r="A345" s="27">
        <v>657</v>
      </c>
      <c r="B345" s="27" t="s">
        <v>2174</v>
      </c>
      <c r="C345" s="27" t="s">
        <v>804</v>
      </c>
      <c r="D345" s="27">
        <v>2003</v>
      </c>
      <c r="E345" s="27">
        <v>2011</v>
      </c>
      <c r="F345" s="27" t="s">
        <v>916</v>
      </c>
      <c r="G345" s="27" t="s">
        <v>268</v>
      </c>
      <c r="H345" s="27"/>
      <c r="I345" s="27" t="s">
        <v>756</v>
      </c>
      <c r="J345" s="27"/>
      <c r="K345" s="27" t="s">
        <v>377</v>
      </c>
      <c r="L345" s="27"/>
      <c r="M345" s="27"/>
      <c r="N345" s="27"/>
      <c r="O345" s="27"/>
      <c r="P345" s="27"/>
      <c r="Q345" s="27">
        <v>1</v>
      </c>
      <c r="R345" s="27"/>
      <c r="S345" s="27"/>
      <c r="T345" s="27"/>
      <c r="U345" s="27"/>
      <c r="V345" s="27"/>
      <c r="W345" s="27"/>
      <c r="X345" s="27"/>
      <c r="Y345" s="27"/>
      <c r="Z345" s="27" t="s">
        <v>2135</v>
      </c>
      <c r="AA345" s="29">
        <f>AB345*0.0046</f>
        <v>0.27600000000000002</v>
      </c>
      <c r="AB345" s="30">
        <v>60</v>
      </c>
      <c r="AC345" s="30">
        <f>AB345*0.089*24*365/10^6</f>
        <v>4.6778400000000005E-2</v>
      </c>
      <c r="AD345" s="30"/>
      <c r="AE345" s="30">
        <f>AB345</f>
        <v>60</v>
      </c>
      <c r="AF345" s="28" t="s">
        <v>2175</v>
      </c>
      <c r="AG345" s="28"/>
    </row>
    <row r="346" spans="1:33" ht="32.25" customHeight="1" x14ac:dyDescent="0.2">
      <c r="A346" s="27">
        <v>658</v>
      </c>
      <c r="B346" s="27" t="s">
        <v>2176</v>
      </c>
      <c r="C346" s="27" t="s">
        <v>356</v>
      </c>
      <c r="D346" s="27">
        <v>2014</v>
      </c>
      <c r="E346" s="27">
        <v>2017</v>
      </c>
      <c r="F346" s="27" t="s">
        <v>916</v>
      </c>
      <c r="G346" s="27" t="s">
        <v>266</v>
      </c>
      <c r="H346" s="27"/>
      <c r="I346" s="27" t="s">
        <v>756</v>
      </c>
      <c r="J346" s="27"/>
      <c r="K346" s="27" t="s">
        <v>767</v>
      </c>
      <c r="L346" s="27"/>
      <c r="M346" s="27"/>
      <c r="N346" s="27"/>
      <c r="O346" s="27"/>
      <c r="P346" s="27"/>
      <c r="Q346" s="27"/>
      <c r="R346" s="27">
        <v>1</v>
      </c>
      <c r="S346" s="27"/>
      <c r="T346" s="27"/>
      <c r="U346" s="27"/>
      <c r="V346" s="27"/>
      <c r="W346" s="27">
        <v>1</v>
      </c>
      <c r="X346" s="27">
        <v>1</v>
      </c>
      <c r="Y346" s="27"/>
      <c r="Z346" s="27" t="s">
        <v>2177</v>
      </c>
      <c r="AA346" s="29">
        <f>AB346*0.0052</f>
        <v>1.56E-3</v>
      </c>
      <c r="AB346" s="30">
        <v>0.3</v>
      </c>
      <c r="AC346" s="30">
        <f>AB346*0.089*24*365/10^6</f>
        <v>2.3389199999999998E-4</v>
      </c>
      <c r="AD346" s="30"/>
      <c r="AE346" s="30">
        <f>AB346</f>
        <v>0.3</v>
      </c>
      <c r="AF346" s="28"/>
      <c r="AG346" s="28"/>
    </row>
    <row r="347" spans="1:33" ht="32.25" customHeight="1" x14ac:dyDescent="0.2">
      <c r="A347" s="27">
        <v>659</v>
      </c>
      <c r="B347" s="27" t="s">
        <v>2178</v>
      </c>
      <c r="C347" s="27" t="s">
        <v>331</v>
      </c>
      <c r="D347" s="27">
        <v>2014</v>
      </c>
      <c r="E347" s="27">
        <v>2017</v>
      </c>
      <c r="F347" s="27" t="s">
        <v>916</v>
      </c>
      <c r="G347" s="27" t="s">
        <v>267</v>
      </c>
      <c r="H347" s="27"/>
      <c r="I347" s="27" t="s">
        <v>756</v>
      </c>
      <c r="J347" s="27"/>
      <c r="K347" s="27" t="s">
        <v>396</v>
      </c>
      <c r="L347" s="27"/>
      <c r="M347" s="27"/>
      <c r="N347" s="27"/>
      <c r="O347" s="27"/>
      <c r="P347" s="27"/>
      <c r="Q347" s="27"/>
      <c r="R347" s="27"/>
      <c r="S347" s="27"/>
      <c r="T347" s="27"/>
      <c r="U347" s="27"/>
      <c r="V347" s="27"/>
      <c r="W347" s="27">
        <v>1</v>
      </c>
      <c r="X347" s="27">
        <v>1</v>
      </c>
      <c r="Y347" s="27"/>
      <c r="Z347" s="27"/>
      <c r="AA347" s="29"/>
      <c r="AB347" s="30"/>
      <c r="AC347" s="30"/>
      <c r="AD347" s="30"/>
      <c r="AE347" s="30"/>
      <c r="AF347" s="28" t="s">
        <v>2179</v>
      </c>
      <c r="AG347" s="28"/>
    </row>
    <row r="348" spans="1:33" ht="32.25" customHeight="1" x14ac:dyDescent="0.2">
      <c r="A348" s="27">
        <v>660</v>
      </c>
      <c r="B348" s="27" t="s">
        <v>2180</v>
      </c>
      <c r="C348" s="27" t="s">
        <v>980</v>
      </c>
      <c r="D348" s="27">
        <v>2008</v>
      </c>
      <c r="E348" s="27">
        <v>2011</v>
      </c>
      <c r="F348" s="27" t="s">
        <v>916</v>
      </c>
      <c r="G348" s="27" t="s">
        <v>268</v>
      </c>
      <c r="H348" s="27"/>
      <c r="I348" s="27" t="s">
        <v>768</v>
      </c>
      <c r="J348" s="27" t="s">
        <v>863</v>
      </c>
      <c r="K348" s="27" t="s">
        <v>377</v>
      </c>
      <c r="L348" s="27"/>
      <c r="M348" s="27"/>
      <c r="N348" s="27"/>
      <c r="O348" s="27"/>
      <c r="P348" s="27"/>
      <c r="Q348" s="27"/>
      <c r="R348" s="27">
        <v>1</v>
      </c>
      <c r="S348" s="27"/>
      <c r="T348" s="27"/>
      <c r="U348" s="27"/>
      <c r="V348" s="27"/>
      <c r="W348" s="27"/>
      <c r="X348" s="27"/>
      <c r="Y348" s="27"/>
      <c r="Z348" s="27" t="s">
        <v>2181</v>
      </c>
      <c r="AA348" s="29">
        <v>0.3</v>
      </c>
      <c r="AB348" s="30">
        <v>60</v>
      </c>
      <c r="AC348" s="30">
        <f>AB348*0.089*24*365/10^6</f>
        <v>4.6778400000000005E-2</v>
      </c>
      <c r="AD348" s="30"/>
      <c r="AE348" s="30">
        <f>AB348</f>
        <v>60</v>
      </c>
      <c r="AF348" s="28" t="s">
        <v>2182</v>
      </c>
      <c r="AG348" s="28"/>
    </row>
    <row r="349" spans="1:33" ht="32.25" customHeight="1" x14ac:dyDescent="0.2">
      <c r="A349" s="27">
        <v>661</v>
      </c>
      <c r="B349" s="27" t="s">
        <v>2183</v>
      </c>
      <c r="C349" s="27" t="s">
        <v>360</v>
      </c>
      <c r="D349" s="27">
        <v>2003</v>
      </c>
      <c r="E349" s="27">
        <v>2006</v>
      </c>
      <c r="F349" s="27" t="s">
        <v>916</v>
      </c>
      <c r="G349" s="27" t="s">
        <v>268</v>
      </c>
      <c r="H349" s="27"/>
      <c r="I349" s="27" t="s">
        <v>756</v>
      </c>
      <c r="J349" s="27"/>
      <c r="K349" s="27" t="s">
        <v>377</v>
      </c>
      <c r="L349" s="27"/>
      <c r="M349" s="27"/>
      <c r="N349" s="27"/>
      <c r="O349" s="27"/>
      <c r="P349" s="27"/>
      <c r="Q349" s="27">
        <v>1</v>
      </c>
      <c r="R349" s="27"/>
      <c r="S349" s="27"/>
      <c r="T349" s="27"/>
      <c r="U349" s="27"/>
      <c r="V349" s="27"/>
      <c r="W349" s="27"/>
      <c r="X349" s="27"/>
      <c r="Y349" s="27"/>
      <c r="Z349" s="27" t="s">
        <v>2181</v>
      </c>
      <c r="AA349" s="29">
        <v>0.3</v>
      </c>
      <c r="AB349" s="30">
        <v>60</v>
      </c>
      <c r="AC349" s="30">
        <f>AB349*0.089*24*365/10^6</f>
        <v>4.6778400000000005E-2</v>
      </c>
      <c r="AD349" s="30"/>
      <c r="AE349" s="30">
        <f>AB349</f>
        <v>60</v>
      </c>
      <c r="AF349" s="28" t="s">
        <v>2175</v>
      </c>
      <c r="AG349" s="28"/>
    </row>
    <row r="350" spans="1:33" ht="32.25" customHeight="1" x14ac:dyDescent="0.2">
      <c r="A350" s="27">
        <v>662</v>
      </c>
      <c r="B350" s="27" t="s">
        <v>2184</v>
      </c>
      <c r="C350" s="27" t="s">
        <v>347</v>
      </c>
      <c r="D350" s="27">
        <v>2003</v>
      </c>
      <c r="E350" s="27">
        <v>2009</v>
      </c>
      <c r="F350" s="27" t="s">
        <v>916</v>
      </c>
      <c r="G350" s="27" t="s">
        <v>268</v>
      </c>
      <c r="H350" s="27"/>
      <c r="I350" s="27" t="s">
        <v>756</v>
      </c>
      <c r="J350" s="27"/>
      <c r="K350" s="27" t="s">
        <v>377</v>
      </c>
      <c r="L350" s="27"/>
      <c r="M350" s="27"/>
      <c r="N350" s="27"/>
      <c r="O350" s="27"/>
      <c r="P350" s="27"/>
      <c r="Q350" s="27">
        <v>1</v>
      </c>
      <c r="R350" s="27"/>
      <c r="S350" s="27"/>
      <c r="T350" s="27"/>
      <c r="U350" s="27"/>
      <c r="V350" s="27"/>
      <c r="W350" s="27"/>
      <c r="X350" s="27"/>
      <c r="Y350" s="27"/>
      <c r="Z350" s="27" t="s">
        <v>2181</v>
      </c>
      <c r="AA350" s="29">
        <v>0.3</v>
      </c>
      <c r="AB350" s="30">
        <v>60</v>
      </c>
      <c r="AC350" s="30">
        <f>AB350*0.089*24*365/10^6</f>
        <v>4.6778400000000005E-2</v>
      </c>
      <c r="AD350" s="30"/>
      <c r="AE350" s="30">
        <f>AB350</f>
        <v>60</v>
      </c>
      <c r="AF350" s="28" t="s">
        <v>2175</v>
      </c>
      <c r="AG350" s="28"/>
    </row>
    <row r="351" spans="1:33" ht="32.25" customHeight="1" x14ac:dyDescent="0.2">
      <c r="A351" s="27">
        <v>663</v>
      </c>
      <c r="B351" s="27" t="s">
        <v>2185</v>
      </c>
      <c r="C351" s="27" t="s">
        <v>341</v>
      </c>
      <c r="D351" s="27">
        <v>2015</v>
      </c>
      <c r="E351" s="27">
        <v>2017</v>
      </c>
      <c r="F351" s="27" t="s">
        <v>916</v>
      </c>
      <c r="G351" s="27" t="s">
        <v>266</v>
      </c>
      <c r="H351" s="27"/>
      <c r="I351" s="27" t="s">
        <v>756</v>
      </c>
      <c r="J351" s="27"/>
      <c r="K351" s="27" t="s">
        <v>377</v>
      </c>
      <c r="L351" s="27"/>
      <c r="M351" s="27"/>
      <c r="N351" s="27"/>
      <c r="O351" s="27"/>
      <c r="P351" s="27">
        <v>1</v>
      </c>
      <c r="Q351" s="27">
        <v>1</v>
      </c>
      <c r="R351" s="27"/>
      <c r="S351" s="27">
        <v>1</v>
      </c>
      <c r="T351" s="27"/>
      <c r="U351" s="27"/>
      <c r="V351" s="27"/>
      <c r="W351" s="27"/>
      <c r="X351" s="27"/>
      <c r="Y351" s="27"/>
      <c r="Z351" s="27" t="s">
        <v>1755</v>
      </c>
      <c r="AA351" s="29">
        <v>0.1</v>
      </c>
      <c r="AB351" s="30">
        <f>AA351/0.0052</f>
        <v>19.230769230769234</v>
      </c>
      <c r="AC351" s="30">
        <f>AB351*0.089*24*365/10^6</f>
        <v>1.4993076923076923E-2</v>
      </c>
      <c r="AD351" s="30"/>
      <c r="AE351" s="30">
        <f>AB351</f>
        <v>19.230769230769234</v>
      </c>
      <c r="AF351" s="28" t="s">
        <v>2186</v>
      </c>
      <c r="AG351" s="28"/>
    </row>
    <row r="352" spans="1:33" ht="32.25" customHeight="1" x14ac:dyDescent="0.2">
      <c r="A352" s="27">
        <v>664</v>
      </c>
      <c r="B352" s="27" t="s">
        <v>2187</v>
      </c>
      <c r="C352" s="27" t="s">
        <v>337</v>
      </c>
      <c r="D352" s="27">
        <v>2015</v>
      </c>
      <c r="E352" s="27">
        <v>2017</v>
      </c>
      <c r="F352" s="27" t="s">
        <v>916</v>
      </c>
      <c r="G352" s="27" t="s">
        <v>267</v>
      </c>
      <c r="H352" s="27"/>
      <c r="I352" s="27" t="s">
        <v>756</v>
      </c>
      <c r="J352" s="27"/>
      <c r="K352" s="27" t="s">
        <v>377</v>
      </c>
      <c r="L352" s="27"/>
      <c r="M352" s="27"/>
      <c r="N352" s="27"/>
      <c r="O352" s="27"/>
      <c r="P352" s="27"/>
      <c r="Q352" s="27"/>
      <c r="R352" s="27">
        <v>1</v>
      </c>
      <c r="S352" s="27"/>
      <c r="T352" s="27"/>
      <c r="U352" s="27"/>
      <c r="V352" s="27"/>
      <c r="W352" s="27"/>
      <c r="X352" s="27"/>
      <c r="Y352" s="27"/>
      <c r="Z352" s="27" t="s">
        <v>1603</v>
      </c>
      <c r="AA352" s="29">
        <f>AB352*0.0038</f>
        <v>3.7999999999999999E-2</v>
      </c>
      <c r="AB352" s="30">
        <v>10</v>
      </c>
      <c r="AC352" s="30">
        <f>AB352*0.089*24*365/10^6</f>
        <v>7.7963999999999993E-3</v>
      </c>
      <c r="AD352" s="30"/>
      <c r="AE352" s="30">
        <f>AB352</f>
        <v>10</v>
      </c>
      <c r="AF352" s="28" t="s">
        <v>1756</v>
      </c>
      <c r="AG352" s="28"/>
    </row>
    <row r="353" spans="1:33" ht="32.25" customHeight="1" x14ac:dyDescent="0.2">
      <c r="A353" s="27">
        <v>665</v>
      </c>
      <c r="B353" s="27" t="s">
        <v>2188</v>
      </c>
      <c r="C353" s="27" t="s">
        <v>356</v>
      </c>
      <c r="D353" s="27">
        <v>2015</v>
      </c>
      <c r="E353" s="27">
        <v>2017</v>
      </c>
      <c r="F353" s="27" t="s">
        <v>916</v>
      </c>
      <c r="G353" s="27" t="s">
        <v>268</v>
      </c>
      <c r="H353" s="27"/>
      <c r="I353" s="27" t="s">
        <v>756</v>
      </c>
      <c r="J353" s="27"/>
      <c r="K353" s="27" t="s">
        <v>396</v>
      </c>
      <c r="L353" s="27"/>
      <c r="M353" s="27"/>
      <c r="N353" s="27"/>
      <c r="O353" s="27"/>
      <c r="P353" s="27"/>
      <c r="Q353" s="27"/>
      <c r="R353" s="27"/>
      <c r="S353" s="27"/>
      <c r="T353" s="27"/>
      <c r="U353" s="27"/>
      <c r="V353" s="27"/>
      <c r="W353" s="27"/>
      <c r="X353" s="27">
        <v>1</v>
      </c>
      <c r="Y353" s="27">
        <v>1</v>
      </c>
      <c r="Z353" s="27" t="s">
        <v>1533</v>
      </c>
      <c r="AA353" s="29">
        <v>2.5000000000000001E-2</v>
      </c>
      <c r="AB353" s="30">
        <f>AA353/0.0046</f>
        <v>5.4347826086956523</v>
      </c>
      <c r="AC353" s="30">
        <f>AB353*0.089*24*365/10^6</f>
        <v>4.237173913043478E-3</v>
      </c>
      <c r="AD353" s="30"/>
      <c r="AE353" s="30">
        <f>AB353</f>
        <v>5.4347826086956523</v>
      </c>
      <c r="AF353" s="28" t="s">
        <v>2189</v>
      </c>
      <c r="AG353" s="28"/>
    </row>
    <row r="354" spans="1:33" ht="32.25" customHeight="1" x14ac:dyDescent="0.2">
      <c r="A354" s="27">
        <v>666</v>
      </c>
      <c r="B354" s="27" t="s">
        <v>2190</v>
      </c>
      <c r="C354" s="27" t="s">
        <v>804</v>
      </c>
      <c r="D354" s="27">
        <v>2015</v>
      </c>
      <c r="E354" s="27">
        <v>2017</v>
      </c>
      <c r="F354" s="27" t="s">
        <v>916</v>
      </c>
      <c r="G354" s="27" t="s">
        <v>267</v>
      </c>
      <c r="H354" s="27"/>
      <c r="I354" s="27" t="s">
        <v>756</v>
      </c>
      <c r="J354" s="27"/>
      <c r="K354" s="27" t="s">
        <v>377</v>
      </c>
      <c r="L354" s="27"/>
      <c r="M354" s="27"/>
      <c r="N354" s="27"/>
      <c r="O354" s="27"/>
      <c r="P354" s="27"/>
      <c r="Q354" s="27"/>
      <c r="R354" s="27">
        <v>1</v>
      </c>
      <c r="S354" s="27"/>
      <c r="T354" s="27"/>
      <c r="U354" s="27"/>
      <c r="V354" s="27"/>
      <c r="W354" s="27"/>
      <c r="X354" s="27"/>
      <c r="Y354" s="27"/>
      <c r="Z354" s="27" t="s">
        <v>1783</v>
      </c>
      <c r="AA354" s="29">
        <v>0.01</v>
      </c>
      <c r="AB354" s="30">
        <f>AA354/0.0038</f>
        <v>2.6315789473684212</v>
      </c>
      <c r="AC354" s="30">
        <f>AB354*0.089*24*365/10^6</f>
        <v>2.0516842105263158E-3</v>
      </c>
      <c r="AD354" s="30"/>
      <c r="AE354" s="30">
        <f>AB354</f>
        <v>2.6315789473684212</v>
      </c>
      <c r="AF354" s="28"/>
      <c r="AG354" s="28"/>
    </row>
    <row r="355" spans="1:33" ht="32.25" customHeight="1" x14ac:dyDescent="0.2">
      <c r="A355" s="27">
        <v>667</v>
      </c>
      <c r="B355" s="27" t="s">
        <v>2191</v>
      </c>
      <c r="C355" s="27" t="s">
        <v>356</v>
      </c>
      <c r="D355" s="27">
        <v>2015</v>
      </c>
      <c r="E355" s="27">
        <v>2017</v>
      </c>
      <c r="F355" s="27" t="s">
        <v>916</v>
      </c>
      <c r="G355" s="27" t="s">
        <v>758</v>
      </c>
      <c r="H355" s="27" t="s">
        <v>1406</v>
      </c>
      <c r="I355" s="27" t="s">
        <v>756</v>
      </c>
      <c r="J355" s="27"/>
      <c r="K355" s="27" t="s">
        <v>396</v>
      </c>
      <c r="L355" s="27"/>
      <c r="M355" s="27"/>
      <c r="N355" s="27"/>
      <c r="O355" s="27"/>
      <c r="P355" s="27"/>
      <c r="Q355" s="27"/>
      <c r="R355" s="27"/>
      <c r="S355" s="27"/>
      <c r="T355" s="27"/>
      <c r="U355" s="27"/>
      <c r="V355" s="27"/>
      <c r="W355" s="27"/>
      <c r="X355" s="27">
        <v>1</v>
      </c>
      <c r="Y355" s="27">
        <v>1</v>
      </c>
      <c r="Z355" s="27"/>
      <c r="AA355" s="29"/>
      <c r="AB355" s="30"/>
      <c r="AC355" s="30"/>
      <c r="AD355" s="30"/>
      <c r="AE355" s="30"/>
      <c r="AF355" s="28" t="s">
        <v>2192</v>
      </c>
      <c r="AG355" s="28"/>
    </row>
    <row r="356" spans="1:33" ht="32.25" customHeight="1" x14ac:dyDescent="0.2">
      <c r="A356" s="27">
        <v>668</v>
      </c>
      <c r="B356" s="27" t="s">
        <v>2193</v>
      </c>
      <c r="C356" s="27" t="s">
        <v>804</v>
      </c>
      <c r="D356" s="27">
        <v>2015</v>
      </c>
      <c r="E356" s="27">
        <v>2018</v>
      </c>
      <c r="F356" s="27" t="s">
        <v>916</v>
      </c>
      <c r="G356" s="27" t="s">
        <v>758</v>
      </c>
      <c r="H356" s="27" t="s">
        <v>1406</v>
      </c>
      <c r="I356" s="27" t="s">
        <v>756</v>
      </c>
      <c r="J356" s="27"/>
      <c r="K356" s="27" t="s">
        <v>396</v>
      </c>
      <c r="L356" s="27"/>
      <c r="M356" s="27"/>
      <c r="N356" s="27"/>
      <c r="O356" s="27"/>
      <c r="P356" s="27"/>
      <c r="Q356" s="27"/>
      <c r="R356" s="27"/>
      <c r="S356" s="27"/>
      <c r="T356" s="27"/>
      <c r="U356" s="27"/>
      <c r="V356" s="27"/>
      <c r="W356" s="27"/>
      <c r="X356" s="27">
        <v>1</v>
      </c>
      <c r="Y356" s="27"/>
      <c r="Z356" s="27"/>
      <c r="AA356" s="29"/>
      <c r="AB356" s="30"/>
      <c r="AC356" s="30"/>
      <c r="AD356" s="30"/>
      <c r="AE356" s="30"/>
      <c r="AF356" s="28" t="s">
        <v>2194</v>
      </c>
      <c r="AG356" s="28"/>
    </row>
    <row r="357" spans="1:33" ht="32.25" customHeight="1" x14ac:dyDescent="0.2">
      <c r="A357" s="27">
        <v>669</v>
      </c>
      <c r="B357" s="27" t="s">
        <v>6</v>
      </c>
      <c r="C357" s="27" t="s">
        <v>351</v>
      </c>
      <c r="D357" s="27">
        <v>2003</v>
      </c>
      <c r="E357" s="27">
        <v>2007</v>
      </c>
      <c r="F357" s="27" t="s">
        <v>916</v>
      </c>
      <c r="G357" s="27" t="s">
        <v>268</v>
      </c>
      <c r="H357" s="27"/>
      <c r="I357" s="27" t="s">
        <v>756</v>
      </c>
      <c r="J357" s="27"/>
      <c r="K357" s="27" t="s">
        <v>377</v>
      </c>
      <c r="L357" s="27"/>
      <c r="M357" s="27"/>
      <c r="N357" s="27"/>
      <c r="O357" s="27"/>
      <c r="P357" s="27"/>
      <c r="Q357" s="27">
        <v>1</v>
      </c>
      <c r="R357" s="27"/>
      <c r="S357" s="27"/>
      <c r="T357" s="27"/>
      <c r="U357" s="27"/>
      <c r="V357" s="27"/>
      <c r="W357" s="27"/>
      <c r="X357" s="27"/>
      <c r="Y357" s="27"/>
      <c r="Z357" s="27" t="s">
        <v>2135</v>
      </c>
      <c r="AA357" s="29">
        <f>AB357*0.0046</f>
        <v>0.27600000000000002</v>
      </c>
      <c r="AB357" s="30">
        <v>60</v>
      </c>
      <c r="AC357" s="30">
        <f>AB357*0.089*24*365/10^6</f>
        <v>4.6778400000000005E-2</v>
      </c>
      <c r="AD357" s="30"/>
      <c r="AE357" s="30">
        <f>AB357</f>
        <v>60</v>
      </c>
      <c r="AF357" s="28" t="s">
        <v>2195</v>
      </c>
      <c r="AG357" s="28"/>
    </row>
    <row r="358" spans="1:33" ht="32.25" customHeight="1" x14ac:dyDescent="0.2">
      <c r="A358" s="27">
        <v>670</v>
      </c>
      <c r="B358" s="27" t="s">
        <v>2196</v>
      </c>
      <c r="C358" s="27" t="s">
        <v>804</v>
      </c>
      <c r="D358" s="27">
        <v>2009</v>
      </c>
      <c r="E358" s="27">
        <v>2013</v>
      </c>
      <c r="F358" s="27" t="s">
        <v>916</v>
      </c>
      <c r="G358" s="27" t="s">
        <v>268</v>
      </c>
      <c r="H358" s="27"/>
      <c r="I358" s="27" t="s">
        <v>756</v>
      </c>
      <c r="J358" s="27"/>
      <c r="K358" s="27" t="s">
        <v>396</v>
      </c>
      <c r="L358" s="27"/>
      <c r="M358" s="27"/>
      <c r="N358" s="27"/>
      <c r="O358" s="27"/>
      <c r="P358" s="27"/>
      <c r="Q358" s="27"/>
      <c r="R358" s="27"/>
      <c r="S358" s="27"/>
      <c r="T358" s="27"/>
      <c r="U358" s="27"/>
      <c r="V358" s="27"/>
      <c r="W358" s="27"/>
      <c r="X358" s="27"/>
      <c r="Y358" s="27">
        <v>1</v>
      </c>
      <c r="Z358" s="27" t="s">
        <v>1932</v>
      </c>
      <c r="AA358" s="29">
        <v>0.25</v>
      </c>
      <c r="AB358" s="30">
        <f>AA358/0.0046</f>
        <v>54.347826086956523</v>
      </c>
      <c r="AC358" s="30">
        <f>AB358*0.089*24*365/10^6</f>
        <v>4.2371739130434787E-2</v>
      </c>
      <c r="AD358" s="30"/>
      <c r="AE358" s="30">
        <f>AB358</f>
        <v>54.347826086956523</v>
      </c>
      <c r="AF358" s="28" t="s">
        <v>2197</v>
      </c>
      <c r="AG358" s="28"/>
    </row>
    <row r="359" spans="1:33" ht="32.25" customHeight="1" x14ac:dyDescent="0.2">
      <c r="A359" s="27">
        <v>671</v>
      </c>
      <c r="B359" s="27" t="s">
        <v>2198</v>
      </c>
      <c r="C359" s="27" t="s">
        <v>339</v>
      </c>
      <c r="D359" s="27">
        <v>2016</v>
      </c>
      <c r="E359" s="27">
        <v>2019</v>
      </c>
      <c r="F359" s="27" t="s">
        <v>916</v>
      </c>
      <c r="G359" s="27" t="s">
        <v>266</v>
      </c>
      <c r="H359" s="27"/>
      <c r="I359" s="27" t="s">
        <v>756</v>
      </c>
      <c r="J359" s="27"/>
      <c r="K359" s="27" t="s">
        <v>377</v>
      </c>
      <c r="L359" s="27"/>
      <c r="M359" s="27"/>
      <c r="N359" s="27"/>
      <c r="O359" s="27"/>
      <c r="P359" s="27"/>
      <c r="Q359" s="27">
        <v>1</v>
      </c>
      <c r="R359" s="27"/>
      <c r="S359" s="27"/>
      <c r="T359" s="27">
        <v>1</v>
      </c>
      <c r="U359" s="27"/>
      <c r="V359" s="27"/>
      <c r="W359" s="27"/>
      <c r="X359" s="27"/>
      <c r="Y359" s="27"/>
      <c r="Z359" s="27" t="s">
        <v>2199</v>
      </c>
      <c r="AA359" s="29">
        <f>AB359*0.0052</f>
        <v>0.182</v>
      </c>
      <c r="AB359" s="30">
        <v>35</v>
      </c>
      <c r="AC359" s="30">
        <f>AB359*0.089*24*365/10^6</f>
        <v>2.7287399999999996E-2</v>
      </c>
      <c r="AD359" s="30"/>
      <c r="AE359" s="30">
        <f>AB359</f>
        <v>35</v>
      </c>
      <c r="AF359" s="28" t="s">
        <v>2200</v>
      </c>
      <c r="AG359" s="28"/>
    </row>
    <row r="360" spans="1:33" ht="32.25" customHeight="1" x14ac:dyDescent="0.2">
      <c r="A360" s="27">
        <v>672</v>
      </c>
      <c r="B360" s="27" t="s">
        <v>2201</v>
      </c>
      <c r="C360" s="27" t="s">
        <v>337</v>
      </c>
      <c r="D360" s="27">
        <v>2016</v>
      </c>
      <c r="E360" s="27">
        <v>2017</v>
      </c>
      <c r="F360" s="27" t="s">
        <v>916</v>
      </c>
      <c r="G360" s="27" t="s">
        <v>266</v>
      </c>
      <c r="H360" s="27"/>
      <c r="I360" s="27" t="s">
        <v>756</v>
      </c>
      <c r="J360" s="27"/>
      <c r="K360" s="27" t="s">
        <v>377</v>
      </c>
      <c r="L360" s="27"/>
      <c r="M360" s="27"/>
      <c r="N360" s="27"/>
      <c r="O360" s="27"/>
      <c r="P360" s="27"/>
      <c r="Q360" s="27">
        <v>1</v>
      </c>
      <c r="R360" s="27"/>
      <c r="S360" s="27"/>
      <c r="T360" s="27"/>
      <c r="U360" s="27"/>
      <c r="V360" s="27"/>
      <c r="W360" s="27"/>
      <c r="X360" s="27"/>
      <c r="Y360" s="27"/>
      <c r="Z360" s="27" t="s">
        <v>2202</v>
      </c>
      <c r="AA360" s="29">
        <f>AB360*0.0052</f>
        <v>6.7599999999999993E-2</v>
      </c>
      <c r="AB360" s="30">
        <v>13</v>
      </c>
      <c r="AC360" s="30">
        <f>AB360*0.089*24*365/10^6</f>
        <v>1.013532E-2</v>
      </c>
      <c r="AD360" s="30"/>
      <c r="AE360" s="30">
        <f>AB360</f>
        <v>13</v>
      </c>
      <c r="AF360" s="28" t="s">
        <v>2203</v>
      </c>
      <c r="AG360" s="28"/>
    </row>
    <row r="361" spans="1:33" ht="32.25" customHeight="1" x14ac:dyDescent="0.2">
      <c r="A361" s="27">
        <v>673</v>
      </c>
      <c r="B361" s="27" t="s">
        <v>2204</v>
      </c>
      <c r="C361" s="27" t="s">
        <v>804</v>
      </c>
      <c r="D361" s="27">
        <v>2016</v>
      </c>
      <c r="E361" s="27">
        <v>2017</v>
      </c>
      <c r="F361" s="27" t="s">
        <v>916</v>
      </c>
      <c r="G361" s="27" t="s">
        <v>267</v>
      </c>
      <c r="H361" s="27"/>
      <c r="I361" s="27" t="s">
        <v>756</v>
      </c>
      <c r="J361" s="27"/>
      <c r="K361" s="27" t="s">
        <v>396</v>
      </c>
      <c r="L361" s="27"/>
      <c r="M361" s="27"/>
      <c r="N361" s="27"/>
      <c r="O361" s="27"/>
      <c r="P361" s="27"/>
      <c r="Q361" s="27"/>
      <c r="R361" s="27"/>
      <c r="S361" s="27"/>
      <c r="T361" s="27"/>
      <c r="U361" s="27"/>
      <c r="V361" s="27"/>
      <c r="W361" s="27"/>
      <c r="X361" s="27">
        <v>1</v>
      </c>
      <c r="Y361" s="27">
        <v>1</v>
      </c>
      <c r="Z361" s="27" t="s">
        <v>2000</v>
      </c>
      <c r="AA361" s="29">
        <v>1.4999999999999999E-2</v>
      </c>
      <c r="AB361" s="30">
        <f>AA361/0.0038</f>
        <v>3.9473684210526314</v>
      </c>
      <c r="AC361" s="30">
        <f>AB361*0.089*24*365/10^6</f>
        <v>3.0775263157894733E-3</v>
      </c>
      <c r="AD361" s="30"/>
      <c r="AE361" s="30">
        <f>AB361</f>
        <v>3.9473684210526314</v>
      </c>
      <c r="AF361" s="28" t="s">
        <v>2205</v>
      </c>
      <c r="AG361" s="28"/>
    </row>
    <row r="362" spans="1:33" ht="32.25" customHeight="1" x14ac:dyDescent="0.2">
      <c r="A362" s="27">
        <v>674</v>
      </c>
      <c r="B362" s="27" t="s">
        <v>2206</v>
      </c>
      <c r="C362" s="27" t="s">
        <v>337</v>
      </c>
      <c r="D362" s="27">
        <v>2016</v>
      </c>
      <c r="E362" s="27">
        <v>2017</v>
      </c>
      <c r="F362" s="27" t="s">
        <v>916</v>
      </c>
      <c r="G362" s="27" t="s">
        <v>266</v>
      </c>
      <c r="H362" s="27"/>
      <c r="I362" s="27" t="s">
        <v>756</v>
      </c>
      <c r="J362" s="27"/>
      <c r="K362" s="27" t="s">
        <v>377</v>
      </c>
      <c r="L362" s="27"/>
      <c r="M362" s="27"/>
      <c r="N362" s="27"/>
      <c r="O362" s="27"/>
      <c r="P362" s="27"/>
      <c r="Q362" s="27">
        <v>1</v>
      </c>
      <c r="R362" s="27"/>
      <c r="S362" s="27"/>
      <c r="T362" s="27"/>
      <c r="U362" s="27"/>
      <c r="V362" s="27"/>
      <c r="W362" s="27"/>
      <c r="X362" s="27"/>
      <c r="Y362" s="27"/>
      <c r="Z362" s="27" t="s">
        <v>1612</v>
      </c>
      <c r="AA362" s="29">
        <f>AB362*0.0052</f>
        <v>5.1999999999999998E-3</v>
      </c>
      <c r="AB362" s="30">
        <v>1</v>
      </c>
      <c r="AC362" s="30">
        <f>AB362*0.089*24*365/10^6</f>
        <v>7.7964000000000006E-4</v>
      </c>
      <c r="AD362" s="30"/>
      <c r="AE362" s="30">
        <f>AB362</f>
        <v>1</v>
      </c>
      <c r="AF362" s="28" t="s">
        <v>2203</v>
      </c>
      <c r="AG362" s="28"/>
    </row>
    <row r="363" spans="1:33" ht="32.25" customHeight="1" x14ac:dyDescent="0.2">
      <c r="A363" s="27">
        <v>675</v>
      </c>
      <c r="B363" s="27" t="s">
        <v>2207</v>
      </c>
      <c r="C363" s="27" t="s">
        <v>339</v>
      </c>
      <c r="D363" s="27">
        <v>2016</v>
      </c>
      <c r="E363" s="27">
        <v>2019</v>
      </c>
      <c r="F363" s="27" t="s">
        <v>916</v>
      </c>
      <c r="G363" s="27" t="s">
        <v>760</v>
      </c>
      <c r="H363" s="27" t="s">
        <v>1970</v>
      </c>
      <c r="I363" s="27"/>
      <c r="J363" s="27"/>
      <c r="K363" s="27" t="s">
        <v>377</v>
      </c>
      <c r="L363" s="27"/>
      <c r="M363" s="27"/>
      <c r="N363" s="27"/>
      <c r="O363" s="27"/>
      <c r="P363" s="27"/>
      <c r="Q363" s="27">
        <v>1</v>
      </c>
      <c r="R363" s="27"/>
      <c r="S363" s="27"/>
      <c r="T363" s="27"/>
      <c r="U363" s="27"/>
      <c r="V363" s="27"/>
      <c r="W363" s="27"/>
      <c r="X363" s="27"/>
      <c r="Y363" s="27"/>
      <c r="Z363" s="27" t="s">
        <v>2208</v>
      </c>
      <c r="AA363" s="29"/>
      <c r="AB363" s="30"/>
      <c r="AC363" s="30"/>
      <c r="AD363" s="30">
        <v>100000</v>
      </c>
      <c r="AE363" s="30">
        <f>AD363*1000/(24*365*0.9105)</f>
        <v>12537.644276941517</v>
      </c>
      <c r="AF363" s="28" t="s">
        <v>2209</v>
      </c>
      <c r="AG363" s="28"/>
    </row>
    <row r="364" spans="1:33" ht="32.25" customHeight="1" x14ac:dyDescent="0.2">
      <c r="A364" s="27">
        <v>676</v>
      </c>
      <c r="B364" s="27" t="s">
        <v>2210</v>
      </c>
      <c r="C364" s="27" t="s">
        <v>804</v>
      </c>
      <c r="D364" s="27">
        <v>2017</v>
      </c>
      <c r="E364" s="27">
        <v>2019</v>
      </c>
      <c r="F364" s="27" t="s">
        <v>916</v>
      </c>
      <c r="G364" s="27" t="s">
        <v>267</v>
      </c>
      <c r="H364" s="27"/>
      <c r="I364" s="27" t="s">
        <v>756</v>
      </c>
      <c r="J364" s="27"/>
      <c r="K364" s="27" t="s">
        <v>377</v>
      </c>
      <c r="L364" s="27"/>
      <c r="M364" s="27"/>
      <c r="N364" s="27"/>
      <c r="O364" s="27">
        <v>1</v>
      </c>
      <c r="P364" s="27"/>
      <c r="Q364" s="27"/>
      <c r="R364" s="27"/>
      <c r="S364" s="27"/>
      <c r="T364" s="27"/>
      <c r="U364" s="27"/>
      <c r="V364" s="27"/>
      <c r="W364" s="27"/>
      <c r="X364" s="27"/>
      <c r="Y364" s="27"/>
      <c r="Z364" s="27" t="s">
        <v>2211</v>
      </c>
      <c r="AA364" s="29">
        <v>0.15</v>
      </c>
      <c r="AB364" s="30">
        <v>27.5</v>
      </c>
      <c r="AC364" s="30">
        <f>AB364*0.089*24*365/10^6</f>
        <v>2.14401E-2</v>
      </c>
      <c r="AD364" s="30"/>
      <c r="AE364" s="30">
        <f>AB364</f>
        <v>27.5</v>
      </c>
      <c r="AF364" s="28" t="s">
        <v>2212</v>
      </c>
      <c r="AG364" s="28"/>
    </row>
    <row r="365" spans="1:33" ht="32.25" customHeight="1" x14ac:dyDescent="0.2">
      <c r="A365" s="27">
        <v>677</v>
      </c>
      <c r="B365" s="27" t="s">
        <v>2213</v>
      </c>
      <c r="C365" s="27" t="s">
        <v>339</v>
      </c>
      <c r="D365" s="27">
        <v>2017</v>
      </c>
      <c r="E365" s="27">
        <v>2019</v>
      </c>
      <c r="F365" s="27" t="s">
        <v>916</v>
      </c>
      <c r="G365" s="27" t="s">
        <v>268</v>
      </c>
      <c r="H365" s="27"/>
      <c r="I365" s="27" t="s">
        <v>756</v>
      </c>
      <c r="J365" s="27"/>
      <c r="K365" s="27" t="s">
        <v>377</v>
      </c>
      <c r="L365" s="27"/>
      <c r="M365" s="27"/>
      <c r="N365" s="27"/>
      <c r="O365" s="27"/>
      <c r="P365" s="27"/>
      <c r="Q365" s="27"/>
      <c r="R365" s="27"/>
      <c r="S365" s="27"/>
      <c r="T365" s="27">
        <v>1</v>
      </c>
      <c r="U365" s="27"/>
      <c r="V365" s="27"/>
      <c r="W365" s="27"/>
      <c r="X365" s="27"/>
      <c r="Y365" s="27"/>
      <c r="Z365" s="27" t="s">
        <v>2214</v>
      </c>
      <c r="AA365" s="29">
        <v>0.13500000000000001</v>
      </c>
      <c r="AB365" s="30">
        <f>AA365/0.0046</f>
        <v>29.347826086956523</v>
      </c>
      <c r="AC365" s="30">
        <f>AB365*0.089*24*365/10^6</f>
        <v>2.2880739130434782E-2</v>
      </c>
      <c r="AD365" s="30"/>
      <c r="AE365" s="30">
        <f>AB365</f>
        <v>29.347826086956523</v>
      </c>
      <c r="AF365" s="28" t="s">
        <v>2215</v>
      </c>
      <c r="AG365" s="28"/>
    </row>
    <row r="366" spans="1:33" ht="32.25" customHeight="1" x14ac:dyDescent="0.2">
      <c r="A366" s="27">
        <v>678</v>
      </c>
      <c r="B366" s="27" t="s">
        <v>2216</v>
      </c>
      <c r="C366" s="27" t="s">
        <v>339</v>
      </c>
      <c r="D366" s="27">
        <v>2017</v>
      </c>
      <c r="E366" s="27">
        <v>2018</v>
      </c>
      <c r="F366" s="27" t="s">
        <v>916</v>
      </c>
      <c r="G366" s="27" t="s">
        <v>266</v>
      </c>
      <c r="H366" s="27"/>
      <c r="I366" s="27" t="s">
        <v>756</v>
      </c>
      <c r="J366" s="27"/>
      <c r="K366" s="27" t="s">
        <v>377</v>
      </c>
      <c r="L366" s="27"/>
      <c r="M366" s="27"/>
      <c r="N366" s="27"/>
      <c r="O366" s="27"/>
      <c r="P366" s="27"/>
      <c r="Q366" s="27">
        <v>1</v>
      </c>
      <c r="R366" s="27"/>
      <c r="S366" s="27"/>
      <c r="T366" s="27"/>
      <c r="U366" s="27"/>
      <c r="V366" s="27"/>
      <c r="W366" s="27"/>
      <c r="X366" s="27"/>
      <c r="Y366" s="27"/>
      <c r="Z366" s="27" t="s">
        <v>1603</v>
      </c>
      <c r="AA366" s="29">
        <f>AB366*0.0052</f>
        <v>0.52</v>
      </c>
      <c r="AB366" s="30">
        <v>100</v>
      </c>
      <c r="AC366" s="30">
        <f>AB366*0.089*24*365/10^6</f>
        <v>7.7964000000000019E-2</v>
      </c>
      <c r="AD366" s="30"/>
      <c r="AE366" s="30">
        <f>AB366</f>
        <v>100</v>
      </c>
      <c r="AF366" s="28" t="s">
        <v>2217</v>
      </c>
      <c r="AG366" s="28"/>
    </row>
    <row r="367" spans="1:33" ht="32.25" customHeight="1" x14ac:dyDescent="0.2">
      <c r="A367" s="27">
        <v>679</v>
      </c>
      <c r="B367" s="27" t="s">
        <v>2218</v>
      </c>
      <c r="C367" s="27" t="s">
        <v>331</v>
      </c>
      <c r="D367" s="27">
        <v>2018</v>
      </c>
      <c r="E367" s="27">
        <v>2020</v>
      </c>
      <c r="F367" s="27" t="s">
        <v>916</v>
      </c>
      <c r="G367" s="27" t="s">
        <v>266</v>
      </c>
      <c r="H367" s="27"/>
      <c r="I367" s="27" t="s">
        <v>756</v>
      </c>
      <c r="J367" s="27"/>
      <c r="K367" s="27" t="s">
        <v>377</v>
      </c>
      <c r="L367" s="27"/>
      <c r="M367" s="27"/>
      <c r="N367" s="27"/>
      <c r="O367" s="27"/>
      <c r="P367" s="27"/>
      <c r="Q367" s="27">
        <v>1</v>
      </c>
      <c r="R367" s="27"/>
      <c r="S367" s="27">
        <v>1</v>
      </c>
      <c r="T367" s="27"/>
      <c r="U367" s="27"/>
      <c r="V367" s="27"/>
      <c r="W367" s="27"/>
      <c r="X367" s="27"/>
      <c r="Y367" s="27"/>
      <c r="Z367" s="27" t="s">
        <v>1603</v>
      </c>
      <c r="AA367" s="29">
        <f>AB367*0.0052</f>
        <v>0.52</v>
      </c>
      <c r="AB367" s="30">
        <v>100</v>
      </c>
      <c r="AC367" s="30">
        <f>AB367*0.089*24*365/10^6</f>
        <v>7.7964000000000019E-2</v>
      </c>
      <c r="AD367" s="30"/>
      <c r="AE367" s="30">
        <f>AB367</f>
        <v>100</v>
      </c>
      <c r="AF367" s="28" t="s">
        <v>2219</v>
      </c>
      <c r="AG367" s="28"/>
    </row>
    <row r="368" spans="1:33" ht="32.25" customHeight="1" x14ac:dyDescent="0.2">
      <c r="A368" s="27">
        <v>680</v>
      </c>
      <c r="B368" s="27" t="s">
        <v>2220</v>
      </c>
      <c r="C368" s="27" t="s">
        <v>980</v>
      </c>
      <c r="D368" s="27">
        <v>2019</v>
      </c>
      <c r="E368" s="27">
        <v>2020</v>
      </c>
      <c r="F368" s="27" t="s">
        <v>916</v>
      </c>
      <c r="G368" s="27" t="s">
        <v>266</v>
      </c>
      <c r="H368" s="27"/>
      <c r="I368" s="27" t="s">
        <v>756</v>
      </c>
      <c r="J368" s="27"/>
      <c r="K368" s="27" t="s">
        <v>377</v>
      </c>
      <c r="L368" s="27"/>
      <c r="M368" s="27"/>
      <c r="N368" s="27"/>
      <c r="O368" s="27"/>
      <c r="P368" s="27"/>
      <c r="Q368" s="27"/>
      <c r="R368" s="27">
        <v>1</v>
      </c>
      <c r="S368" s="27"/>
      <c r="T368" s="27"/>
      <c r="U368" s="27"/>
      <c r="V368" s="27"/>
      <c r="W368" s="27"/>
      <c r="X368" s="27"/>
      <c r="Y368" s="27"/>
      <c r="Z368" s="27" t="s">
        <v>1661</v>
      </c>
      <c r="AA368" s="29">
        <v>0.05</v>
      </c>
      <c r="AB368" s="30">
        <f>AA368/0.0052</f>
        <v>9.6153846153846168</v>
      </c>
      <c r="AC368" s="30">
        <f>AB368*0.089*24*365/10^6</f>
        <v>7.4965384615384616E-3</v>
      </c>
      <c r="AD368" s="30"/>
      <c r="AE368" s="30">
        <f>AB368</f>
        <v>9.6153846153846168</v>
      </c>
      <c r="AF368" s="28" t="s">
        <v>2221</v>
      </c>
      <c r="AG368" s="28"/>
    </row>
    <row r="369" spans="1:33" ht="32.25" customHeight="1" x14ac:dyDescent="0.2">
      <c r="A369" s="27">
        <v>681</v>
      </c>
      <c r="B369" s="27" t="s">
        <v>2222</v>
      </c>
      <c r="C369" s="27" t="s">
        <v>980</v>
      </c>
      <c r="D369" s="27">
        <v>2008</v>
      </c>
      <c r="E369" s="27">
        <v>2009</v>
      </c>
      <c r="F369" s="27" t="s">
        <v>916</v>
      </c>
      <c r="G369" s="27" t="s">
        <v>266</v>
      </c>
      <c r="H369" s="27"/>
      <c r="I369" s="27" t="s">
        <v>756</v>
      </c>
      <c r="J369" s="27"/>
      <c r="K369" s="27" t="s">
        <v>377</v>
      </c>
      <c r="L369" s="27"/>
      <c r="M369" s="27"/>
      <c r="N369" s="27"/>
      <c r="O369" s="27"/>
      <c r="P369" s="27"/>
      <c r="Q369" s="27"/>
      <c r="R369" s="27">
        <v>1</v>
      </c>
      <c r="S369" s="27"/>
      <c r="T369" s="27"/>
      <c r="U369" s="27"/>
      <c r="V369" s="27"/>
      <c r="W369" s="27"/>
      <c r="X369" s="27"/>
      <c r="Y369" s="27"/>
      <c r="Z369" s="27" t="s">
        <v>2223</v>
      </c>
      <c r="AA369" s="29">
        <v>4.1000000000000002E-2</v>
      </c>
      <c r="AB369" s="30">
        <f>AA369/0.0052</f>
        <v>7.884615384615385</v>
      </c>
      <c r="AC369" s="30">
        <f>AB369*0.089*24*365/10^6</f>
        <v>6.1471615384615392E-3</v>
      </c>
      <c r="AD369" s="30"/>
      <c r="AE369" s="30">
        <f>AB369</f>
        <v>7.884615384615385</v>
      </c>
      <c r="AF369" s="28" t="s">
        <v>2224</v>
      </c>
      <c r="AG369" s="28"/>
    </row>
    <row r="370" spans="1:33" ht="32.25" customHeight="1" x14ac:dyDescent="0.2">
      <c r="A370" s="27">
        <v>682</v>
      </c>
      <c r="B370" s="27" t="s">
        <v>2225</v>
      </c>
      <c r="C370" s="27" t="s">
        <v>2127</v>
      </c>
      <c r="D370" s="27">
        <v>2005</v>
      </c>
      <c r="E370" s="27">
        <v>2008</v>
      </c>
      <c r="F370" s="27" t="s">
        <v>916</v>
      </c>
      <c r="G370" s="27" t="s">
        <v>266</v>
      </c>
      <c r="H370" s="27"/>
      <c r="I370" s="27" t="s">
        <v>756</v>
      </c>
      <c r="J370" s="27"/>
      <c r="K370" s="27" t="s">
        <v>377</v>
      </c>
      <c r="L370" s="27"/>
      <c r="M370" s="27"/>
      <c r="N370" s="27"/>
      <c r="O370" s="27"/>
      <c r="P370" s="27"/>
      <c r="Q370" s="27"/>
      <c r="R370" s="27">
        <v>1</v>
      </c>
      <c r="S370" s="27"/>
      <c r="T370" s="27"/>
      <c r="U370" s="27"/>
      <c r="V370" s="27"/>
      <c r="W370" s="27"/>
      <c r="X370" s="27"/>
      <c r="Y370" s="27"/>
      <c r="Z370" s="27" t="s">
        <v>2226</v>
      </c>
      <c r="AA370" s="29">
        <f>AB370*0.0052</f>
        <v>3.2759999999999997E-2</v>
      </c>
      <c r="AB370" s="30">
        <v>6.3</v>
      </c>
      <c r="AC370" s="30">
        <f>AB370*0.089*24*365/10^6</f>
        <v>4.9117320000000003E-3</v>
      </c>
      <c r="AD370" s="30"/>
      <c r="AE370" s="30">
        <f>AB370</f>
        <v>6.3</v>
      </c>
      <c r="AF370" s="28" t="s">
        <v>2227</v>
      </c>
      <c r="AG370" s="28"/>
    </row>
    <row r="371" spans="1:33" ht="32.25" customHeight="1" x14ac:dyDescent="0.2">
      <c r="A371" s="27">
        <v>683</v>
      </c>
      <c r="B371" s="27" t="s">
        <v>2228</v>
      </c>
      <c r="C371" s="27" t="s">
        <v>331</v>
      </c>
      <c r="D371" s="27">
        <v>2020</v>
      </c>
      <c r="E371" s="27">
        <v>2023</v>
      </c>
      <c r="F371" s="27" t="s">
        <v>916</v>
      </c>
      <c r="G371" s="27" t="s">
        <v>758</v>
      </c>
      <c r="H371" s="27" t="s">
        <v>2229</v>
      </c>
      <c r="I371" s="27" t="s">
        <v>756</v>
      </c>
      <c r="J371" s="27"/>
      <c r="K371" s="27" t="s">
        <v>767</v>
      </c>
      <c r="L371" s="27"/>
      <c r="M371" s="27"/>
      <c r="N371" s="27"/>
      <c r="O371" s="27"/>
      <c r="P371" s="27"/>
      <c r="Q371" s="27"/>
      <c r="R371" s="27"/>
      <c r="S371" s="27">
        <v>1</v>
      </c>
      <c r="T371" s="27"/>
      <c r="U371" s="27"/>
      <c r="V371" s="27"/>
      <c r="W371" s="27"/>
      <c r="X371" s="27">
        <v>1</v>
      </c>
      <c r="Y371" s="27"/>
      <c r="Z371" s="27" t="s">
        <v>1572</v>
      </c>
      <c r="AA371" s="29">
        <v>1</v>
      </c>
      <c r="AB371" s="30">
        <v>200</v>
      </c>
      <c r="AC371" s="30">
        <f>AB371*0.089*24*365/10^6</f>
        <v>0.15592800000000004</v>
      </c>
      <c r="AD371" s="30"/>
      <c r="AE371" s="30">
        <f>AB371</f>
        <v>200</v>
      </c>
      <c r="AF371" s="28" t="s">
        <v>2230</v>
      </c>
      <c r="AG371" s="28"/>
    </row>
    <row r="372" spans="1:33" ht="32.25" customHeight="1" x14ac:dyDescent="0.2">
      <c r="A372" s="27">
        <v>684</v>
      </c>
      <c r="B372" s="27" t="s">
        <v>2231</v>
      </c>
      <c r="C372" s="27" t="s">
        <v>337</v>
      </c>
      <c r="D372" s="27">
        <v>2007</v>
      </c>
      <c r="E372" s="27">
        <v>2007</v>
      </c>
      <c r="F372" s="27" t="s">
        <v>916</v>
      </c>
      <c r="G372" s="27" t="s">
        <v>266</v>
      </c>
      <c r="H372" s="27"/>
      <c r="I372" s="27" t="s">
        <v>756</v>
      </c>
      <c r="J372" s="27"/>
      <c r="K372" s="27" t="s">
        <v>377</v>
      </c>
      <c r="L372" s="27"/>
      <c r="M372" s="27"/>
      <c r="N372" s="27"/>
      <c r="O372" s="27"/>
      <c r="P372" s="27"/>
      <c r="Q372" s="27">
        <v>1</v>
      </c>
      <c r="R372" s="27">
        <v>1</v>
      </c>
      <c r="S372" s="27"/>
      <c r="T372" s="27"/>
      <c r="U372" s="27"/>
      <c r="V372" s="27"/>
      <c r="W372" s="27"/>
      <c r="X372" s="27"/>
      <c r="Y372" s="27"/>
      <c r="Z372" s="27" t="s">
        <v>1814</v>
      </c>
      <c r="AA372" s="29">
        <v>5.0000000000000001E-3</v>
      </c>
      <c r="AB372" s="30">
        <f>AA372/0.0052</f>
        <v>0.96153846153846156</v>
      </c>
      <c r="AC372" s="30">
        <f>AB372*0.089*24*365/10^6</f>
        <v>7.4965384615384607E-4</v>
      </c>
      <c r="AD372" s="30"/>
      <c r="AE372" s="30">
        <f>AB372</f>
        <v>0.96153846153846156</v>
      </c>
      <c r="AF372" s="28" t="s">
        <v>2232</v>
      </c>
      <c r="AG372" s="28"/>
    </row>
    <row r="373" spans="1:33" ht="32.25" customHeight="1" x14ac:dyDescent="0.2">
      <c r="A373" s="27">
        <v>685</v>
      </c>
      <c r="B373" s="27" t="s">
        <v>2233</v>
      </c>
      <c r="C373" s="27" t="s">
        <v>331</v>
      </c>
      <c r="D373" s="27">
        <v>2000</v>
      </c>
      <c r="E373" s="27">
        <v>2004</v>
      </c>
      <c r="F373" s="27" t="s">
        <v>916</v>
      </c>
      <c r="G373" s="27" t="s">
        <v>268</v>
      </c>
      <c r="H373" s="27"/>
      <c r="I373" s="27" t="s">
        <v>756</v>
      </c>
      <c r="J373" s="27"/>
      <c r="K373" s="27" t="s">
        <v>377</v>
      </c>
      <c r="L373" s="27"/>
      <c r="M373" s="27"/>
      <c r="N373" s="27"/>
      <c r="O373" s="27"/>
      <c r="P373" s="27"/>
      <c r="Q373" s="27"/>
      <c r="R373" s="27">
        <v>1</v>
      </c>
      <c r="S373" s="27"/>
      <c r="T373" s="27"/>
      <c r="U373" s="27"/>
      <c r="V373" s="27"/>
      <c r="W373" s="27"/>
      <c r="X373" s="27"/>
      <c r="Y373" s="27"/>
      <c r="Z373" s="27" t="s">
        <v>2234</v>
      </c>
      <c r="AA373" s="29">
        <v>3.5999999999999999E-3</v>
      </c>
      <c r="AB373" s="30">
        <f>AA373/0.0046</f>
        <v>0.78260869565217395</v>
      </c>
      <c r="AC373" s="30">
        <f>AB373*0.089*24*365/10^6</f>
        <v>6.1015304347826092E-4</v>
      </c>
      <c r="AD373" s="30"/>
      <c r="AE373" s="30">
        <f>AB373</f>
        <v>0.78260869565217395</v>
      </c>
      <c r="AF373" s="28" t="s">
        <v>2235</v>
      </c>
      <c r="AG373" s="28"/>
    </row>
    <row r="374" spans="1:33" ht="32.25" customHeight="1" x14ac:dyDescent="0.2">
      <c r="A374" s="27">
        <v>686</v>
      </c>
      <c r="B374" s="27" t="s">
        <v>2236</v>
      </c>
      <c r="C374" s="27" t="s">
        <v>342</v>
      </c>
      <c r="D374" s="27">
        <v>2004</v>
      </c>
      <c r="E374" s="27">
        <v>2004</v>
      </c>
      <c r="F374" s="27" t="s">
        <v>916</v>
      </c>
      <c r="G374" s="27" t="s">
        <v>268</v>
      </c>
      <c r="H374" s="27"/>
      <c r="I374" s="27" t="s">
        <v>756</v>
      </c>
      <c r="J374" s="27"/>
      <c r="K374" s="27" t="s">
        <v>377</v>
      </c>
      <c r="L374" s="27"/>
      <c r="M374" s="27"/>
      <c r="N374" s="27"/>
      <c r="O374" s="27"/>
      <c r="P374" s="27"/>
      <c r="Q374" s="27"/>
      <c r="R374" s="27">
        <v>1</v>
      </c>
      <c r="S374" s="27"/>
      <c r="T374" s="27"/>
      <c r="U374" s="27"/>
      <c r="V374" s="27"/>
      <c r="W374" s="27"/>
      <c r="X374" s="27"/>
      <c r="Y374" s="27"/>
      <c r="Z374" s="27" t="s">
        <v>2237</v>
      </c>
      <c r="AA374" s="29">
        <v>3.3999999999999998E-3</v>
      </c>
      <c r="AB374" s="30">
        <f>AA374/0.0046</f>
        <v>0.73913043478260865</v>
      </c>
      <c r="AC374" s="30">
        <f>AB374*0.089*24*365/10^6</f>
        <v>5.7625565217391298E-4</v>
      </c>
      <c r="AD374" s="30"/>
      <c r="AE374" s="30">
        <f>AB374</f>
        <v>0.73913043478260865</v>
      </c>
      <c r="AF374" s="28" t="s">
        <v>2238</v>
      </c>
      <c r="AG374" s="28"/>
    </row>
    <row r="375" spans="1:33" ht="32.25" customHeight="1" x14ac:dyDescent="0.2">
      <c r="A375" s="27">
        <v>687</v>
      </c>
      <c r="B375" s="27" t="s">
        <v>2239</v>
      </c>
      <c r="C375" s="27" t="s">
        <v>339</v>
      </c>
      <c r="D375" s="27">
        <v>2005</v>
      </c>
      <c r="E375" s="27">
        <v>2005</v>
      </c>
      <c r="F375" s="27" t="s">
        <v>916</v>
      </c>
      <c r="G375" s="27" t="s">
        <v>266</v>
      </c>
      <c r="H375" s="27"/>
      <c r="I375" s="27" t="s">
        <v>756</v>
      </c>
      <c r="J375" s="27"/>
      <c r="K375" s="27" t="s">
        <v>377</v>
      </c>
      <c r="L375" s="27"/>
      <c r="M375" s="27"/>
      <c r="N375" s="27"/>
      <c r="O375" s="27"/>
      <c r="P375" s="27"/>
      <c r="Q375" s="27"/>
      <c r="R375" s="27">
        <v>1</v>
      </c>
      <c r="S375" s="27"/>
      <c r="T375" s="27"/>
      <c r="U375" s="27"/>
      <c r="V375" s="27"/>
      <c r="W375" s="27"/>
      <c r="X375" s="27"/>
      <c r="Y375" s="27"/>
      <c r="Z375" s="27" t="s">
        <v>1967</v>
      </c>
      <c r="AA375" s="29">
        <f>AB375*0.0052</f>
        <v>3.6399999999999996E-3</v>
      </c>
      <c r="AB375" s="30">
        <v>0.7</v>
      </c>
      <c r="AC375" s="30">
        <f>AB375*0.089*24*365/10^6</f>
        <v>5.4574799999999998E-4</v>
      </c>
      <c r="AD375" s="30"/>
      <c r="AE375" s="30">
        <f>AB375</f>
        <v>0.7</v>
      </c>
      <c r="AF375" s="28" t="s">
        <v>2240</v>
      </c>
      <c r="AG375" s="28"/>
    </row>
    <row r="376" spans="1:33" ht="32.25" customHeight="1" x14ac:dyDescent="0.2">
      <c r="A376" s="27">
        <v>688</v>
      </c>
      <c r="B376" s="27" t="s">
        <v>2241</v>
      </c>
      <c r="C376" s="27" t="s">
        <v>980</v>
      </c>
      <c r="D376" s="27">
        <v>2004</v>
      </c>
      <c r="E376" s="27">
        <v>2005</v>
      </c>
      <c r="F376" s="27" t="s">
        <v>916</v>
      </c>
      <c r="G376" s="27" t="s">
        <v>266</v>
      </c>
      <c r="H376" s="27"/>
      <c r="I376" s="27" t="s">
        <v>756</v>
      </c>
      <c r="J376" s="27"/>
      <c r="K376" s="27" t="s">
        <v>377</v>
      </c>
      <c r="L376" s="27"/>
      <c r="M376" s="27"/>
      <c r="N376" s="27"/>
      <c r="O376" s="27"/>
      <c r="P376" s="27"/>
      <c r="Q376" s="27">
        <v>1</v>
      </c>
      <c r="R376" s="27">
        <v>1</v>
      </c>
      <c r="S376" s="27"/>
      <c r="T376" s="27">
        <v>1</v>
      </c>
      <c r="U376" s="27"/>
      <c r="V376" s="27"/>
      <c r="W376" s="27"/>
      <c r="X376" s="27"/>
      <c r="Y376" s="27"/>
      <c r="Z376" s="27" t="s">
        <v>2242</v>
      </c>
      <c r="AA376" s="29">
        <f>AB376*0.0052</f>
        <v>2.5999999999999999E-3</v>
      </c>
      <c r="AB376" s="30">
        <v>0.5</v>
      </c>
      <c r="AC376" s="30">
        <f>AB376*0.089*24*365/10^6</f>
        <v>3.8982000000000003E-4</v>
      </c>
      <c r="AD376" s="30"/>
      <c r="AE376" s="30">
        <f>AB376</f>
        <v>0.5</v>
      </c>
      <c r="AF376" s="28" t="s">
        <v>2243</v>
      </c>
      <c r="AG376" s="28"/>
    </row>
    <row r="377" spans="1:33" ht="32.25" customHeight="1" x14ac:dyDescent="0.2">
      <c r="A377" s="27">
        <v>689</v>
      </c>
      <c r="B377" s="27" t="s">
        <v>2244</v>
      </c>
      <c r="C377" s="27" t="s">
        <v>347</v>
      </c>
      <c r="D377" s="27">
        <v>2021</v>
      </c>
      <c r="E377" s="27">
        <v>2023</v>
      </c>
      <c r="F377" s="27" t="s">
        <v>916</v>
      </c>
      <c r="G377" s="27" t="s">
        <v>266</v>
      </c>
      <c r="H377" s="27"/>
      <c r="I377" s="27" t="s">
        <v>768</v>
      </c>
      <c r="J377" s="27" t="s">
        <v>865</v>
      </c>
      <c r="K377" s="27" t="s">
        <v>377</v>
      </c>
      <c r="L377" s="27"/>
      <c r="M377" s="27"/>
      <c r="N377" s="27"/>
      <c r="O377" s="27"/>
      <c r="P377" s="27">
        <v>1</v>
      </c>
      <c r="Q377" s="27"/>
      <c r="R377" s="27"/>
      <c r="S377" s="27"/>
      <c r="T377" s="27"/>
      <c r="U377" s="27"/>
      <c r="V377" s="27"/>
      <c r="W377" s="27"/>
      <c r="X377" s="27"/>
      <c r="Y377" s="27"/>
      <c r="Z377" s="27" t="s">
        <v>1896</v>
      </c>
      <c r="AA377" s="29">
        <v>1</v>
      </c>
      <c r="AB377" s="30">
        <f>AA377/0.0052</f>
        <v>192.30769230769232</v>
      </c>
      <c r="AC377" s="30">
        <f>AB377*0.089*24*365/10^6</f>
        <v>0.14993076923076926</v>
      </c>
      <c r="AD377" s="30"/>
      <c r="AE377" s="30">
        <f>AB377</f>
        <v>192.30769230769232</v>
      </c>
      <c r="AF377" s="28" t="s">
        <v>2245</v>
      </c>
      <c r="AG377" s="28"/>
    </row>
    <row r="378" spans="1:33" ht="32.25" customHeight="1" x14ac:dyDescent="0.2">
      <c r="A378" s="27">
        <v>690</v>
      </c>
      <c r="B378" s="27" t="s">
        <v>2246</v>
      </c>
      <c r="C378" s="27" t="s">
        <v>980</v>
      </c>
      <c r="D378" s="27">
        <v>2000</v>
      </c>
      <c r="E378" s="27">
        <v>2004</v>
      </c>
      <c r="F378" s="27" t="s">
        <v>916</v>
      </c>
      <c r="G378" s="27" t="s">
        <v>266</v>
      </c>
      <c r="H378" s="27"/>
      <c r="I378" s="27" t="s">
        <v>756</v>
      </c>
      <c r="J378" s="27"/>
      <c r="K378" s="27" t="s">
        <v>377</v>
      </c>
      <c r="L378" s="27"/>
      <c r="M378" s="27"/>
      <c r="N378" s="27"/>
      <c r="O378" s="27"/>
      <c r="P378" s="27"/>
      <c r="Q378" s="27"/>
      <c r="R378" s="27">
        <v>1</v>
      </c>
      <c r="S378" s="27"/>
      <c r="T378" s="27"/>
      <c r="U378" s="27"/>
      <c r="V378" s="27"/>
      <c r="W378" s="27"/>
      <c r="X378" s="27"/>
      <c r="Y378" s="27"/>
      <c r="Z378" s="27" t="s">
        <v>2128</v>
      </c>
      <c r="AA378" s="29">
        <v>1E-3</v>
      </c>
      <c r="AB378" s="30">
        <f>AA378/0.0052</f>
        <v>0.19230769230769232</v>
      </c>
      <c r="AC378" s="30">
        <f>AB378*0.089*24*365/10^6</f>
        <v>1.4993076923076925E-4</v>
      </c>
      <c r="AD378" s="30"/>
      <c r="AE378" s="30">
        <f>AB378</f>
        <v>0.19230769230769232</v>
      </c>
      <c r="AF378" s="28" t="s">
        <v>2247</v>
      </c>
      <c r="AG378" s="28"/>
    </row>
    <row r="379" spans="1:33" ht="32.25" customHeight="1" x14ac:dyDescent="0.2">
      <c r="A379" s="27">
        <v>691</v>
      </c>
      <c r="B379" s="27" t="s">
        <v>2248</v>
      </c>
      <c r="C379" s="27" t="s">
        <v>980</v>
      </c>
      <c r="D379" s="27">
        <v>2008</v>
      </c>
      <c r="E379" s="27">
        <v>2009</v>
      </c>
      <c r="F379" s="27" t="s">
        <v>916</v>
      </c>
      <c r="G379" s="27" t="s">
        <v>758</v>
      </c>
      <c r="H379" s="27" t="s">
        <v>1406</v>
      </c>
      <c r="I379" s="27" t="s">
        <v>756</v>
      </c>
      <c r="J379" s="27"/>
      <c r="K379" s="27" t="s">
        <v>377</v>
      </c>
      <c r="L379" s="27"/>
      <c r="M379" s="27"/>
      <c r="N379" s="27"/>
      <c r="O379" s="27"/>
      <c r="P379" s="27"/>
      <c r="Q379" s="27"/>
      <c r="R379" s="27"/>
      <c r="S379" s="27"/>
      <c r="T379" s="27"/>
      <c r="U379" s="27">
        <v>1</v>
      </c>
      <c r="V379" s="27"/>
      <c r="W379" s="27"/>
      <c r="X379" s="27"/>
      <c r="Y379" s="27"/>
      <c r="Z379" s="27" t="s">
        <v>2249</v>
      </c>
      <c r="AA379" s="29">
        <f>AB379*0.0045</f>
        <v>2.2499999999999999E-4</v>
      </c>
      <c r="AB379" s="30">
        <v>0.05</v>
      </c>
      <c r="AC379" s="30">
        <f>AB379*0.089*24*365/10^6</f>
        <v>3.8982E-5</v>
      </c>
      <c r="AD379" s="30"/>
      <c r="AE379" s="30">
        <f>AB379</f>
        <v>0.05</v>
      </c>
      <c r="AF379" s="28" t="s">
        <v>2250</v>
      </c>
      <c r="AG379" s="28"/>
    </row>
    <row r="380" spans="1:33" ht="32.25" customHeight="1" x14ac:dyDescent="0.2">
      <c r="A380" s="27">
        <v>692</v>
      </c>
      <c r="B380" s="27" t="s">
        <v>2251</v>
      </c>
      <c r="C380" s="27" t="s">
        <v>2127</v>
      </c>
      <c r="D380" s="27">
        <v>2008</v>
      </c>
      <c r="E380" s="27">
        <v>2011</v>
      </c>
      <c r="F380" s="27" t="s">
        <v>916</v>
      </c>
      <c r="G380" s="27" t="s">
        <v>266</v>
      </c>
      <c r="H380" s="27"/>
      <c r="I380" s="27" t="s">
        <v>756</v>
      </c>
      <c r="J380" s="27"/>
      <c r="K380" s="27" t="s">
        <v>377</v>
      </c>
      <c r="L380" s="27"/>
      <c r="M380" s="27"/>
      <c r="N380" s="27"/>
      <c r="O380" s="27"/>
      <c r="P380" s="27"/>
      <c r="Q380" s="27"/>
      <c r="R380" s="27"/>
      <c r="S380" s="27"/>
      <c r="T380" s="27"/>
      <c r="U380" s="27"/>
      <c r="V380" s="27"/>
      <c r="W380" s="27"/>
      <c r="X380" s="27"/>
      <c r="Y380" s="27"/>
      <c r="Z380" s="27"/>
      <c r="AA380" s="29"/>
      <c r="AB380" s="30"/>
      <c r="AC380" s="30"/>
      <c r="AD380" s="30"/>
      <c r="AE380" s="30"/>
      <c r="AF380" s="28" t="s">
        <v>2252</v>
      </c>
      <c r="AG380" s="28"/>
    </row>
    <row r="381" spans="1:33" ht="32.25" customHeight="1" x14ac:dyDescent="0.2">
      <c r="A381" s="27">
        <v>693</v>
      </c>
      <c r="B381" s="27" t="s">
        <v>2253</v>
      </c>
      <c r="C381" s="27" t="s">
        <v>347</v>
      </c>
      <c r="D381" s="27">
        <v>2008</v>
      </c>
      <c r="E381" s="27">
        <v>2011</v>
      </c>
      <c r="F381" s="27" t="s">
        <v>916</v>
      </c>
      <c r="G381" s="27" t="s">
        <v>266</v>
      </c>
      <c r="H381" s="27"/>
      <c r="I381" s="27" t="s">
        <v>756</v>
      </c>
      <c r="J381" s="27"/>
      <c r="K381" s="27" t="s">
        <v>377</v>
      </c>
      <c r="L381" s="27"/>
      <c r="M381" s="27"/>
      <c r="N381" s="27"/>
      <c r="O381" s="27"/>
      <c r="P381" s="27"/>
      <c r="Q381" s="27"/>
      <c r="R381" s="27"/>
      <c r="S381" s="27">
        <v>1</v>
      </c>
      <c r="T381" s="27"/>
      <c r="U381" s="27">
        <v>1</v>
      </c>
      <c r="V381" s="27"/>
      <c r="W381" s="27"/>
      <c r="X381" s="27"/>
      <c r="Y381" s="27"/>
      <c r="Z381" s="27"/>
      <c r="AA381" s="29"/>
      <c r="AB381" s="30"/>
      <c r="AC381" s="30"/>
      <c r="AD381" s="30"/>
      <c r="AE381" s="30"/>
      <c r="AF381" s="28" t="s">
        <v>2254</v>
      </c>
      <c r="AG381" s="28"/>
    </row>
    <row r="382" spans="1:33" ht="32.25" customHeight="1" x14ac:dyDescent="0.2">
      <c r="A382" s="27">
        <v>694</v>
      </c>
      <c r="B382" s="27" t="s">
        <v>2255</v>
      </c>
      <c r="C382" s="27" t="s">
        <v>334</v>
      </c>
      <c r="D382" s="27">
        <v>2009</v>
      </c>
      <c r="E382" s="27">
        <v>2011</v>
      </c>
      <c r="F382" s="27" t="s">
        <v>916</v>
      </c>
      <c r="G382" s="27" t="s">
        <v>268</v>
      </c>
      <c r="H382" s="27"/>
      <c r="I382" s="27" t="s">
        <v>756</v>
      </c>
      <c r="J382" s="27"/>
      <c r="K382" s="27" t="s">
        <v>377</v>
      </c>
      <c r="L382" s="27"/>
      <c r="M382" s="27"/>
      <c r="N382" s="27"/>
      <c r="O382" s="27"/>
      <c r="P382" s="27"/>
      <c r="Q382" s="27"/>
      <c r="R382" s="27">
        <v>1</v>
      </c>
      <c r="S382" s="27">
        <v>1</v>
      </c>
      <c r="T382" s="27"/>
      <c r="U382" s="27"/>
      <c r="V382" s="27"/>
      <c r="W382" s="27"/>
      <c r="X382" s="27"/>
      <c r="Y382" s="27"/>
      <c r="Z382" s="27" t="s">
        <v>2159</v>
      </c>
      <c r="AA382" s="29">
        <v>0.3</v>
      </c>
      <c r="AB382" s="30">
        <f>AA382/0.0046</f>
        <v>65.217391304347828</v>
      </c>
      <c r="AC382" s="30">
        <f>AB382*0.089*24*365/10^6</f>
        <v>5.0846086956521735E-2</v>
      </c>
      <c r="AD382" s="30"/>
      <c r="AE382" s="30">
        <f>AB382</f>
        <v>65.217391304347828</v>
      </c>
      <c r="AF382" s="28" t="s">
        <v>2256</v>
      </c>
      <c r="AG382" s="28"/>
    </row>
    <row r="383" spans="1:33" ht="32.25" customHeight="1" x14ac:dyDescent="0.2">
      <c r="A383" s="27">
        <v>695</v>
      </c>
      <c r="B383" s="27" t="s">
        <v>2257</v>
      </c>
      <c r="C383" s="27" t="s">
        <v>337</v>
      </c>
      <c r="D383" s="27">
        <v>2004</v>
      </c>
      <c r="E383" s="27">
        <v>2009</v>
      </c>
      <c r="F383" s="27" t="s">
        <v>916</v>
      </c>
      <c r="G383" s="27" t="s">
        <v>268</v>
      </c>
      <c r="H383" s="27"/>
      <c r="I383" s="27" t="s">
        <v>756</v>
      </c>
      <c r="J383" s="27"/>
      <c r="K383" s="27" t="s">
        <v>377</v>
      </c>
      <c r="L383" s="27"/>
      <c r="M383" s="27"/>
      <c r="N383" s="27"/>
      <c r="O383" s="27"/>
      <c r="P383" s="27"/>
      <c r="Q383" s="27"/>
      <c r="R383" s="27">
        <v>1</v>
      </c>
      <c r="S383" s="27">
        <v>1</v>
      </c>
      <c r="T383" s="27"/>
      <c r="U383" s="27"/>
      <c r="V383" s="27"/>
      <c r="W383" s="27"/>
      <c r="X383" s="27"/>
      <c r="Y383" s="27"/>
      <c r="Z383" s="27" t="s">
        <v>2258</v>
      </c>
      <c r="AA383" s="29">
        <v>9.9000000000000005E-2</v>
      </c>
      <c r="AB383" s="30">
        <f>AA383/0.0046</f>
        <v>21.521739130434785</v>
      </c>
      <c r="AC383" s="30">
        <f>AB383*0.089*24*365/10^6</f>
        <v>1.6779208695652175E-2</v>
      </c>
      <c r="AD383" s="30"/>
      <c r="AE383" s="30">
        <f>AB383</f>
        <v>21.521739130434785</v>
      </c>
      <c r="AF383" s="28" t="s">
        <v>2259</v>
      </c>
      <c r="AG383" s="28"/>
    </row>
    <row r="384" spans="1:33" ht="32.25" customHeight="1" x14ac:dyDescent="0.2">
      <c r="A384" s="27">
        <v>696</v>
      </c>
      <c r="B384" s="27" t="s">
        <v>2260</v>
      </c>
      <c r="C384" s="27" t="s">
        <v>337</v>
      </c>
      <c r="D384" s="27">
        <v>2007</v>
      </c>
      <c r="E384" s="27">
        <v>2014</v>
      </c>
      <c r="F384" s="27" t="s">
        <v>916</v>
      </c>
      <c r="G384" s="27" t="s">
        <v>268</v>
      </c>
      <c r="H384" s="27"/>
      <c r="I384" s="27" t="s">
        <v>756</v>
      </c>
      <c r="J384" s="27"/>
      <c r="K384" s="27" t="s">
        <v>377</v>
      </c>
      <c r="L384" s="27"/>
      <c r="M384" s="27"/>
      <c r="N384" s="27"/>
      <c r="O384" s="27"/>
      <c r="P384" s="27"/>
      <c r="Q384" s="27"/>
      <c r="R384" s="27">
        <v>1</v>
      </c>
      <c r="S384" s="27">
        <v>1</v>
      </c>
      <c r="T384" s="27"/>
      <c r="U384" s="27"/>
      <c r="V384" s="27"/>
      <c r="W384" s="27"/>
      <c r="X384" s="27"/>
      <c r="Y384" s="27"/>
      <c r="Z384" s="27" t="s">
        <v>1731</v>
      </c>
      <c r="AA384" s="29">
        <v>0.04</v>
      </c>
      <c r="AB384" s="30">
        <f>AA384/0.0046</f>
        <v>8.695652173913043</v>
      </c>
      <c r="AC384" s="30">
        <f>AB384*0.089*24*365/10^6</f>
        <v>6.7794782608695649E-3</v>
      </c>
      <c r="AD384" s="30"/>
      <c r="AE384" s="30">
        <f>AB384</f>
        <v>8.695652173913043</v>
      </c>
      <c r="AF384" s="28" t="s">
        <v>2261</v>
      </c>
      <c r="AG384" s="28"/>
    </row>
    <row r="385" spans="1:33" ht="32.25" customHeight="1" x14ac:dyDescent="0.2">
      <c r="A385" s="27">
        <v>697</v>
      </c>
      <c r="B385" s="27" t="s">
        <v>2262</v>
      </c>
      <c r="C385" s="27" t="s">
        <v>337</v>
      </c>
      <c r="D385" s="27">
        <v>2004</v>
      </c>
      <c r="E385" s="27">
        <v>2008</v>
      </c>
      <c r="F385" s="27" t="s">
        <v>916</v>
      </c>
      <c r="G385" s="27" t="s">
        <v>268</v>
      </c>
      <c r="H385" s="27"/>
      <c r="I385" s="27" t="s">
        <v>756</v>
      </c>
      <c r="J385" s="27"/>
      <c r="K385" s="27" t="s">
        <v>377</v>
      </c>
      <c r="L385" s="27"/>
      <c r="M385" s="27"/>
      <c r="N385" s="27"/>
      <c r="O385" s="27"/>
      <c r="P385" s="27"/>
      <c r="Q385" s="27"/>
      <c r="R385" s="27"/>
      <c r="S385" s="27">
        <v>1</v>
      </c>
      <c r="T385" s="27"/>
      <c r="U385" s="27"/>
      <c r="V385" s="27"/>
      <c r="W385" s="27"/>
      <c r="X385" s="27"/>
      <c r="Y385" s="27"/>
      <c r="Z385" s="27" t="s">
        <v>2263</v>
      </c>
      <c r="AA385" s="29">
        <v>6.4999999999999997E-3</v>
      </c>
      <c r="AB385" s="30">
        <f>AA385/0.0046</f>
        <v>1.4130434782608696</v>
      </c>
      <c r="AC385" s="30">
        <f>AB385*0.089*24*365/10^6</f>
        <v>1.1016652173913043E-3</v>
      </c>
      <c r="AD385" s="30"/>
      <c r="AE385" s="30">
        <f>AB385</f>
        <v>1.4130434782608696</v>
      </c>
      <c r="AF385" s="28" t="s">
        <v>2264</v>
      </c>
      <c r="AG385" s="28"/>
    </row>
    <row r="386" spans="1:33" ht="32.25" customHeight="1" x14ac:dyDescent="0.2">
      <c r="A386" s="27">
        <v>698</v>
      </c>
      <c r="B386" s="27" t="s">
        <v>2265</v>
      </c>
      <c r="C386" s="27" t="s">
        <v>334</v>
      </c>
      <c r="D386" s="27">
        <v>2007</v>
      </c>
      <c r="E386" s="27">
        <v>2009</v>
      </c>
      <c r="F386" s="27" t="s">
        <v>916</v>
      </c>
      <c r="G386" s="27" t="s">
        <v>268</v>
      </c>
      <c r="H386" s="27"/>
      <c r="I386" s="27" t="s">
        <v>756</v>
      </c>
      <c r="J386" s="27"/>
      <c r="K386" s="27" t="s">
        <v>377</v>
      </c>
      <c r="L386" s="27"/>
      <c r="M386" s="27"/>
      <c r="N386" s="27"/>
      <c r="O386" s="27"/>
      <c r="P386" s="27"/>
      <c r="Q386" s="27"/>
      <c r="R386" s="27"/>
      <c r="S386" s="27">
        <v>1</v>
      </c>
      <c r="T386" s="27"/>
      <c r="U386" s="27"/>
      <c r="V386" s="27"/>
      <c r="W386" s="27"/>
      <c r="X386" s="27"/>
      <c r="Y386" s="27"/>
      <c r="Z386" s="27" t="s">
        <v>1542</v>
      </c>
      <c r="AA386" s="29">
        <v>6.0000000000000001E-3</v>
      </c>
      <c r="AB386" s="30">
        <f>AA386/0.0046</f>
        <v>1.3043478260869565</v>
      </c>
      <c r="AC386" s="30">
        <f>AB386*0.089*24*365/10^6</f>
        <v>1.0169217391304349E-3</v>
      </c>
      <c r="AD386" s="30"/>
      <c r="AE386" s="30">
        <f>AB386</f>
        <v>1.3043478260869565</v>
      </c>
      <c r="AF386" s="28" t="s">
        <v>2266</v>
      </c>
      <c r="AG386" s="28"/>
    </row>
    <row r="387" spans="1:33" ht="32.25" customHeight="1" x14ac:dyDescent="0.2">
      <c r="A387" s="27">
        <v>699</v>
      </c>
      <c r="B387" s="27" t="s">
        <v>2267</v>
      </c>
      <c r="C387" s="27" t="s">
        <v>341</v>
      </c>
      <c r="D387" s="27">
        <v>2002</v>
      </c>
      <c r="E387" s="27">
        <v>2009</v>
      </c>
      <c r="F387" s="27" t="s">
        <v>916</v>
      </c>
      <c r="G387" s="27" t="s">
        <v>758</v>
      </c>
      <c r="H387" s="27" t="s">
        <v>1406</v>
      </c>
      <c r="I387" s="27" t="s">
        <v>756</v>
      </c>
      <c r="J387" s="27"/>
      <c r="K387" s="27" t="s">
        <v>396</v>
      </c>
      <c r="L387" s="27"/>
      <c r="M387" s="27"/>
      <c r="N387" s="27"/>
      <c r="O387" s="27"/>
      <c r="P387" s="27"/>
      <c r="Q387" s="27"/>
      <c r="R387" s="27"/>
      <c r="S387" s="27"/>
      <c r="T387" s="27"/>
      <c r="U387" s="27"/>
      <c r="V387" s="27"/>
      <c r="W387" s="27"/>
      <c r="X387" s="27">
        <v>1</v>
      </c>
      <c r="Y387" s="27">
        <v>1</v>
      </c>
      <c r="Z387" s="27"/>
      <c r="AA387" s="29"/>
      <c r="AB387" s="30"/>
      <c r="AC387" s="30"/>
      <c r="AD387" s="30"/>
      <c r="AE387" s="30"/>
      <c r="AF387" s="28" t="s">
        <v>2268</v>
      </c>
      <c r="AG387" s="28"/>
    </row>
    <row r="388" spans="1:33" ht="32.25" customHeight="1" x14ac:dyDescent="0.2">
      <c r="A388" s="27">
        <v>701</v>
      </c>
      <c r="B388" s="27" t="s">
        <v>2269</v>
      </c>
      <c r="C388" s="27" t="s">
        <v>338</v>
      </c>
      <c r="D388" s="27">
        <v>2020</v>
      </c>
      <c r="E388" s="27"/>
      <c r="F388" s="27" t="s">
        <v>836</v>
      </c>
      <c r="G388" s="27" t="s">
        <v>268</v>
      </c>
      <c r="H388" s="27"/>
      <c r="I388" s="27" t="s">
        <v>768</v>
      </c>
      <c r="J388" s="27" t="s">
        <v>861</v>
      </c>
      <c r="K388" s="27" t="s">
        <v>739</v>
      </c>
      <c r="L388" s="27"/>
      <c r="M388" s="27"/>
      <c r="N388" s="27">
        <v>1</v>
      </c>
      <c r="O388" s="27"/>
      <c r="P388" s="27"/>
      <c r="Q388" s="27"/>
      <c r="R388" s="27"/>
      <c r="S388" s="27"/>
      <c r="T388" s="27"/>
      <c r="U388" s="27"/>
      <c r="V388" s="27"/>
      <c r="W388" s="27"/>
      <c r="X388" s="27"/>
      <c r="Y388" s="27"/>
      <c r="Z388" s="27" t="s">
        <v>2270</v>
      </c>
      <c r="AA388" s="29">
        <f>AB388*0.0045</f>
        <v>4.5</v>
      </c>
      <c r="AB388" s="30">
        <v>1000</v>
      </c>
      <c r="AC388" s="30">
        <f>AB388*0.089*24*365/10^6</f>
        <v>0.77964</v>
      </c>
      <c r="AD388" s="30"/>
      <c r="AE388" s="30">
        <f>AB388</f>
        <v>1000</v>
      </c>
      <c r="AF388" s="28" t="s">
        <v>2271</v>
      </c>
      <c r="AG388" s="28"/>
    </row>
    <row r="389" spans="1:33" ht="32.25" customHeight="1" x14ac:dyDescent="0.2">
      <c r="A389" s="27">
        <v>702</v>
      </c>
      <c r="B389" s="27" t="s">
        <v>2272</v>
      </c>
      <c r="C389" s="27" t="s">
        <v>347</v>
      </c>
      <c r="D389" s="27">
        <v>2023</v>
      </c>
      <c r="E389" s="27"/>
      <c r="F389" s="27" t="s">
        <v>832</v>
      </c>
      <c r="G389" s="27" t="s">
        <v>758</v>
      </c>
      <c r="H389" s="27" t="s">
        <v>1406</v>
      </c>
      <c r="I389" s="27" t="s">
        <v>756</v>
      </c>
      <c r="J389" s="27"/>
      <c r="K389" s="27" t="s">
        <v>377</v>
      </c>
      <c r="L389" s="27"/>
      <c r="M389" s="27"/>
      <c r="N389" s="27"/>
      <c r="O389" s="27"/>
      <c r="P389" s="27"/>
      <c r="Q389" s="27"/>
      <c r="R389" s="27"/>
      <c r="S389" s="27"/>
      <c r="T389" s="27"/>
      <c r="U389" s="27">
        <v>1</v>
      </c>
      <c r="V389" s="27"/>
      <c r="W389" s="27"/>
      <c r="X389" s="27"/>
      <c r="Y389" s="27"/>
      <c r="Z389" s="27" t="s">
        <v>1938</v>
      </c>
      <c r="AA389" s="29">
        <v>2</v>
      </c>
      <c r="AB389" s="30">
        <f>AA389/0.0045</f>
        <v>444.44444444444446</v>
      </c>
      <c r="AC389" s="30">
        <f>AB389*0.089*24*365/10^6</f>
        <v>0.34650666666666669</v>
      </c>
      <c r="AD389" s="30"/>
      <c r="AE389" s="30">
        <f>AB389</f>
        <v>444.44444444444446</v>
      </c>
      <c r="AF389" s="28" t="s">
        <v>3166</v>
      </c>
      <c r="AG389" s="28"/>
    </row>
    <row r="390" spans="1:33" ht="32.25" customHeight="1" x14ac:dyDescent="0.2">
      <c r="A390" s="27">
        <v>703</v>
      </c>
      <c r="B390" s="27" t="s">
        <v>2273</v>
      </c>
      <c r="C390" s="27" t="s">
        <v>347</v>
      </c>
      <c r="D390" s="27"/>
      <c r="E390" s="27"/>
      <c r="F390" s="27" t="s">
        <v>832</v>
      </c>
      <c r="G390" s="27" t="s">
        <v>758</v>
      </c>
      <c r="H390" s="27" t="s">
        <v>1406</v>
      </c>
      <c r="I390" s="27" t="s">
        <v>768</v>
      </c>
      <c r="J390" s="27" t="s">
        <v>865</v>
      </c>
      <c r="K390" s="27" t="s">
        <v>377</v>
      </c>
      <c r="L390" s="27"/>
      <c r="M390" s="27"/>
      <c r="N390" s="27"/>
      <c r="O390" s="27"/>
      <c r="P390" s="27"/>
      <c r="Q390" s="27"/>
      <c r="R390" s="27">
        <v>1</v>
      </c>
      <c r="S390" s="27">
        <v>1</v>
      </c>
      <c r="T390" s="27"/>
      <c r="U390" s="27">
        <v>1</v>
      </c>
      <c r="V390" s="27"/>
      <c r="W390" s="27"/>
      <c r="X390" s="27"/>
      <c r="Y390" s="27"/>
      <c r="Z390" s="27" t="s">
        <v>2274</v>
      </c>
      <c r="AA390" s="29">
        <v>1</v>
      </c>
      <c r="AB390" s="30">
        <f>AA390/0.0045</f>
        <v>222.22222222222223</v>
      </c>
      <c r="AC390" s="30">
        <f>AB390*0.089*24*365/10^6</f>
        <v>0.17325333333333334</v>
      </c>
      <c r="AD390" s="30"/>
      <c r="AE390" s="30">
        <f>AB390</f>
        <v>222.22222222222223</v>
      </c>
      <c r="AF390" s="28" t="s">
        <v>2056</v>
      </c>
      <c r="AG390" s="28"/>
    </row>
    <row r="391" spans="1:33" ht="32.25" customHeight="1" x14ac:dyDescent="0.2">
      <c r="A391" s="27">
        <v>704</v>
      </c>
      <c r="B391" s="27" t="s">
        <v>2275</v>
      </c>
      <c r="C391" s="27" t="s">
        <v>331</v>
      </c>
      <c r="D391" s="27"/>
      <c r="E391" s="27"/>
      <c r="F391" s="27" t="s">
        <v>753</v>
      </c>
      <c r="G391" s="27" t="s">
        <v>758</v>
      </c>
      <c r="H391" s="27" t="s">
        <v>1406</v>
      </c>
      <c r="I391" s="27" t="s">
        <v>768</v>
      </c>
      <c r="J391" s="27" t="s">
        <v>378</v>
      </c>
      <c r="K391" s="27" t="s">
        <v>377</v>
      </c>
      <c r="L391" s="27"/>
      <c r="M391" s="27"/>
      <c r="N391" s="27"/>
      <c r="O391" s="27"/>
      <c r="P391" s="27"/>
      <c r="Q391" s="27">
        <v>1</v>
      </c>
      <c r="R391" s="27"/>
      <c r="S391" s="27"/>
      <c r="T391" s="27"/>
      <c r="U391" s="27"/>
      <c r="V391" s="27"/>
      <c r="W391" s="27"/>
      <c r="X391" s="27"/>
      <c r="Y391" s="27"/>
      <c r="Z391" s="27" t="s">
        <v>1572</v>
      </c>
      <c r="AA391" s="29">
        <v>1</v>
      </c>
      <c r="AB391" s="30">
        <v>200</v>
      </c>
      <c r="AC391" s="30">
        <f>AB391*0.089*24*365/10^6</f>
        <v>0.15592800000000004</v>
      </c>
      <c r="AD391" s="30"/>
      <c r="AE391" s="30">
        <f>AB391</f>
        <v>200</v>
      </c>
      <c r="AF391" s="28" t="s">
        <v>2276</v>
      </c>
      <c r="AG391" s="28"/>
    </row>
    <row r="392" spans="1:33" ht="32.25" customHeight="1" x14ac:dyDescent="0.2">
      <c r="A392" s="27">
        <v>705</v>
      </c>
      <c r="B392" s="27" t="s">
        <v>2277</v>
      </c>
      <c r="C392" s="27" t="s">
        <v>804</v>
      </c>
      <c r="D392" s="27"/>
      <c r="E392" s="27"/>
      <c r="F392" s="27" t="s">
        <v>916</v>
      </c>
      <c r="G392" s="27" t="s">
        <v>266</v>
      </c>
      <c r="H392" s="27"/>
      <c r="I392" s="27" t="s">
        <v>756</v>
      </c>
      <c r="J392" s="27"/>
      <c r="K392" s="27" t="s">
        <v>396</v>
      </c>
      <c r="L392" s="27"/>
      <c r="M392" s="27"/>
      <c r="N392" s="27"/>
      <c r="O392" s="27"/>
      <c r="P392" s="27"/>
      <c r="Q392" s="27"/>
      <c r="R392" s="27"/>
      <c r="S392" s="27"/>
      <c r="T392" s="27"/>
      <c r="U392" s="27"/>
      <c r="V392" s="27"/>
      <c r="W392" s="27"/>
      <c r="X392" s="27">
        <v>1</v>
      </c>
      <c r="Y392" s="27"/>
      <c r="Z392" s="27" t="s">
        <v>1896</v>
      </c>
      <c r="AA392" s="29">
        <v>1</v>
      </c>
      <c r="AB392" s="30">
        <f>AA392/0.0052</f>
        <v>192.30769230769232</v>
      </c>
      <c r="AC392" s="30">
        <f>AB392*0.089*24*365/10^6</f>
        <v>0.14993076923076926</v>
      </c>
      <c r="AD392" s="30"/>
      <c r="AE392" s="30">
        <f>AB392</f>
        <v>192.30769230769232</v>
      </c>
      <c r="AF392" s="28" t="s">
        <v>2278</v>
      </c>
      <c r="AG392" s="28"/>
    </row>
    <row r="393" spans="1:33" ht="32.25" customHeight="1" x14ac:dyDescent="0.2">
      <c r="A393" s="27">
        <v>706</v>
      </c>
      <c r="B393" s="27" t="s">
        <v>2279</v>
      </c>
      <c r="C393" s="27" t="s">
        <v>337</v>
      </c>
      <c r="D393" s="27">
        <v>2013</v>
      </c>
      <c r="E393" s="27"/>
      <c r="F393" s="27" t="s">
        <v>836</v>
      </c>
      <c r="G393" s="27" t="s">
        <v>761</v>
      </c>
      <c r="H393" s="27" t="s">
        <v>3253</v>
      </c>
      <c r="I393" s="27"/>
      <c r="J393" s="27"/>
      <c r="K393" s="27" t="s">
        <v>740</v>
      </c>
      <c r="L393" s="27"/>
      <c r="M393" s="27">
        <v>1</v>
      </c>
      <c r="N393" s="27"/>
      <c r="O393" s="27"/>
      <c r="P393" s="27"/>
      <c r="Q393" s="27"/>
      <c r="R393" s="27"/>
      <c r="S393" s="27"/>
      <c r="T393" s="27"/>
      <c r="U393" s="27"/>
      <c r="V393" s="27"/>
      <c r="W393" s="27"/>
      <c r="X393" s="27"/>
      <c r="Y393" s="27"/>
      <c r="Z393" s="27" t="s">
        <v>2280</v>
      </c>
      <c r="AA393" s="29"/>
      <c r="AB393" s="30"/>
      <c r="AC393" s="30"/>
      <c r="AD393" s="30">
        <v>1000000</v>
      </c>
      <c r="AE393" s="30">
        <f>AD393*1000/(24*365*0.9105)</f>
        <v>125376.44276941518</v>
      </c>
      <c r="AF393" s="28"/>
      <c r="AG393" s="28"/>
    </row>
    <row r="394" spans="1:33" ht="32.25" customHeight="1" x14ac:dyDescent="0.2">
      <c r="A394" s="27">
        <v>707</v>
      </c>
      <c r="B394" s="27" t="s">
        <v>2281</v>
      </c>
      <c r="C394" s="27" t="s">
        <v>337</v>
      </c>
      <c r="D394" s="27">
        <v>2013</v>
      </c>
      <c r="E394" s="27"/>
      <c r="F394" s="27" t="s">
        <v>836</v>
      </c>
      <c r="G394" s="27" t="s">
        <v>760</v>
      </c>
      <c r="H394" s="27" t="s">
        <v>1970</v>
      </c>
      <c r="I394" s="27"/>
      <c r="J394" s="27"/>
      <c r="K394" s="27" t="s">
        <v>740</v>
      </c>
      <c r="L394" s="27"/>
      <c r="M394" s="27">
        <v>1</v>
      </c>
      <c r="N394" s="27"/>
      <c r="O394" s="27"/>
      <c r="P394" s="27"/>
      <c r="Q394" s="27"/>
      <c r="R394" s="27"/>
      <c r="S394" s="27"/>
      <c r="T394" s="27"/>
      <c r="U394" s="27"/>
      <c r="V394" s="27"/>
      <c r="W394" s="27"/>
      <c r="X394" s="27"/>
      <c r="Y394" s="27"/>
      <c r="Z394" s="27" t="s">
        <v>2282</v>
      </c>
      <c r="AA394" s="29"/>
      <c r="AB394" s="30"/>
      <c r="AC394" s="30"/>
      <c r="AD394" s="30">
        <v>700000</v>
      </c>
      <c r="AE394" s="30">
        <f>AD394*1000/(24*365*0.9105)</f>
        <v>87763.509938590621</v>
      </c>
      <c r="AF394" s="28"/>
      <c r="AG394" s="28"/>
    </row>
    <row r="395" spans="1:33" ht="32.25" customHeight="1" x14ac:dyDescent="0.2">
      <c r="A395" s="27">
        <v>708</v>
      </c>
      <c r="B395" s="27" t="s">
        <v>2283</v>
      </c>
      <c r="C395" s="27" t="s">
        <v>337</v>
      </c>
      <c r="D395" s="118">
        <v>2013</v>
      </c>
      <c r="E395" s="27"/>
      <c r="F395" s="27" t="s">
        <v>836</v>
      </c>
      <c r="G395" s="27" t="s">
        <v>760</v>
      </c>
      <c r="H395" s="27" t="s">
        <v>1970</v>
      </c>
      <c r="I395" s="27"/>
      <c r="J395" s="27"/>
      <c r="K395" s="27" t="s">
        <v>377</v>
      </c>
      <c r="L395" s="27">
        <v>1</v>
      </c>
      <c r="M395" s="27"/>
      <c r="N395" s="27"/>
      <c r="O395" s="27"/>
      <c r="P395" s="27"/>
      <c r="Q395" s="27"/>
      <c r="R395" s="27"/>
      <c r="S395" s="27"/>
      <c r="T395" s="27"/>
      <c r="U395" s="27"/>
      <c r="V395" s="27"/>
      <c r="W395" s="27"/>
      <c r="X395" s="27"/>
      <c r="Y395" s="27"/>
      <c r="Z395" s="27" t="s">
        <v>2284</v>
      </c>
      <c r="AA395" s="29"/>
      <c r="AB395" s="30">
        <v>151000</v>
      </c>
      <c r="AC395" s="30">
        <f>AB395*0.089*24*365/10^6</f>
        <v>117.72564</v>
      </c>
      <c r="AD395" s="30">
        <v>1000000</v>
      </c>
      <c r="AE395" s="30">
        <f>AD395*1000/(24*365*0.9105)</f>
        <v>125376.44276941518</v>
      </c>
      <c r="AF395" s="28" t="s">
        <v>2285</v>
      </c>
      <c r="AG395" s="28"/>
    </row>
    <row r="396" spans="1:33" ht="32.25" customHeight="1" x14ac:dyDescent="0.2">
      <c r="A396" s="27">
        <v>709</v>
      </c>
      <c r="B396" s="27" t="s">
        <v>2286</v>
      </c>
      <c r="C396" s="27" t="s">
        <v>340</v>
      </c>
      <c r="D396" s="118">
        <v>2015</v>
      </c>
      <c r="E396" s="27"/>
      <c r="F396" s="27" t="s">
        <v>916</v>
      </c>
      <c r="G396" s="27" t="s">
        <v>762</v>
      </c>
      <c r="H396" s="27" t="s">
        <v>2287</v>
      </c>
      <c r="I396" s="27"/>
      <c r="J396" s="27"/>
      <c r="K396" s="27" t="s">
        <v>377</v>
      </c>
      <c r="L396" s="27"/>
      <c r="M396" s="27"/>
      <c r="N396" s="27"/>
      <c r="O396" s="27"/>
      <c r="P396" s="27"/>
      <c r="Q396" s="27"/>
      <c r="R396" s="27"/>
      <c r="S396" s="27"/>
      <c r="T396" s="27"/>
      <c r="U396" s="27"/>
      <c r="V396" s="27"/>
      <c r="W396" s="27"/>
      <c r="X396" s="27"/>
      <c r="Y396" s="27"/>
      <c r="Z396" s="27" t="s">
        <v>2288</v>
      </c>
      <c r="AA396" s="29"/>
      <c r="AB396" s="30">
        <v>12</v>
      </c>
      <c r="AC396" s="30">
        <f>AB396*0.089*24*365/10^6</f>
        <v>9.3556799999999999E-3</v>
      </c>
      <c r="AD396" s="30"/>
      <c r="AE396" s="30">
        <f>AB396</f>
        <v>12</v>
      </c>
      <c r="AF396" s="28" t="s">
        <v>2289</v>
      </c>
      <c r="AG396" s="28"/>
    </row>
    <row r="397" spans="1:33" ht="32.25" customHeight="1" x14ac:dyDescent="0.2">
      <c r="A397" s="27">
        <v>710</v>
      </c>
      <c r="B397" s="27" t="s">
        <v>2290</v>
      </c>
      <c r="C397" s="27" t="s">
        <v>331</v>
      </c>
      <c r="D397" s="118">
        <v>2015</v>
      </c>
      <c r="E397" s="27"/>
      <c r="F397" s="27" t="s">
        <v>836</v>
      </c>
      <c r="G397" s="27" t="s">
        <v>760</v>
      </c>
      <c r="H397" s="27" t="s">
        <v>1970</v>
      </c>
      <c r="I397" s="27"/>
      <c r="J397" s="27"/>
      <c r="K397" s="27" t="s">
        <v>377</v>
      </c>
      <c r="L397" s="27">
        <v>1</v>
      </c>
      <c r="M397" s="27"/>
      <c r="N397" s="27"/>
      <c r="O397" s="27"/>
      <c r="P397" s="27"/>
      <c r="Q397" s="27"/>
      <c r="R397" s="27"/>
      <c r="S397" s="27"/>
      <c r="T397" s="27"/>
      <c r="U397" s="27"/>
      <c r="V397" s="27"/>
      <c r="W397" s="27"/>
      <c r="X397" s="27"/>
      <c r="Y397" s="27"/>
      <c r="Z397" s="27" t="s">
        <v>2291</v>
      </c>
      <c r="AA397" s="29"/>
      <c r="AB397" s="30">
        <f>4500/0.09</f>
        <v>50000</v>
      </c>
      <c r="AC397" s="30">
        <f>AB397*0.089*24*365/10^6</f>
        <v>38.981999999999999</v>
      </c>
      <c r="AD397" s="30">
        <v>100000</v>
      </c>
      <c r="AE397" s="30">
        <f>AD397*1000/(24*365*0.9105)</f>
        <v>12537.644276941517</v>
      </c>
      <c r="AF397" s="28" t="s">
        <v>2292</v>
      </c>
      <c r="AG397" s="28"/>
    </row>
    <row r="398" spans="1:33" ht="32.25" customHeight="1" x14ac:dyDescent="0.2">
      <c r="A398" s="27">
        <v>711</v>
      </c>
      <c r="B398" s="27" t="s">
        <v>2293</v>
      </c>
      <c r="C398" s="27" t="s">
        <v>334</v>
      </c>
      <c r="D398" s="118">
        <v>2015</v>
      </c>
      <c r="E398" s="27"/>
      <c r="F398" s="27" t="s">
        <v>836</v>
      </c>
      <c r="G398" s="27" t="s">
        <v>760</v>
      </c>
      <c r="H398" s="27" t="s">
        <v>1970</v>
      </c>
      <c r="I398" s="27"/>
      <c r="J398" s="27"/>
      <c r="K398" s="27" t="s">
        <v>377</v>
      </c>
      <c r="L398" s="27">
        <v>1</v>
      </c>
      <c r="M398" s="27"/>
      <c r="N398" s="27"/>
      <c r="O398" s="27"/>
      <c r="P398" s="27"/>
      <c r="Q398" s="27"/>
      <c r="R398" s="27"/>
      <c r="S398" s="27"/>
      <c r="T398" s="27"/>
      <c r="U398" s="27"/>
      <c r="V398" s="27"/>
      <c r="W398" s="27"/>
      <c r="X398" s="27"/>
      <c r="Y398" s="27"/>
      <c r="Z398" s="27" t="s">
        <v>3312</v>
      </c>
      <c r="AA398" s="29"/>
      <c r="AB398" s="30"/>
      <c r="AC398" s="30">
        <v>300</v>
      </c>
      <c r="AD398" s="30">
        <v>1000000</v>
      </c>
      <c r="AE398" s="30">
        <f>AD398*1000/(24*365*0.9105)</f>
        <v>125376.44276941518</v>
      </c>
      <c r="AF398" s="28" t="s">
        <v>2294</v>
      </c>
      <c r="AG398" s="28"/>
    </row>
    <row r="399" spans="1:33" ht="32.25" customHeight="1" x14ac:dyDescent="0.2">
      <c r="A399" s="27">
        <v>712</v>
      </c>
      <c r="B399" s="27" t="s">
        <v>2295</v>
      </c>
      <c r="C399" s="27" t="s">
        <v>331</v>
      </c>
      <c r="D399" s="118">
        <v>2016</v>
      </c>
      <c r="E399" s="27"/>
      <c r="F399" s="27" t="s">
        <v>916</v>
      </c>
      <c r="G399" s="27" t="s">
        <v>758</v>
      </c>
      <c r="H399" s="27" t="s">
        <v>1406</v>
      </c>
      <c r="I399" s="27" t="s">
        <v>756</v>
      </c>
      <c r="J399" s="27"/>
      <c r="K399" s="27" t="s">
        <v>396</v>
      </c>
      <c r="L399" s="27"/>
      <c r="M399" s="27"/>
      <c r="N399" s="27"/>
      <c r="O399" s="27"/>
      <c r="P399" s="27"/>
      <c r="Q399" s="27"/>
      <c r="R399" s="27"/>
      <c r="S399" s="27"/>
      <c r="T399" s="27"/>
      <c r="U399" s="27"/>
      <c r="V399" s="27"/>
      <c r="W399" s="27"/>
      <c r="X399" s="27">
        <v>1</v>
      </c>
      <c r="Y399" s="27">
        <v>1</v>
      </c>
      <c r="Z399" s="27"/>
      <c r="AA399" s="29"/>
      <c r="AB399" s="30"/>
      <c r="AC399" s="30"/>
      <c r="AD399" s="30"/>
      <c r="AE399" s="30"/>
      <c r="AF399" s="28" t="s">
        <v>2296</v>
      </c>
      <c r="AG399" s="28"/>
    </row>
    <row r="400" spans="1:33" ht="32.25" customHeight="1" x14ac:dyDescent="0.2">
      <c r="A400" s="27">
        <v>713</v>
      </c>
      <c r="B400" s="27" t="s">
        <v>2297</v>
      </c>
      <c r="C400" s="27" t="s">
        <v>804</v>
      </c>
      <c r="D400" s="118">
        <v>2016</v>
      </c>
      <c r="E400" s="27"/>
      <c r="F400" s="27" t="s">
        <v>916</v>
      </c>
      <c r="G400" s="27" t="s">
        <v>266</v>
      </c>
      <c r="H400" s="27"/>
      <c r="I400" s="27" t="s">
        <v>756</v>
      </c>
      <c r="J400" s="27"/>
      <c r="K400" s="27" t="s">
        <v>377</v>
      </c>
      <c r="L400" s="27"/>
      <c r="M400" s="27"/>
      <c r="N400" s="27"/>
      <c r="O400" s="27"/>
      <c r="P400" s="27"/>
      <c r="Q400" s="27">
        <v>1</v>
      </c>
      <c r="R400" s="27">
        <v>1</v>
      </c>
      <c r="S400" s="27"/>
      <c r="T400" s="27">
        <v>1</v>
      </c>
      <c r="U400" s="27"/>
      <c r="V400" s="27"/>
      <c r="W400" s="27"/>
      <c r="X400" s="27"/>
      <c r="Y400" s="27"/>
      <c r="Z400" s="27"/>
      <c r="AA400" s="29"/>
      <c r="AB400" s="30"/>
      <c r="AC400" s="30"/>
      <c r="AD400" s="30"/>
      <c r="AE400" s="30"/>
      <c r="AF400" s="28" t="s">
        <v>2298</v>
      </c>
      <c r="AG400" s="28"/>
    </row>
    <row r="401" spans="1:33" ht="32.25" customHeight="1" x14ac:dyDescent="0.2">
      <c r="A401" s="27">
        <v>714</v>
      </c>
      <c r="B401" s="27" t="s">
        <v>2299</v>
      </c>
      <c r="C401" s="27" t="s">
        <v>331</v>
      </c>
      <c r="D401" s="118">
        <v>2018</v>
      </c>
      <c r="E401" s="27"/>
      <c r="F401" s="27" t="s">
        <v>916</v>
      </c>
      <c r="G401" s="27" t="s">
        <v>267</v>
      </c>
      <c r="H401" s="27"/>
      <c r="I401" s="27" t="s">
        <v>756</v>
      </c>
      <c r="J401" s="27"/>
      <c r="K401" s="27" t="s">
        <v>396</v>
      </c>
      <c r="L401" s="27"/>
      <c r="M401" s="27"/>
      <c r="N401" s="27"/>
      <c r="O401" s="27"/>
      <c r="P401" s="27"/>
      <c r="Q401" s="27"/>
      <c r="R401" s="27"/>
      <c r="S401" s="27"/>
      <c r="T401" s="27"/>
      <c r="U401" s="27"/>
      <c r="V401" s="27"/>
      <c r="W401" s="27"/>
      <c r="X401" s="27">
        <v>1</v>
      </c>
      <c r="Y401" s="27">
        <v>1</v>
      </c>
      <c r="Z401" s="27" t="s">
        <v>2300</v>
      </c>
      <c r="AA401" s="29">
        <v>0.12</v>
      </c>
      <c r="AB401" s="30">
        <v>10</v>
      </c>
      <c r="AC401" s="30">
        <f>AB401*0.089*24*365/10^6</f>
        <v>7.7963999999999993E-3</v>
      </c>
      <c r="AD401" s="30"/>
      <c r="AE401" s="30">
        <f>AB401</f>
        <v>10</v>
      </c>
      <c r="AF401" s="28" t="s">
        <v>2301</v>
      </c>
      <c r="AG401" s="28"/>
    </row>
    <row r="402" spans="1:33" ht="32.25" customHeight="1" x14ac:dyDescent="0.2">
      <c r="A402" s="27">
        <v>716</v>
      </c>
      <c r="B402" s="60" t="s">
        <v>2302</v>
      </c>
      <c r="C402" s="60" t="s">
        <v>804</v>
      </c>
      <c r="D402" s="119">
        <v>2019</v>
      </c>
      <c r="E402" s="60"/>
      <c r="F402" s="60" t="s">
        <v>836</v>
      </c>
      <c r="G402" s="60" t="s">
        <v>758</v>
      </c>
      <c r="H402" s="60" t="s">
        <v>2303</v>
      </c>
      <c r="I402" s="60" t="s">
        <v>756</v>
      </c>
      <c r="J402" s="60"/>
      <c r="K402" s="60" t="s">
        <v>377</v>
      </c>
      <c r="L402" s="60"/>
      <c r="M402" s="60"/>
      <c r="N402" s="60"/>
      <c r="O402" s="60"/>
      <c r="P402" s="60">
        <v>1</v>
      </c>
      <c r="Q402" s="60">
        <v>1</v>
      </c>
      <c r="R402" s="60">
        <v>1</v>
      </c>
      <c r="S402" s="60">
        <v>1</v>
      </c>
      <c r="T402" s="60"/>
      <c r="U402" s="60"/>
      <c r="V402" s="60"/>
      <c r="W402" s="60"/>
      <c r="X402" s="60"/>
      <c r="Y402" s="60"/>
      <c r="Z402" s="60" t="s">
        <v>1647</v>
      </c>
      <c r="AA402" s="62">
        <v>1.25</v>
      </c>
      <c r="AB402" s="63">
        <f>AA402/0.0045</f>
        <v>277.77777777777777</v>
      </c>
      <c r="AC402" s="63">
        <f>AB402*0.089*24*365/10^6</f>
        <v>0.21656666666666663</v>
      </c>
      <c r="AD402" s="63"/>
      <c r="AE402" s="63">
        <f>AB402</f>
        <v>277.77777777777777</v>
      </c>
      <c r="AF402" s="61" t="s">
        <v>2304</v>
      </c>
      <c r="AG402" s="28"/>
    </row>
    <row r="403" spans="1:33" ht="32.25" customHeight="1" x14ac:dyDescent="0.2">
      <c r="A403" s="27">
        <v>717</v>
      </c>
      <c r="B403" s="27" t="s">
        <v>1733</v>
      </c>
      <c r="C403" s="27" t="s">
        <v>340</v>
      </c>
      <c r="D403" s="118">
        <v>2005</v>
      </c>
      <c r="E403" s="27"/>
      <c r="F403" s="27" t="s">
        <v>836</v>
      </c>
      <c r="G403" s="27" t="s">
        <v>268</v>
      </c>
      <c r="H403" s="27"/>
      <c r="I403" s="27" t="s">
        <v>756</v>
      </c>
      <c r="J403" s="27"/>
      <c r="K403" s="27" t="s">
        <v>377</v>
      </c>
      <c r="L403" s="27"/>
      <c r="M403" s="27"/>
      <c r="N403" s="27"/>
      <c r="O403" s="27"/>
      <c r="P403" s="27"/>
      <c r="Q403" s="27"/>
      <c r="R403" s="27">
        <v>1</v>
      </c>
      <c r="S403" s="27"/>
      <c r="T403" s="27"/>
      <c r="U403" s="27"/>
      <c r="V403" s="27"/>
      <c r="W403" s="27"/>
      <c r="X403" s="27"/>
      <c r="Y403" s="27"/>
      <c r="Z403" s="27" t="s">
        <v>2305</v>
      </c>
      <c r="AA403" s="29">
        <f>AB403*0.0046</f>
        <v>3.1280000000000001</v>
      </c>
      <c r="AB403" s="30">
        <v>680</v>
      </c>
      <c r="AC403" s="30">
        <f>AB403*0.089*24*365/10^6</f>
        <v>0.53015519999999994</v>
      </c>
      <c r="AD403" s="30"/>
      <c r="AE403" s="30">
        <f>AB403</f>
        <v>680</v>
      </c>
      <c r="AF403" s="28" t="s">
        <v>1846</v>
      </c>
      <c r="AG403" s="28"/>
    </row>
    <row r="404" spans="1:33" ht="32.25" customHeight="1" x14ac:dyDescent="0.2">
      <c r="A404" s="27">
        <v>718</v>
      </c>
      <c r="B404" s="27" t="s">
        <v>2306</v>
      </c>
      <c r="C404" s="27" t="s">
        <v>334</v>
      </c>
      <c r="D404" s="118">
        <v>2020</v>
      </c>
      <c r="E404" s="27"/>
      <c r="F404" s="27" t="s">
        <v>836</v>
      </c>
      <c r="G404" s="27" t="s">
        <v>266</v>
      </c>
      <c r="H404" s="27"/>
      <c r="I404" s="27" t="s">
        <v>768</v>
      </c>
      <c r="J404" s="27" t="s">
        <v>864</v>
      </c>
      <c r="K404" s="27" t="s">
        <v>377</v>
      </c>
      <c r="L404" s="27"/>
      <c r="M404" s="27"/>
      <c r="N404" s="27"/>
      <c r="O404" s="27"/>
      <c r="P404" s="27">
        <v>1</v>
      </c>
      <c r="Q404" s="27">
        <v>1</v>
      </c>
      <c r="R404" s="27"/>
      <c r="S404" s="27"/>
      <c r="T404" s="27"/>
      <c r="U404" s="27"/>
      <c r="V404" s="27"/>
      <c r="W404" s="27"/>
      <c r="X404" s="27"/>
      <c r="Y404" s="27"/>
      <c r="Z404" s="27" t="s">
        <v>2307</v>
      </c>
      <c r="AA404" s="29">
        <v>20</v>
      </c>
      <c r="AB404" s="30">
        <f>AC404/(0.089*24*365/10^6)</f>
        <v>3745.3183520599246</v>
      </c>
      <c r="AC404" s="30">
        <f>8*365/1000</f>
        <v>2.92</v>
      </c>
      <c r="AD404" s="30"/>
      <c r="AE404" s="30">
        <f>AB404</f>
        <v>3745.3183520599246</v>
      </c>
      <c r="AF404" s="28" t="s">
        <v>2308</v>
      </c>
      <c r="AG404" s="28"/>
    </row>
    <row r="405" spans="1:33" ht="32.25" customHeight="1" x14ac:dyDescent="0.2">
      <c r="A405" s="27">
        <v>719</v>
      </c>
      <c r="B405" s="27" t="s">
        <v>2309</v>
      </c>
      <c r="C405" s="27" t="s">
        <v>338</v>
      </c>
      <c r="D405" s="118">
        <v>2022</v>
      </c>
      <c r="E405" s="27"/>
      <c r="F405" s="27" t="s">
        <v>754</v>
      </c>
      <c r="G405" s="27" t="s">
        <v>758</v>
      </c>
      <c r="H405" s="27" t="s">
        <v>1406</v>
      </c>
      <c r="I405" s="27" t="s">
        <v>768</v>
      </c>
      <c r="J405" s="27" t="s">
        <v>862</v>
      </c>
      <c r="K405" s="27" t="s">
        <v>377</v>
      </c>
      <c r="L405" s="27"/>
      <c r="M405" s="27"/>
      <c r="N405" s="27"/>
      <c r="O405" s="27"/>
      <c r="P405" s="27"/>
      <c r="Q405" s="27">
        <v>1</v>
      </c>
      <c r="R405" s="27"/>
      <c r="S405" s="27"/>
      <c r="T405" s="27"/>
      <c r="U405" s="27"/>
      <c r="V405" s="27"/>
      <c r="W405" s="27"/>
      <c r="X405" s="27"/>
      <c r="Y405" s="27"/>
      <c r="Z405" s="27" t="s">
        <v>1407</v>
      </c>
      <c r="AA405" s="29">
        <v>6</v>
      </c>
      <c r="AB405" s="30">
        <f>AA405/0.0046</f>
        <v>1304.3478260869565</v>
      </c>
      <c r="AC405" s="30">
        <f>AB405*0.089*24*365/10^6</f>
        <v>1.0169217391304346</v>
      </c>
      <c r="AD405" s="30"/>
      <c r="AE405" s="30">
        <f>AB405</f>
        <v>1304.3478260869565</v>
      </c>
      <c r="AF405" s="28" t="s">
        <v>2310</v>
      </c>
      <c r="AG405" s="28"/>
    </row>
    <row r="406" spans="1:33" ht="32.25" customHeight="1" x14ac:dyDescent="0.2">
      <c r="A406" s="27">
        <v>720</v>
      </c>
      <c r="B406" s="27" t="s">
        <v>3260</v>
      </c>
      <c r="C406" s="27" t="s">
        <v>334</v>
      </c>
      <c r="D406" s="27">
        <v>2024</v>
      </c>
      <c r="E406" s="27"/>
      <c r="F406" s="27" t="s">
        <v>753</v>
      </c>
      <c r="G406" s="27" t="s">
        <v>760</v>
      </c>
      <c r="H406" s="27" t="s">
        <v>1437</v>
      </c>
      <c r="I406" s="27"/>
      <c r="J406" s="27"/>
      <c r="K406" s="27" t="s">
        <v>377</v>
      </c>
      <c r="L406" s="27"/>
      <c r="M406" s="27"/>
      <c r="N406" s="27"/>
      <c r="O406" s="27"/>
      <c r="P406" s="27">
        <v>1</v>
      </c>
      <c r="Q406" s="27"/>
      <c r="R406" s="27">
        <v>1</v>
      </c>
      <c r="S406" s="27"/>
      <c r="T406" s="27"/>
      <c r="U406" s="27"/>
      <c r="V406" s="27"/>
      <c r="W406" s="27"/>
      <c r="X406" s="27"/>
      <c r="Y406" s="27"/>
      <c r="Z406" s="27" t="s">
        <v>3261</v>
      </c>
      <c r="AA406" s="29"/>
      <c r="AB406" s="30">
        <f>AC406/(0.089*24*365/10^6)</f>
        <v>667134.83146067406</v>
      </c>
      <c r="AC406" s="30">
        <f>1.5*365*0.95</f>
        <v>520.125</v>
      </c>
      <c r="AD406" s="30"/>
      <c r="AE406" s="30">
        <f>AB406</f>
        <v>667134.83146067406</v>
      </c>
      <c r="AF406" s="28" t="s">
        <v>3262</v>
      </c>
      <c r="AG406" s="28"/>
    </row>
    <row r="407" spans="1:33" ht="32.25" customHeight="1" x14ac:dyDescent="0.2">
      <c r="A407" s="27">
        <v>721</v>
      </c>
      <c r="B407" s="27" t="s">
        <v>2311</v>
      </c>
      <c r="C407" s="27" t="s">
        <v>338</v>
      </c>
      <c r="D407" s="27">
        <v>2020</v>
      </c>
      <c r="E407" s="27"/>
      <c r="F407" s="27" t="s">
        <v>836</v>
      </c>
      <c r="G407" s="27" t="s">
        <v>758</v>
      </c>
      <c r="H407" s="27" t="s">
        <v>1406</v>
      </c>
      <c r="I407" s="27" t="s">
        <v>768</v>
      </c>
      <c r="J407" s="27" t="s">
        <v>862</v>
      </c>
      <c r="K407" s="27" t="s">
        <v>377</v>
      </c>
      <c r="L407" s="27"/>
      <c r="M407" s="27"/>
      <c r="N407" s="27"/>
      <c r="O407" s="27"/>
      <c r="P407" s="27"/>
      <c r="Q407" s="27">
        <v>1</v>
      </c>
      <c r="R407" s="27"/>
      <c r="S407" s="27"/>
      <c r="T407" s="27"/>
      <c r="U407" s="27"/>
      <c r="V407" s="27"/>
      <c r="W407" s="27"/>
      <c r="X407" s="27"/>
      <c r="Y407" s="27"/>
      <c r="Z407" s="27" t="s">
        <v>2312</v>
      </c>
      <c r="AA407" s="50">
        <f>AB407*0.0045</f>
        <v>9.0589887640449422</v>
      </c>
      <c r="AB407" s="30">
        <f>AC407/(0.089*24*365/10^6)</f>
        <v>2013.1086142322094</v>
      </c>
      <c r="AC407" s="30">
        <f>4.3*0.365</f>
        <v>1.5694999999999999</v>
      </c>
      <c r="AD407" s="30"/>
      <c r="AE407" s="30">
        <f>AB407</f>
        <v>2013.1086142322094</v>
      </c>
      <c r="AF407" s="28" t="s">
        <v>2313</v>
      </c>
      <c r="AG407" s="28"/>
    </row>
    <row r="408" spans="1:33" ht="32.25" customHeight="1" x14ac:dyDescent="0.2">
      <c r="A408" s="27">
        <v>722</v>
      </c>
      <c r="B408" s="27" t="s">
        <v>2314</v>
      </c>
      <c r="C408" s="27" t="s">
        <v>338</v>
      </c>
      <c r="D408" s="27">
        <v>2021</v>
      </c>
      <c r="E408" s="27"/>
      <c r="F408" s="27" t="s">
        <v>754</v>
      </c>
      <c r="G408" s="27" t="s">
        <v>266</v>
      </c>
      <c r="H408" s="27"/>
      <c r="I408" s="27" t="s">
        <v>768</v>
      </c>
      <c r="J408" s="27" t="s">
        <v>865</v>
      </c>
      <c r="K408" s="27" t="s">
        <v>377</v>
      </c>
      <c r="L408" s="27"/>
      <c r="M408" s="27"/>
      <c r="N408" s="27"/>
      <c r="O408" s="27"/>
      <c r="P408" s="27"/>
      <c r="Q408" s="27">
        <v>1</v>
      </c>
      <c r="R408" s="27"/>
      <c r="S408" s="27"/>
      <c r="T408" s="27"/>
      <c r="U408" s="27"/>
      <c r="V408" s="27"/>
      <c r="W408" s="27"/>
      <c r="X408" s="27"/>
      <c r="Y408" s="27"/>
      <c r="Z408" s="27" t="s">
        <v>2315</v>
      </c>
      <c r="AA408" s="29">
        <v>9</v>
      </c>
      <c r="AB408" s="30">
        <f>AA408/0.0052</f>
        <v>1730.7692307692309</v>
      </c>
      <c r="AC408" s="30">
        <f>AB408*0.089*24*365/10^6</f>
        <v>1.3493769230769233</v>
      </c>
      <c r="AD408" s="30"/>
      <c r="AE408" s="30">
        <f>AB408</f>
        <v>1730.7692307692309</v>
      </c>
      <c r="AF408" s="28" t="s">
        <v>1484</v>
      </c>
      <c r="AG408" s="28"/>
    </row>
    <row r="409" spans="1:33" ht="32.25" customHeight="1" x14ac:dyDescent="0.2">
      <c r="A409" s="27">
        <v>723</v>
      </c>
      <c r="B409" s="27" t="s">
        <v>2316</v>
      </c>
      <c r="C409" s="27" t="s">
        <v>338</v>
      </c>
      <c r="D409" s="27"/>
      <c r="E409" s="27"/>
      <c r="F409" s="27" t="s">
        <v>1336</v>
      </c>
      <c r="G409" s="27" t="s">
        <v>266</v>
      </c>
      <c r="H409" s="27"/>
      <c r="I409" s="27" t="s">
        <v>768</v>
      </c>
      <c r="J409" s="27" t="s">
        <v>865</v>
      </c>
      <c r="K409" s="27" t="s">
        <v>377</v>
      </c>
      <c r="L409" s="27"/>
      <c r="M409" s="27"/>
      <c r="N409" s="27"/>
      <c r="O409" s="27"/>
      <c r="P409" s="27"/>
      <c r="Q409" s="27">
        <v>1</v>
      </c>
      <c r="R409" s="27"/>
      <c r="S409" s="27"/>
      <c r="T409" s="27"/>
      <c r="U409" s="27"/>
      <c r="V409" s="27"/>
      <c r="W409" s="27"/>
      <c r="X409" s="27"/>
      <c r="Y409" s="27"/>
      <c r="Z409" s="27" t="s">
        <v>2003</v>
      </c>
      <c r="AA409" s="29">
        <v>3</v>
      </c>
      <c r="AB409" s="30">
        <f>AA409/0.0052</f>
        <v>576.92307692307691</v>
      </c>
      <c r="AC409" s="30">
        <f>AB409*0.089*24*365/10^6</f>
        <v>0.4497923076923076</v>
      </c>
      <c r="AD409" s="30"/>
      <c r="AE409" s="30">
        <f>AB409</f>
        <v>576.92307692307691</v>
      </c>
      <c r="AF409" s="28" t="s">
        <v>2317</v>
      </c>
      <c r="AG409" s="28"/>
    </row>
    <row r="410" spans="1:33" ht="32.25" customHeight="1" x14ac:dyDescent="0.2">
      <c r="A410" s="27">
        <v>724</v>
      </c>
      <c r="B410" s="27" t="s">
        <v>2318</v>
      </c>
      <c r="C410" s="27" t="s">
        <v>338</v>
      </c>
      <c r="D410" s="27"/>
      <c r="E410" s="27"/>
      <c r="F410" s="27" t="s">
        <v>1336</v>
      </c>
      <c r="G410" s="27" t="s">
        <v>266</v>
      </c>
      <c r="H410" s="27"/>
      <c r="I410" s="27" t="s">
        <v>768</v>
      </c>
      <c r="J410" s="27" t="s">
        <v>865</v>
      </c>
      <c r="K410" s="27" t="s">
        <v>377</v>
      </c>
      <c r="L410" s="27"/>
      <c r="M410" s="27"/>
      <c r="N410" s="27"/>
      <c r="O410" s="27"/>
      <c r="P410" s="27"/>
      <c r="Q410" s="27">
        <v>1</v>
      </c>
      <c r="R410" s="27"/>
      <c r="S410" s="27"/>
      <c r="T410" s="27"/>
      <c r="U410" s="27"/>
      <c r="V410" s="27"/>
      <c r="W410" s="27"/>
      <c r="X410" s="27"/>
      <c r="Y410" s="27"/>
      <c r="Z410" s="27" t="s">
        <v>1407</v>
      </c>
      <c r="AA410" s="29">
        <v>7</v>
      </c>
      <c r="AB410" s="30">
        <f>AA410/0.0052</f>
        <v>1346.1538461538462</v>
      </c>
      <c r="AC410" s="30">
        <f>AB410*0.089*24*365/10^6</f>
        <v>1.0495153846153844</v>
      </c>
      <c r="AD410" s="30"/>
      <c r="AE410" s="30">
        <f>AB410</f>
        <v>1346.1538461538462</v>
      </c>
      <c r="AF410" s="28" t="s">
        <v>2319</v>
      </c>
      <c r="AG410" s="28"/>
    </row>
    <row r="411" spans="1:33" ht="32.25" customHeight="1" x14ac:dyDescent="0.2">
      <c r="A411" s="27">
        <v>725</v>
      </c>
      <c r="B411" s="27" t="s">
        <v>2320</v>
      </c>
      <c r="C411" s="27" t="s">
        <v>341</v>
      </c>
      <c r="D411" s="27">
        <v>2021</v>
      </c>
      <c r="E411" s="27"/>
      <c r="F411" s="27" t="s">
        <v>754</v>
      </c>
      <c r="G411" s="27" t="s">
        <v>268</v>
      </c>
      <c r="H411" s="27"/>
      <c r="I411" s="27" t="s">
        <v>866</v>
      </c>
      <c r="J411" s="27"/>
      <c r="K411" s="27" t="s">
        <v>377</v>
      </c>
      <c r="L411" s="27"/>
      <c r="M411" s="27"/>
      <c r="N411" s="27"/>
      <c r="O411" s="27"/>
      <c r="P411" s="27">
        <v>1</v>
      </c>
      <c r="Q411" s="27">
        <v>1</v>
      </c>
      <c r="R411" s="27"/>
      <c r="S411" s="27"/>
      <c r="T411" s="27"/>
      <c r="U411" s="27"/>
      <c r="V411" s="27"/>
      <c r="W411" s="27"/>
      <c r="X411" s="27"/>
      <c r="Y411" s="27"/>
      <c r="Z411" s="27" t="s">
        <v>1404</v>
      </c>
      <c r="AA411" s="29">
        <v>4</v>
      </c>
      <c r="AB411" s="30">
        <f>AA411/0.0046</f>
        <v>869.56521739130437</v>
      </c>
      <c r="AC411" s="30">
        <f>AB411*0.089*24*365/10^6</f>
        <v>0.67794782608695658</v>
      </c>
      <c r="AD411" s="30"/>
      <c r="AE411" s="30">
        <f>AB411</f>
        <v>869.56521739130437</v>
      </c>
      <c r="AF411" s="28" t="s">
        <v>2321</v>
      </c>
      <c r="AG411" s="28"/>
    </row>
    <row r="412" spans="1:33" ht="32.25" customHeight="1" x14ac:dyDescent="0.2">
      <c r="A412" s="27">
        <v>726</v>
      </c>
      <c r="B412" s="27" t="s">
        <v>2322</v>
      </c>
      <c r="C412" s="27" t="s">
        <v>521</v>
      </c>
      <c r="D412" s="27">
        <v>2021</v>
      </c>
      <c r="E412" s="27"/>
      <c r="F412" s="27" t="s">
        <v>754</v>
      </c>
      <c r="G412" s="27" t="s">
        <v>268</v>
      </c>
      <c r="H412" s="27"/>
      <c r="I412" s="27" t="s">
        <v>768</v>
      </c>
      <c r="J412" s="27" t="s">
        <v>865</v>
      </c>
      <c r="K412" s="27" t="s">
        <v>377</v>
      </c>
      <c r="L412" s="27"/>
      <c r="M412" s="27"/>
      <c r="N412" s="27"/>
      <c r="O412" s="27"/>
      <c r="P412" s="27"/>
      <c r="Q412" s="27">
        <v>1</v>
      </c>
      <c r="R412" s="27"/>
      <c r="S412" s="27"/>
      <c r="T412" s="27"/>
      <c r="U412" s="27"/>
      <c r="V412" s="27"/>
      <c r="W412" s="27"/>
      <c r="X412" s="27"/>
      <c r="Y412" s="27"/>
      <c r="Z412" s="27" t="s">
        <v>2323</v>
      </c>
      <c r="AA412" s="29">
        <v>3.5</v>
      </c>
      <c r="AB412" s="30">
        <f>AA412/0.0046</f>
        <v>760.86956521739137</v>
      </c>
      <c r="AC412" s="30">
        <f>AB412*0.089*24*365/10^6</f>
        <v>0.593204347826087</v>
      </c>
      <c r="AD412" s="30"/>
      <c r="AE412" s="30">
        <f>AB412</f>
        <v>760.86956521739137</v>
      </c>
      <c r="AF412" s="28" t="s">
        <v>2324</v>
      </c>
      <c r="AG412" s="28"/>
    </row>
    <row r="413" spans="1:33" ht="32.25" customHeight="1" x14ac:dyDescent="0.2">
      <c r="A413" s="27">
        <v>727</v>
      </c>
      <c r="B413" s="27" t="s">
        <v>3265</v>
      </c>
      <c r="C413" s="27" t="s">
        <v>361</v>
      </c>
      <c r="D413" s="27">
        <v>2021</v>
      </c>
      <c r="E413" s="27"/>
      <c r="F413" s="27" t="s">
        <v>754</v>
      </c>
      <c r="G413" s="27" t="s">
        <v>266</v>
      </c>
      <c r="H413" s="27"/>
      <c r="I413" s="27" t="s">
        <v>768</v>
      </c>
      <c r="J413" s="27" t="s">
        <v>861</v>
      </c>
      <c r="K413" s="27" t="s">
        <v>377</v>
      </c>
      <c r="L413" s="27"/>
      <c r="M413" s="27"/>
      <c r="N413" s="27"/>
      <c r="O413" s="27"/>
      <c r="P413" s="27"/>
      <c r="Q413" s="27">
        <v>1</v>
      </c>
      <c r="R413" s="27"/>
      <c r="S413" s="27"/>
      <c r="T413" s="27"/>
      <c r="U413" s="27"/>
      <c r="V413" s="27"/>
      <c r="W413" s="27"/>
      <c r="X413" s="27"/>
      <c r="Y413" s="27"/>
      <c r="Z413" s="27" t="s">
        <v>3266</v>
      </c>
      <c r="AA413" s="29">
        <f>IF(OR(G413="ALK",G413="PEM",G413="SOEC",G413="Other Electrolysis"),
AB413*VLOOKUP(G413,ElectrolysisConvF,3,FALSE),
"")</f>
        <v>0.37350572058898973</v>
      </c>
      <c r="AB413" s="30">
        <f>AC413/(0.089*24*365/10^6)</f>
        <v>71.828023190190336</v>
      </c>
      <c r="AC413" s="30">
        <v>5.6000000000000001E-2</v>
      </c>
      <c r="AD413" s="30"/>
      <c r="AE413" s="30"/>
      <c r="AF413" s="28" t="s">
        <v>3267</v>
      </c>
      <c r="AG413" s="28"/>
    </row>
    <row r="414" spans="1:33" ht="32.25" customHeight="1" x14ac:dyDescent="0.2">
      <c r="A414" s="27">
        <v>728</v>
      </c>
      <c r="B414" s="27" t="s">
        <v>2325</v>
      </c>
      <c r="C414" s="27" t="s">
        <v>804</v>
      </c>
      <c r="D414" s="27">
        <v>2020</v>
      </c>
      <c r="E414" s="27"/>
      <c r="F414" s="27" t="s">
        <v>836</v>
      </c>
      <c r="G414" s="27" t="s">
        <v>266</v>
      </c>
      <c r="H414" s="27"/>
      <c r="I414" s="27" t="s">
        <v>768</v>
      </c>
      <c r="J414" s="27" t="s">
        <v>865</v>
      </c>
      <c r="K414" s="27" t="s">
        <v>377</v>
      </c>
      <c r="L414" s="27"/>
      <c r="M414" s="27"/>
      <c r="N414" s="27"/>
      <c r="O414" s="27"/>
      <c r="P414" s="27"/>
      <c r="Q414" s="27">
        <v>1</v>
      </c>
      <c r="R414" s="27"/>
      <c r="S414" s="27"/>
      <c r="T414" s="27"/>
      <c r="U414" s="27"/>
      <c r="V414" s="27"/>
      <c r="W414" s="27"/>
      <c r="X414" s="27"/>
      <c r="Y414" s="27"/>
      <c r="Z414" s="27" t="s">
        <v>1914</v>
      </c>
      <c r="AA414" s="29">
        <v>2.5</v>
      </c>
      <c r="AB414" s="30">
        <v>500</v>
      </c>
      <c r="AC414" s="30">
        <f>AB414*0.089*24*365/10^6</f>
        <v>0.38982</v>
      </c>
      <c r="AD414" s="30"/>
      <c r="AE414" s="30">
        <f>AB414</f>
        <v>500</v>
      </c>
      <c r="AF414" s="28" t="s">
        <v>2326</v>
      </c>
      <c r="AG414" s="28"/>
    </row>
    <row r="415" spans="1:33" ht="32.25" customHeight="1" x14ac:dyDescent="0.2">
      <c r="A415" s="27">
        <v>730</v>
      </c>
      <c r="B415" s="27" t="s">
        <v>2327</v>
      </c>
      <c r="C415" s="27" t="s">
        <v>804</v>
      </c>
      <c r="D415" s="27">
        <v>2021</v>
      </c>
      <c r="E415" s="27"/>
      <c r="F415" s="27" t="s">
        <v>836</v>
      </c>
      <c r="G415" s="27" t="s">
        <v>266</v>
      </c>
      <c r="H415" s="27"/>
      <c r="I415" s="27" t="s">
        <v>768</v>
      </c>
      <c r="J415" s="27" t="s">
        <v>862</v>
      </c>
      <c r="K415" s="27" t="s">
        <v>377</v>
      </c>
      <c r="L415" s="27"/>
      <c r="M415" s="27"/>
      <c r="N415" s="27"/>
      <c r="O415" s="27">
        <v>1</v>
      </c>
      <c r="P415" s="27"/>
      <c r="Q415" s="27"/>
      <c r="R415" s="27"/>
      <c r="S415" s="27"/>
      <c r="T415" s="27"/>
      <c r="U415" s="27"/>
      <c r="V415" s="27"/>
      <c r="W415" s="27"/>
      <c r="X415" s="27"/>
      <c r="Y415" s="27"/>
      <c r="Z415" s="27" t="s">
        <v>2328</v>
      </c>
      <c r="AA415" s="29">
        <v>2.5</v>
      </c>
      <c r="AB415" s="30">
        <v>450</v>
      </c>
      <c r="AC415" s="30">
        <f>AB415*0.089*24*365/10^6</f>
        <v>0.35083799999999998</v>
      </c>
      <c r="AD415" s="30"/>
      <c r="AE415" s="30">
        <f>AB415</f>
        <v>450</v>
      </c>
      <c r="AF415" s="28" t="s">
        <v>2329</v>
      </c>
      <c r="AG415" s="28"/>
    </row>
    <row r="416" spans="1:33" ht="32.25" customHeight="1" x14ac:dyDescent="0.2">
      <c r="A416" s="27">
        <v>731</v>
      </c>
      <c r="B416" s="27" t="s">
        <v>2330</v>
      </c>
      <c r="C416" s="27" t="s">
        <v>804</v>
      </c>
      <c r="D416" s="27">
        <v>2021</v>
      </c>
      <c r="E416" s="27"/>
      <c r="F416" s="27" t="s">
        <v>754</v>
      </c>
      <c r="G416" s="27" t="s">
        <v>758</v>
      </c>
      <c r="H416" s="27" t="s">
        <v>1406</v>
      </c>
      <c r="I416" s="27" t="s">
        <v>768</v>
      </c>
      <c r="J416" s="27" t="s">
        <v>862</v>
      </c>
      <c r="K416" s="27" t="s">
        <v>377</v>
      </c>
      <c r="L416" s="27"/>
      <c r="M416" s="27"/>
      <c r="N416" s="27"/>
      <c r="O416" s="27"/>
      <c r="P416" s="27"/>
      <c r="Q416" s="27"/>
      <c r="R416" s="27"/>
      <c r="S416" s="27">
        <v>1</v>
      </c>
      <c r="T416" s="27"/>
      <c r="U416" s="27"/>
      <c r="V416" s="27"/>
      <c r="W416" s="27"/>
      <c r="X416" s="27"/>
      <c r="Y416" s="27"/>
      <c r="Z416" s="27" t="s">
        <v>1938</v>
      </c>
      <c r="AA416" s="29">
        <v>2</v>
      </c>
      <c r="AB416" s="30">
        <f>AA416/0.0045</f>
        <v>444.44444444444446</v>
      </c>
      <c r="AC416" s="30">
        <f>AB416*0.089*24*365/10^6</f>
        <v>0.34650666666666669</v>
      </c>
      <c r="AD416" s="30"/>
      <c r="AE416" s="30">
        <f>AB416</f>
        <v>444.44444444444446</v>
      </c>
      <c r="AF416" s="28"/>
      <c r="AG416" s="28"/>
    </row>
    <row r="417" spans="1:33" ht="32.25" customHeight="1" x14ac:dyDescent="0.2">
      <c r="A417" s="27">
        <v>732</v>
      </c>
      <c r="B417" s="27" t="s">
        <v>2331</v>
      </c>
      <c r="C417" s="27" t="s">
        <v>338</v>
      </c>
      <c r="D417" s="27">
        <v>2020</v>
      </c>
      <c r="E417" s="27"/>
      <c r="F417" s="27" t="s">
        <v>836</v>
      </c>
      <c r="G417" s="27" t="s">
        <v>268</v>
      </c>
      <c r="H417" s="27"/>
      <c r="I417" s="27" t="s">
        <v>768</v>
      </c>
      <c r="J417" s="27" t="s">
        <v>862</v>
      </c>
      <c r="K417" s="27" t="s">
        <v>377</v>
      </c>
      <c r="L417" s="27"/>
      <c r="M417" s="27"/>
      <c r="N417" s="27"/>
      <c r="O417" s="27"/>
      <c r="P417" s="27"/>
      <c r="Q417" s="27"/>
      <c r="R417" s="27">
        <v>1</v>
      </c>
      <c r="S417" s="27"/>
      <c r="T417" s="27"/>
      <c r="U417" s="27"/>
      <c r="V417" s="27"/>
      <c r="W417" s="27"/>
      <c r="X417" s="27"/>
      <c r="Y417" s="27"/>
      <c r="Z417" s="27" t="s">
        <v>1404</v>
      </c>
      <c r="AA417" s="29">
        <v>4</v>
      </c>
      <c r="AB417" s="30">
        <f>AA417/0.0046</f>
        <v>869.56521739130437</v>
      </c>
      <c r="AC417" s="30">
        <f>AB417*0.089*24*365/10^6</f>
        <v>0.67794782608695658</v>
      </c>
      <c r="AD417" s="30"/>
      <c r="AE417" s="30">
        <f>AB417</f>
        <v>869.56521739130437</v>
      </c>
      <c r="AF417" s="28" t="s">
        <v>2313</v>
      </c>
      <c r="AG417" s="28"/>
    </row>
    <row r="418" spans="1:33" ht="32.25" customHeight="1" x14ac:dyDescent="0.2">
      <c r="A418" s="27">
        <v>733</v>
      </c>
      <c r="B418" s="27" t="s">
        <v>2332</v>
      </c>
      <c r="C418" s="27" t="s">
        <v>344</v>
      </c>
      <c r="D418" s="27">
        <v>2021</v>
      </c>
      <c r="E418" s="27"/>
      <c r="F418" s="27" t="s">
        <v>836</v>
      </c>
      <c r="G418" s="27" t="s">
        <v>266</v>
      </c>
      <c r="H418" s="27"/>
      <c r="I418" s="27" t="s">
        <v>768</v>
      </c>
      <c r="J418" s="27" t="s">
        <v>861</v>
      </c>
      <c r="K418" s="27" t="s">
        <v>377</v>
      </c>
      <c r="L418" s="27"/>
      <c r="M418" s="27"/>
      <c r="N418" s="27"/>
      <c r="O418" s="27"/>
      <c r="P418" s="27"/>
      <c r="Q418" s="27">
        <v>1</v>
      </c>
      <c r="R418" s="27"/>
      <c r="S418" s="27"/>
      <c r="T418" s="27"/>
      <c r="U418" s="27"/>
      <c r="V418" s="27"/>
      <c r="W418" s="27"/>
      <c r="X418" s="27"/>
      <c r="Y418" s="27"/>
      <c r="Z418" s="27" t="s">
        <v>1647</v>
      </c>
      <c r="AA418" s="29">
        <v>1.25</v>
      </c>
      <c r="AB418" s="30">
        <f>AA418/0.0052</f>
        <v>240.38461538461539</v>
      </c>
      <c r="AC418" s="30">
        <f>AB418*0.089*24*365/10^6</f>
        <v>0.18741346153846153</v>
      </c>
      <c r="AD418" s="30"/>
      <c r="AE418" s="30">
        <f>AB418</f>
        <v>240.38461538461539</v>
      </c>
      <c r="AF418" s="28" t="s">
        <v>3190</v>
      </c>
      <c r="AG418" s="28"/>
    </row>
    <row r="419" spans="1:33" ht="32.25" customHeight="1" x14ac:dyDescent="0.2">
      <c r="A419" s="27">
        <v>734</v>
      </c>
      <c r="B419" s="27" t="s">
        <v>3324</v>
      </c>
      <c r="C419" s="27" t="s">
        <v>336</v>
      </c>
      <c r="D419" s="27">
        <v>2021</v>
      </c>
      <c r="E419" s="27"/>
      <c r="F419" s="27" t="s">
        <v>836</v>
      </c>
      <c r="G419" s="27" t="s">
        <v>266</v>
      </c>
      <c r="H419" s="27"/>
      <c r="I419" s="27" t="s">
        <v>768</v>
      </c>
      <c r="J419" s="27" t="s">
        <v>865</v>
      </c>
      <c r="K419" s="27" t="s">
        <v>377</v>
      </c>
      <c r="L419" s="27"/>
      <c r="M419" s="27"/>
      <c r="N419" s="27"/>
      <c r="O419" s="27"/>
      <c r="P419" s="27"/>
      <c r="Q419" s="27"/>
      <c r="R419" s="27"/>
      <c r="S419" s="27">
        <v>1</v>
      </c>
      <c r="T419" s="27"/>
      <c r="U419" s="27"/>
      <c r="V419" s="27"/>
      <c r="W419" s="27"/>
      <c r="X419" s="27"/>
      <c r="Y419" s="27"/>
      <c r="Z419" s="27" t="s">
        <v>1647</v>
      </c>
      <c r="AA419" s="29">
        <v>1.25</v>
      </c>
      <c r="AB419" s="30">
        <f>AA419/0.0052</f>
        <v>240.38461538461539</v>
      </c>
      <c r="AC419" s="30">
        <f>AB419*0.089*24*365/10^6</f>
        <v>0.18741346153846153</v>
      </c>
      <c r="AD419" s="30"/>
      <c r="AE419" s="30">
        <f>AB419</f>
        <v>240.38461538461539</v>
      </c>
      <c r="AF419" s="28" t="s">
        <v>2333</v>
      </c>
      <c r="AG419" s="28"/>
    </row>
    <row r="420" spans="1:33" ht="32.25" customHeight="1" x14ac:dyDescent="0.2">
      <c r="A420" s="27">
        <v>735</v>
      </c>
      <c r="B420" s="27" t="s">
        <v>2334</v>
      </c>
      <c r="C420" s="27" t="s">
        <v>337</v>
      </c>
      <c r="D420" s="27">
        <v>2021</v>
      </c>
      <c r="E420" s="27"/>
      <c r="F420" s="27" t="s">
        <v>836</v>
      </c>
      <c r="G420" s="27" t="s">
        <v>266</v>
      </c>
      <c r="H420" s="27"/>
      <c r="I420" s="27" t="s">
        <v>756</v>
      </c>
      <c r="J420" s="27"/>
      <c r="K420" s="27" t="s">
        <v>377</v>
      </c>
      <c r="L420" s="27"/>
      <c r="M420" s="27"/>
      <c r="N420" s="27"/>
      <c r="O420" s="27"/>
      <c r="P420" s="27"/>
      <c r="Q420" s="27">
        <v>1</v>
      </c>
      <c r="R420" s="27"/>
      <c r="S420" s="27"/>
      <c r="T420" s="27"/>
      <c r="U420" s="27"/>
      <c r="V420" s="27"/>
      <c r="W420" s="27"/>
      <c r="X420" s="27"/>
      <c r="Y420" s="27"/>
      <c r="Z420" s="27" t="s">
        <v>1459</v>
      </c>
      <c r="AA420" s="29">
        <v>1</v>
      </c>
      <c r="AB420" s="30">
        <f>AA420/0.0052</f>
        <v>192.30769230769232</v>
      </c>
      <c r="AC420" s="30">
        <f>AB420*0.089*24*365/10^6</f>
        <v>0.14993076923076926</v>
      </c>
      <c r="AD420" s="30"/>
      <c r="AE420" s="30">
        <f>AB420</f>
        <v>192.30769230769232</v>
      </c>
      <c r="AF420" s="28" t="s">
        <v>3302</v>
      </c>
      <c r="AG420" s="28"/>
    </row>
    <row r="421" spans="1:33" ht="32.25" customHeight="1" x14ac:dyDescent="0.2">
      <c r="A421" s="27">
        <v>736</v>
      </c>
      <c r="B421" s="27" t="s">
        <v>2335</v>
      </c>
      <c r="C421" s="27" t="s">
        <v>347</v>
      </c>
      <c r="D421" s="27"/>
      <c r="E421" s="27"/>
      <c r="F421" s="27" t="s">
        <v>916</v>
      </c>
      <c r="G421" s="27" t="s">
        <v>758</v>
      </c>
      <c r="H421" s="27" t="s">
        <v>1406</v>
      </c>
      <c r="I421" s="27" t="s">
        <v>756</v>
      </c>
      <c r="J421" s="27"/>
      <c r="K421" s="27" t="s">
        <v>377</v>
      </c>
      <c r="L421" s="27"/>
      <c r="M421" s="27"/>
      <c r="N421" s="27"/>
      <c r="O421" s="27"/>
      <c r="P421" s="27"/>
      <c r="Q421" s="27"/>
      <c r="R421" s="27"/>
      <c r="S421" s="27"/>
      <c r="T421" s="27"/>
      <c r="U421" s="27"/>
      <c r="V421" s="27"/>
      <c r="W421" s="27"/>
      <c r="X421" s="27"/>
      <c r="Y421" s="27"/>
      <c r="Z421" s="27" t="s">
        <v>1692</v>
      </c>
      <c r="AA421" s="29">
        <v>0.02</v>
      </c>
      <c r="AB421" s="30">
        <f>AA421/0.0045</f>
        <v>4.4444444444444446</v>
      </c>
      <c r="AC421" s="30">
        <f>AB421*0.089*24*365/10^6</f>
        <v>3.465066666666666E-3</v>
      </c>
      <c r="AD421" s="30"/>
      <c r="AE421" s="30">
        <f>AB421</f>
        <v>4.4444444444444446</v>
      </c>
      <c r="AF421" s="28" t="s">
        <v>2056</v>
      </c>
      <c r="AG421" s="28"/>
    </row>
    <row r="422" spans="1:33" ht="32.25" customHeight="1" x14ac:dyDescent="0.2">
      <c r="A422" s="27">
        <v>737</v>
      </c>
      <c r="B422" s="27" t="s">
        <v>2336</v>
      </c>
      <c r="C422" s="27" t="s">
        <v>336</v>
      </c>
      <c r="D422" s="27">
        <v>2021</v>
      </c>
      <c r="E422" s="27"/>
      <c r="F422" s="27" t="s">
        <v>754</v>
      </c>
      <c r="G422" s="27" t="s">
        <v>758</v>
      </c>
      <c r="H422" s="27" t="s">
        <v>1406</v>
      </c>
      <c r="I422" s="27" t="s">
        <v>765</v>
      </c>
      <c r="J422" s="27"/>
      <c r="K422" s="27" t="s">
        <v>377</v>
      </c>
      <c r="L422" s="27"/>
      <c r="M422" s="27"/>
      <c r="N422" s="27"/>
      <c r="O422" s="27"/>
      <c r="P422" s="27"/>
      <c r="Q422" s="27"/>
      <c r="R422" s="27"/>
      <c r="S422" s="27">
        <v>1</v>
      </c>
      <c r="T422" s="27"/>
      <c r="U422" s="27"/>
      <c r="V422" s="27"/>
      <c r="W422" s="27"/>
      <c r="X422" s="27"/>
      <c r="Y422" s="27"/>
      <c r="Z422" s="27" t="s">
        <v>2337</v>
      </c>
      <c r="AA422" s="29">
        <v>0.5</v>
      </c>
      <c r="AB422" s="30">
        <f>AA422/0.0045</f>
        <v>111.11111111111111</v>
      </c>
      <c r="AC422" s="30">
        <f>AB422*0.089*24*365/10^6</f>
        <v>8.6626666666666671E-2</v>
      </c>
      <c r="AD422" s="30"/>
      <c r="AE422" s="30">
        <f>AB422</f>
        <v>111.11111111111111</v>
      </c>
      <c r="AF422" s="28" t="s">
        <v>2338</v>
      </c>
      <c r="AG422" s="28"/>
    </row>
    <row r="423" spans="1:33" ht="32.25" customHeight="1" x14ac:dyDescent="0.2">
      <c r="A423" s="27">
        <v>738</v>
      </c>
      <c r="B423" s="27" t="s">
        <v>2339</v>
      </c>
      <c r="C423" s="27" t="s">
        <v>336</v>
      </c>
      <c r="D423" s="27">
        <v>2021</v>
      </c>
      <c r="E423" s="27"/>
      <c r="F423" s="27" t="s">
        <v>754</v>
      </c>
      <c r="G423" s="27" t="s">
        <v>266</v>
      </c>
      <c r="H423" s="27" t="s">
        <v>1406</v>
      </c>
      <c r="I423" s="27" t="s">
        <v>756</v>
      </c>
      <c r="J423" s="27"/>
      <c r="K423" s="27" t="s">
        <v>377</v>
      </c>
      <c r="L423" s="27"/>
      <c r="M423" s="27"/>
      <c r="N423" s="27"/>
      <c r="O423" s="27"/>
      <c r="P423" s="27"/>
      <c r="Q423" s="27">
        <v>1</v>
      </c>
      <c r="R423" s="27"/>
      <c r="S423" s="27"/>
      <c r="T423" s="27"/>
      <c r="U423" s="27"/>
      <c r="V423" s="27"/>
      <c r="W423" s="27"/>
      <c r="X423" s="27"/>
      <c r="Y423" s="27"/>
      <c r="Z423" s="27" t="s">
        <v>2340</v>
      </c>
      <c r="AA423" s="29">
        <v>0.22</v>
      </c>
      <c r="AB423" s="30">
        <f>AA423/0.0045</f>
        <v>48.888888888888893</v>
      </c>
      <c r="AC423" s="30">
        <f>AB423*0.089*24*365/10^6</f>
        <v>3.8115733333333332E-2</v>
      </c>
      <c r="AD423" s="30"/>
      <c r="AE423" s="30">
        <f>AB423</f>
        <v>48.888888888888893</v>
      </c>
      <c r="AF423" s="28" t="s">
        <v>2341</v>
      </c>
      <c r="AG423" s="28"/>
    </row>
    <row r="424" spans="1:33" ht="32.25" customHeight="1" x14ac:dyDescent="0.2">
      <c r="A424" s="27">
        <v>739</v>
      </c>
      <c r="B424" s="27" t="s">
        <v>2342</v>
      </c>
      <c r="C424" s="27" t="s">
        <v>858</v>
      </c>
      <c r="D424" s="27">
        <v>2020</v>
      </c>
      <c r="E424" s="27"/>
      <c r="F424" s="27" t="s">
        <v>916</v>
      </c>
      <c r="G424" s="27" t="s">
        <v>266</v>
      </c>
      <c r="H424" s="27"/>
      <c r="I424" s="27" t="s">
        <v>756</v>
      </c>
      <c r="J424" s="27"/>
      <c r="K424" s="27" t="s">
        <v>377</v>
      </c>
      <c r="L424" s="27"/>
      <c r="M424" s="27"/>
      <c r="N424" s="27"/>
      <c r="O424" s="27"/>
      <c r="P424" s="27"/>
      <c r="Q424" s="27">
        <v>1</v>
      </c>
      <c r="R424" s="27"/>
      <c r="S424" s="27"/>
      <c r="T424" s="27"/>
      <c r="U424" s="27"/>
      <c r="V424" s="27"/>
      <c r="W424" s="27"/>
      <c r="X424" s="27"/>
      <c r="Y424" s="27"/>
      <c r="Z424" s="27" t="s">
        <v>2343</v>
      </c>
      <c r="AA424" s="29">
        <v>0.1</v>
      </c>
      <c r="AB424" s="30">
        <f>AA424/0.0052</f>
        <v>19.230769230769234</v>
      </c>
      <c r="AC424" s="30">
        <f>AB424*0.089*24*365/10^6</f>
        <v>1.4993076923076923E-2</v>
      </c>
      <c r="AD424" s="30"/>
      <c r="AE424" s="30">
        <f>AB424</f>
        <v>19.230769230769234</v>
      </c>
      <c r="AF424" s="28" t="s">
        <v>2344</v>
      </c>
      <c r="AG424" s="28"/>
    </row>
    <row r="425" spans="1:33" ht="32.25" customHeight="1" x14ac:dyDescent="0.2">
      <c r="A425" s="27">
        <v>740</v>
      </c>
      <c r="B425" s="27" t="s">
        <v>2345</v>
      </c>
      <c r="C425" s="27" t="s">
        <v>980</v>
      </c>
      <c r="D425" s="27">
        <v>2020</v>
      </c>
      <c r="E425" s="27"/>
      <c r="F425" s="27" t="s">
        <v>916</v>
      </c>
      <c r="G425" s="27" t="s">
        <v>758</v>
      </c>
      <c r="H425" s="27" t="s">
        <v>2229</v>
      </c>
      <c r="I425" s="27" t="s">
        <v>768</v>
      </c>
      <c r="J425" s="27" t="s">
        <v>865</v>
      </c>
      <c r="K425" s="27" t="s">
        <v>377</v>
      </c>
      <c r="L425" s="27"/>
      <c r="M425" s="27"/>
      <c r="N425" s="27"/>
      <c r="O425" s="27"/>
      <c r="P425" s="27"/>
      <c r="Q425" s="27"/>
      <c r="R425" s="27">
        <v>1</v>
      </c>
      <c r="S425" s="27"/>
      <c r="T425" s="27"/>
      <c r="U425" s="27"/>
      <c r="V425" s="27"/>
      <c r="W425" s="27"/>
      <c r="X425" s="27"/>
      <c r="Y425" s="27"/>
      <c r="Z425" s="27" t="s">
        <v>2346</v>
      </c>
      <c r="AA425" s="29">
        <f>AB425*0.0045</f>
        <v>3.8238802524241944E-2</v>
      </c>
      <c r="AB425" s="30">
        <f>AC425/(0.089*24*365/10^6)</f>
        <v>8.4975116720537667</v>
      </c>
      <c r="AC425" s="30">
        <f>25*265/1000000</f>
        <v>6.6249999999999998E-3</v>
      </c>
      <c r="AD425" s="30"/>
      <c r="AE425" s="30">
        <f>AB425</f>
        <v>8.4975116720537667</v>
      </c>
      <c r="AF425" s="28" t="s">
        <v>2347</v>
      </c>
      <c r="AG425" s="28"/>
    </row>
    <row r="426" spans="1:33" ht="32.25" customHeight="1" x14ac:dyDescent="0.2">
      <c r="A426" s="27">
        <v>741</v>
      </c>
      <c r="B426" s="27" t="s">
        <v>2348</v>
      </c>
      <c r="C426" s="27" t="s">
        <v>339</v>
      </c>
      <c r="D426" s="27">
        <v>2020</v>
      </c>
      <c r="E426" s="27"/>
      <c r="F426" s="27" t="s">
        <v>916</v>
      </c>
      <c r="G426" s="27" t="s">
        <v>758</v>
      </c>
      <c r="H426" s="27" t="s">
        <v>1406</v>
      </c>
      <c r="I426" s="27" t="s">
        <v>768</v>
      </c>
      <c r="J426" s="27" t="s">
        <v>865</v>
      </c>
      <c r="K426" s="27" t="s">
        <v>377</v>
      </c>
      <c r="L426" s="27"/>
      <c r="M426" s="27"/>
      <c r="N426" s="27"/>
      <c r="O426" s="27"/>
      <c r="P426" s="27"/>
      <c r="Q426" s="27">
        <v>1</v>
      </c>
      <c r="R426" s="27"/>
      <c r="S426" s="27"/>
      <c r="T426" s="27">
        <v>1</v>
      </c>
      <c r="U426" s="27"/>
      <c r="V426" s="27"/>
      <c r="W426" s="27"/>
      <c r="X426" s="27"/>
      <c r="Y426" s="27"/>
      <c r="Z426" s="27" t="s">
        <v>1603</v>
      </c>
      <c r="AA426" s="29">
        <f>AB426*0.0045</f>
        <v>4.4999999999999998E-2</v>
      </c>
      <c r="AB426" s="30">
        <v>10</v>
      </c>
      <c r="AC426" s="30">
        <f>AB426*0.089*24*365/10^6</f>
        <v>7.7963999999999993E-3</v>
      </c>
      <c r="AD426" s="30"/>
      <c r="AE426" s="30">
        <f>AB426</f>
        <v>10</v>
      </c>
      <c r="AF426" s="28" t="s">
        <v>2349</v>
      </c>
      <c r="AG426" s="28"/>
    </row>
    <row r="427" spans="1:33" ht="32.25" customHeight="1" x14ac:dyDescent="0.2">
      <c r="A427" s="27">
        <v>742</v>
      </c>
      <c r="B427" s="27" t="s">
        <v>2350</v>
      </c>
      <c r="C427" s="27" t="s">
        <v>341</v>
      </c>
      <c r="D427" s="27">
        <v>2006</v>
      </c>
      <c r="E427" s="27"/>
      <c r="F427" s="27" t="s">
        <v>916</v>
      </c>
      <c r="G427" s="27" t="s">
        <v>266</v>
      </c>
      <c r="H427" s="27"/>
      <c r="I427" s="27" t="s">
        <v>756</v>
      </c>
      <c r="J427" s="27"/>
      <c r="K427" s="27" t="s">
        <v>377</v>
      </c>
      <c r="L427" s="27"/>
      <c r="M427" s="27"/>
      <c r="N427" s="27"/>
      <c r="O427" s="27"/>
      <c r="P427" s="27"/>
      <c r="Q427" s="27">
        <v>1</v>
      </c>
      <c r="R427" s="27">
        <v>1</v>
      </c>
      <c r="S427" s="27"/>
      <c r="T427" s="27">
        <v>1</v>
      </c>
      <c r="U427" s="27"/>
      <c r="V427" s="27"/>
      <c r="W427" s="27"/>
      <c r="X427" s="27"/>
      <c r="Y427" s="27"/>
      <c r="Z427" s="27" t="s">
        <v>1664</v>
      </c>
      <c r="AA427" s="29">
        <f>AB427*0.0052</f>
        <v>1.04E-2</v>
      </c>
      <c r="AB427" s="30">
        <v>2</v>
      </c>
      <c r="AC427" s="30">
        <f>AB427*0.089*24*365/10^6</f>
        <v>1.5592800000000001E-3</v>
      </c>
      <c r="AD427" s="30"/>
      <c r="AE427" s="30">
        <f>AB427</f>
        <v>2</v>
      </c>
      <c r="AF427" s="28" t="s">
        <v>2351</v>
      </c>
      <c r="AG427" s="28"/>
    </row>
    <row r="428" spans="1:33" ht="32.25" customHeight="1" x14ac:dyDescent="0.2">
      <c r="A428" s="27">
        <v>743</v>
      </c>
      <c r="B428" s="27" t="s">
        <v>2352</v>
      </c>
      <c r="C428" s="27" t="s">
        <v>336</v>
      </c>
      <c r="D428" s="27">
        <v>2020</v>
      </c>
      <c r="E428" s="27"/>
      <c r="F428" s="27" t="s">
        <v>916</v>
      </c>
      <c r="G428" s="27" t="s">
        <v>758</v>
      </c>
      <c r="H428" s="27" t="s">
        <v>1406</v>
      </c>
      <c r="I428" s="27" t="s">
        <v>768</v>
      </c>
      <c r="J428" s="27" t="s">
        <v>865</v>
      </c>
      <c r="K428" s="27" t="s">
        <v>377</v>
      </c>
      <c r="L428" s="27"/>
      <c r="M428" s="27"/>
      <c r="N428" s="27"/>
      <c r="O428" s="27"/>
      <c r="P428" s="27"/>
      <c r="Q428" s="27"/>
      <c r="R428" s="27"/>
      <c r="S428" s="27">
        <v>1</v>
      </c>
      <c r="T428" s="27"/>
      <c r="U428" s="27"/>
      <c r="V428" s="27"/>
      <c r="W428" s="27"/>
      <c r="X428" s="27"/>
      <c r="Y428" s="27"/>
      <c r="Z428" s="27"/>
      <c r="AA428" s="29"/>
      <c r="AB428" s="30"/>
      <c r="AC428" s="30"/>
      <c r="AD428" s="30"/>
      <c r="AE428" s="30"/>
      <c r="AF428" s="28" t="s">
        <v>2353</v>
      </c>
      <c r="AG428" s="28"/>
    </row>
    <row r="429" spans="1:33" ht="32.25" customHeight="1" x14ac:dyDescent="0.2">
      <c r="A429" s="27">
        <v>744</v>
      </c>
      <c r="B429" s="27" t="s">
        <v>2354</v>
      </c>
      <c r="C429" s="27" t="s">
        <v>334</v>
      </c>
      <c r="D429" s="27">
        <v>2020</v>
      </c>
      <c r="E429" s="27"/>
      <c r="F429" s="27" t="s">
        <v>836</v>
      </c>
      <c r="G429" s="27" t="s">
        <v>761</v>
      </c>
      <c r="H429" s="27" t="s">
        <v>2355</v>
      </c>
      <c r="I429" s="27"/>
      <c r="J429" s="27"/>
      <c r="K429" s="27" t="s">
        <v>377</v>
      </c>
      <c r="L429" s="27">
        <v>1</v>
      </c>
      <c r="M429" s="27"/>
      <c r="N429" s="27"/>
      <c r="O429" s="27"/>
      <c r="P429" s="27"/>
      <c r="Q429" s="27"/>
      <c r="R429" s="27"/>
      <c r="S429" s="27"/>
      <c r="T429" s="27"/>
      <c r="U429" s="27"/>
      <c r="V429" s="27"/>
      <c r="W429" s="27"/>
      <c r="X429" s="27"/>
      <c r="Y429" s="27"/>
      <c r="Z429" s="27" t="s">
        <v>2356</v>
      </c>
      <c r="AA429" s="29"/>
      <c r="AB429" s="30"/>
      <c r="AC429" s="30"/>
      <c r="AD429" s="30">
        <v>1200000</v>
      </c>
      <c r="AE429" s="30">
        <f>AD429*1000/(24*365*1.9075)</f>
        <v>71814.574767949147</v>
      </c>
      <c r="AF429" s="28" t="s">
        <v>2357</v>
      </c>
      <c r="AG429" s="28"/>
    </row>
    <row r="430" spans="1:33" ht="32.25" customHeight="1" x14ac:dyDescent="0.2">
      <c r="A430" s="27">
        <v>745</v>
      </c>
      <c r="B430" s="27" t="s">
        <v>2358</v>
      </c>
      <c r="C430" s="27" t="s">
        <v>334</v>
      </c>
      <c r="D430" s="27">
        <v>2020</v>
      </c>
      <c r="E430" s="27"/>
      <c r="F430" s="27" t="s">
        <v>836</v>
      </c>
      <c r="G430" s="27" t="s">
        <v>760</v>
      </c>
      <c r="H430" s="27" t="s">
        <v>1970</v>
      </c>
      <c r="I430" s="27"/>
      <c r="J430" s="27"/>
      <c r="K430" s="27" t="s">
        <v>740</v>
      </c>
      <c r="L430" s="27"/>
      <c r="M430" s="27">
        <v>1</v>
      </c>
      <c r="N430" s="27"/>
      <c r="O430" s="27"/>
      <c r="P430" s="27"/>
      <c r="Q430" s="27"/>
      <c r="R430" s="27"/>
      <c r="S430" s="27"/>
      <c r="T430" s="27"/>
      <c r="U430" s="27"/>
      <c r="V430" s="27"/>
      <c r="W430" s="27"/>
      <c r="X430" s="27"/>
      <c r="Y430" s="27"/>
      <c r="Z430" s="27" t="s">
        <v>2359</v>
      </c>
      <c r="AA430" s="29"/>
      <c r="AB430" s="30"/>
      <c r="AC430" s="30"/>
      <c r="AD430" s="30">
        <v>300000</v>
      </c>
      <c r="AE430" s="30">
        <f>AD430*1000/(24*365*0.9105)</f>
        <v>37612.932830824553</v>
      </c>
      <c r="AF430" s="28" t="s">
        <v>2360</v>
      </c>
      <c r="AG430" s="28"/>
    </row>
    <row r="431" spans="1:33" ht="32.25" customHeight="1" x14ac:dyDescent="0.2">
      <c r="A431" s="27">
        <v>746</v>
      </c>
      <c r="B431" s="27" t="s">
        <v>2361</v>
      </c>
      <c r="C431" s="27" t="s">
        <v>336</v>
      </c>
      <c r="D431" s="27">
        <v>2020</v>
      </c>
      <c r="E431" s="27"/>
      <c r="F431" s="27" t="s">
        <v>916</v>
      </c>
      <c r="G431" s="27" t="s">
        <v>758</v>
      </c>
      <c r="H431" s="27" t="s">
        <v>1406</v>
      </c>
      <c r="I431" s="27" t="s">
        <v>768</v>
      </c>
      <c r="J431" s="27" t="s">
        <v>865</v>
      </c>
      <c r="K431" s="27" t="s">
        <v>377</v>
      </c>
      <c r="L431" s="27"/>
      <c r="M431" s="27"/>
      <c r="N431" s="27"/>
      <c r="O431" s="27"/>
      <c r="P431" s="27"/>
      <c r="Q431" s="27"/>
      <c r="R431" s="27"/>
      <c r="S431" s="27">
        <v>1</v>
      </c>
      <c r="T431" s="27"/>
      <c r="U431" s="27"/>
      <c r="V431" s="27"/>
      <c r="W431" s="27"/>
      <c r="X431" s="27"/>
      <c r="Y431" s="27"/>
      <c r="Z431" s="27"/>
      <c r="AA431" s="29"/>
      <c r="AB431" s="30"/>
      <c r="AC431" s="30"/>
      <c r="AD431" s="30"/>
      <c r="AE431" s="30"/>
      <c r="AF431" s="28" t="s">
        <v>2362</v>
      </c>
      <c r="AG431" s="28"/>
    </row>
    <row r="432" spans="1:33" ht="32.25" customHeight="1" x14ac:dyDescent="0.2">
      <c r="A432" s="27">
        <v>747</v>
      </c>
      <c r="B432" s="27" t="s">
        <v>2363</v>
      </c>
      <c r="C432" s="27" t="s">
        <v>331</v>
      </c>
      <c r="D432" s="27">
        <v>2020</v>
      </c>
      <c r="E432" s="27"/>
      <c r="F432" s="27" t="s">
        <v>916</v>
      </c>
      <c r="G432" s="27" t="s">
        <v>758</v>
      </c>
      <c r="H432" s="27" t="s">
        <v>1406</v>
      </c>
      <c r="I432" s="27" t="s">
        <v>756</v>
      </c>
      <c r="J432" s="27"/>
      <c r="K432" s="27" t="s">
        <v>377</v>
      </c>
      <c r="L432" s="27"/>
      <c r="M432" s="27"/>
      <c r="N432" s="27"/>
      <c r="O432" s="27"/>
      <c r="P432" s="27"/>
      <c r="Q432" s="27">
        <v>1</v>
      </c>
      <c r="R432" s="27"/>
      <c r="S432" s="27"/>
      <c r="T432" s="27"/>
      <c r="U432" s="27"/>
      <c r="V432" s="27"/>
      <c r="W432" s="27"/>
      <c r="X432" s="27"/>
      <c r="Y432" s="27"/>
      <c r="Z432" s="27"/>
      <c r="AA432" s="29"/>
      <c r="AB432" s="30"/>
      <c r="AC432" s="30"/>
      <c r="AD432" s="30"/>
      <c r="AE432" s="30"/>
      <c r="AF432" s="28" t="s">
        <v>2364</v>
      </c>
      <c r="AG432" s="28"/>
    </row>
    <row r="433" spans="1:33" ht="32.25" customHeight="1" x14ac:dyDescent="0.2">
      <c r="A433" s="27">
        <v>748</v>
      </c>
      <c r="B433" s="27" t="s">
        <v>1866</v>
      </c>
      <c r="C433" s="27" t="s">
        <v>334</v>
      </c>
      <c r="D433" s="27">
        <v>2001</v>
      </c>
      <c r="E433" s="27"/>
      <c r="F433" s="27" t="s">
        <v>916</v>
      </c>
      <c r="G433" s="27" t="s">
        <v>268</v>
      </c>
      <c r="H433" s="27"/>
      <c r="I433" s="27" t="s">
        <v>756</v>
      </c>
      <c r="J433" s="27"/>
      <c r="K433" s="27" t="s">
        <v>377</v>
      </c>
      <c r="L433" s="27"/>
      <c r="M433" s="27"/>
      <c r="N433" s="27"/>
      <c r="O433" s="27"/>
      <c r="P433" s="27"/>
      <c r="Q433" s="27"/>
      <c r="R433" s="27"/>
      <c r="S433" s="27">
        <v>1</v>
      </c>
      <c r="T433" s="27"/>
      <c r="U433" s="27"/>
      <c r="V433" s="27"/>
      <c r="W433" s="27"/>
      <c r="X433" s="27"/>
      <c r="Y433" s="27"/>
      <c r="Z433" s="27" t="s">
        <v>1612</v>
      </c>
      <c r="AA433" s="29">
        <f>AB433*0.0046</f>
        <v>4.5999999999999999E-3</v>
      </c>
      <c r="AB433" s="30">
        <v>1</v>
      </c>
      <c r="AC433" s="30">
        <f>AB433*0.089*24*365/10^6</f>
        <v>7.7964000000000006E-4</v>
      </c>
      <c r="AD433" s="30"/>
      <c r="AE433" s="30">
        <f>AB433</f>
        <v>1</v>
      </c>
      <c r="AF433" s="28" t="s">
        <v>2365</v>
      </c>
      <c r="AG433" s="28"/>
    </row>
    <row r="434" spans="1:33" ht="32.25" customHeight="1" x14ac:dyDescent="0.2">
      <c r="A434" s="27">
        <v>749</v>
      </c>
      <c r="B434" s="27" t="s">
        <v>2366</v>
      </c>
      <c r="C434" s="27" t="s">
        <v>341</v>
      </c>
      <c r="D434" s="27">
        <v>2006</v>
      </c>
      <c r="E434" s="27"/>
      <c r="F434" s="27" t="s">
        <v>916</v>
      </c>
      <c r="G434" s="27" t="s">
        <v>266</v>
      </c>
      <c r="H434" s="27"/>
      <c r="I434" s="27" t="s">
        <v>756</v>
      </c>
      <c r="J434" s="27"/>
      <c r="K434" s="27"/>
      <c r="L434" s="27"/>
      <c r="M434" s="27"/>
      <c r="N434" s="27"/>
      <c r="O434" s="27"/>
      <c r="P434" s="27"/>
      <c r="Q434" s="27"/>
      <c r="R434" s="27"/>
      <c r="S434" s="27"/>
      <c r="T434" s="27"/>
      <c r="U434" s="27"/>
      <c r="V434" s="27"/>
      <c r="W434" s="27"/>
      <c r="X434" s="27"/>
      <c r="Y434" s="27"/>
      <c r="Z434" s="27"/>
      <c r="AA434" s="29"/>
      <c r="AB434" s="30"/>
      <c r="AC434" s="30"/>
      <c r="AD434" s="30"/>
      <c r="AE434" s="30"/>
      <c r="AF434" s="28"/>
      <c r="AG434" s="28"/>
    </row>
    <row r="435" spans="1:33" ht="32.25" customHeight="1" x14ac:dyDescent="0.2">
      <c r="A435" s="27">
        <v>750</v>
      </c>
      <c r="B435" s="27" t="s">
        <v>2367</v>
      </c>
      <c r="C435" s="27" t="s">
        <v>804</v>
      </c>
      <c r="D435" s="27">
        <v>2006</v>
      </c>
      <c r="E435" s="27"/>
      <c r="F435" s="27" t="s">
        <v>916</v>
      </c>
      <c r="G435" s="27" t="s">
        <v>266</v>
      </c>
      <c r="H435" s="27"/>
      <c r="I435" s="27" t="s">
        <v>756</v>
      </c>
      <c r="J435" s="27"/>
      <c r="K435" s="27"/>
      <c r="L435" s="27"/>
      <c r="M435" s="27"/>
      <c r="N435" s="27"/>
      <c r="O435" s="27"/>
      <c r="P435" s="27"/>
      <c r="Q435" s="27"/>
      <c r="R435" s="27"/>
      <c r="S435" s="27"/>
      <c r="T435" s="27"/>
      <c r="U435" s="27"/>
      <c r="V435" s="27"/>
      <c r="W435" s="27"/>
      <c r="X435" s="27"/>
      <c r="Y435" s="27"/>
      <c r="Z435" s="27"/>
      <c r="AA435" s="29"/>
      <c r="AB435" s="30"/>
      <c r="AC435" s="30"/>
      <c r="AD435" s="30"/>
      <c r="AE435" s="30"/>
      <c r="AF435" s="28"/>
      <c r="AG435" s="28"/>
    </row>
    <row r="436" spans="1:33" ht="32.25" customHeight="1" x14ac:dyDescent="0.2">
      <c r="A436" s="27">
        <v>751</v>
      </c>
      <c r="B436" s="27" t="s">
        <v>2880</v>
      </c>
      <c r="C436" s="27" t="s">
        <v>331</v>
      </c>
      <c r="D436" s="27">
        <v>2021</v>
      </c>
      <c r="E436" s="27"/>
      <c r="F436" s="27" t="s">
        <v>753</v>
      </c>
      <c r="G436" s="27" t="s">
        <v>268</v>
      </c>
      <c r="H436" s="27" t="s">
        <v>1406</v>
      </c>
      <c r="I436" s="27" t="s">
        <v>768</v>
      </c>
      <c r="J436" s="27" t="s">
        <v>378</v>
      </c>
      <c r="K436" s="27" t="s">
        <v>377</v>
      </c>
      <c r="L436" s="27"/>
      <c r="M436" s="27"/>
      <c r="N436" s="27"/>
      <c r="O436" s="27"/>
      <c r="P436" s="27"/>
      <c r="Q436" s="27">
        <v>1</v>
      </c>
      <c r="R436" s="27"/>
      <c r="S436" s="27"/>
      <c r="T436" s="27"/>
      <c r="U436" s="27"/>
      <c r="V436" s="27"/>
      <c r="W436" s="27"/>
      <c r="X436" s="27"/>
      <c r="Y436" s="27"/>
      <c r="Z436" s="27" t="s">
        <v>1566</v>
      </c>
      <c r="AA436" s="29">
        <v>1.5</v>
      </c>
      <c r="AB436" s="30">
        <f>IF(OR(G436="ALK",G436="PEM",G436="SOEC",G436="Other Electrolysis"),
AA436/VLOOKUP(G436,ElectrolysisConvF,3,FALSE),
AC436*10^6/(H2dens*HoursInYear))</f>
        <v>326.08695652173913</v>
      </c>
      <c r="AC436" s="30">
        <f>AB436*0.089*24*365/10^6</f>
        <v>0.25423043478260865</v>
      </c>
      <c r="AD436" s="30"/>
      <c r="AE436" s="30"/>
      <c r="AF436" s="28" t="s">
        <v>2878</v>
      </c>
      <c r="AG436" s="28"/>
    </row>
    <row r="437" spans="1:33" ht="32.25" customHeight="1" x14ac:dyDescent="0.2">
      <c r="A437" s="27">
        <v>752</v>
      </c>
      <c r="B437" s="27" t="s">
        <v>2368</v>
      </c>
      <c r="C437" s="27" t="s">
        <v>434</v>
      </c>
      <c r="D437" s="27">
        <v>2026</v>
      </c>
      <c r="E437" s="27"/>
      <c r="F437" s="27" t="s">
        <v>832</v>
      </c>
      <c r="G437" s="27" t="s">
        <v>758</v>
      </c>
      <c r="H437" s="27" t="s">
        <v>1406</v>
      </c>
      <c r="I437" s="27" t="s">
        <v>768</v>
      </c>
      <c r="J437" s="27" t="s">
        <v>865</v>
      </c>
      <c r="K437" s="27" t="s">
        <v>767</v>
      </c>
      <c r="L437" s="27"/>
      <c r="M437" s="27"/>
      <c r="N437" s="27"/>
      <c r="O437" s="27"/>
      <c r="P437" s="27"/>
      <c r="Q437" s="27"/>
      <c r="R437" s="27"/>
      <c r="S437" s="27"/>
      <c r="T437" s="27"/>
      <c r="U437" s="27"/>
      <c r="V437" s="27"/>
      <c r="W437" s="27"/>
      <c r="X437" s="27"/>
      <c r="Y437" s="27"/>
      <c r="Z437" s="27" t="s">
        <v>2369</v>
      </c>
      <c r="AA437" s="29">
        <v>250</v>
      </c>
      <c r="AB437" s="30">
        <f>AA437/0.0045</f>
        <v>55555.555555555562</v>
      </c>
      <c r="AC437" s="30">
        <f>AB437*0.089*24*365/10^6</f>
        <v>43.313333333333325</v>
      </c>
      <c r="AD437" s="30"/>
      <c r="AE437" s="30">
        <f>AB437</f>
        <v>55555.555555555562</v>
      </c>
      <c r="AF437" s="28" t="s">
        <v>3336</v>
      </c>
      <c r="AG437" s="28"/>
    </row>
    <row r="438" spans="1:33" ht="32.25" customHeight="1" x14ac:dyDescent="0.2">
      <c r="A438" s="27">
        <v>753</v>
      </c>
      <c r="B438" s="118" t="s">
        <v>2370</v>
      </c>
      <c r="C438" s="27" t="s">
        <v>336</v>
      </c>
      <c r="D438" s="27">
        <v>2023</v>
      </c>
      <c r="E438" s="27"/>
      <c r="F438" s="27" t="s">
        <v>832</v>
      </c>
      <c r="G438" s="27" t="s">
        <v>758</v>
      </c>
      <c r="H438" s="27" t="s">
        <v>1406</v>
      </c>
      <c r="I438" s="27" t="s">
        <v>768</v>
      </c>
      <c r="J438" s="27" t="s">
        <v>865</v>
      </c>
      <c r="K438" s="27" t="s">
        <v>740</v>
      </c>
      <c r="L438" s="27"/>
      <c r="M438" s="27">
        <v>1</v>
      </c>
      <c r="N438" s="27"/>
      <c r="O438" s="27"/>
      <c r="P438" s="27"/>
      <c r="Q438" s="27"/>
      <c r="R438" s="27"/>
      <c r="S438" s="27"/>
      <c r="T438" s="27"/>
      <c r="U438" s="27"/>
      <c r="V438" s="27"/>
      <c r="W438" s="27"/>
      <c r="X438" s="27"/>
      <c r="Y438" s="27"/>
      <c r="Z438" s="27" t="s">
        <v>1407</v>
      </c>
      <c r="AA438" s="29">
        <v>10</v>
      </c>
      <c r="AB438" s="30">
        <f>AA438/0.0045</f>
        <v>2222.2222222222222</v>
      </c>
      <c r="AC438" s="30">
        <f>AB438*0.089*24*365/10^6</f>
        <v>1.732533333333333</v>
      </c>
      <c r="AD438" s="30"/>
      <c r="AE438" s="30">
        <f>AB438</f>
        <v>2222.2222222222222</v>
      </c>
      <c r="AF438" s="28" t="s">
        <v>3117</v>
      </c>
      <c r="AG438" s="28"/>
    </row>
    <row r="439" spans="1:33" ht="32.25" customHeight="1" x14ac:dyDescent="0.2">
      <c r="A439" s="27">
        <v>754</v>
      </c>
      <c r="B439" s="118" t="s">
        <v>2371</v>
      </c>
      <c r="C439" s="27" t="s">
        <v>338</v>
      </c>
      <c r="D439" s="27">
        <v>2021</v>
      </c>
      <c r="E439" s="27"/>
      <c r="F439" s="27" t="s">
        <v>753</v>
      </c>
      <c r="G439" s="27" t="s">
        <v>758</v>
      </c>
      <c r="H439" s="27" t="s">
        <v>1406</v>
      </c>
      <c r="I439" s="27" t="s">
        <v>768</v>
      </c>
      <c r="J439" s="27" t="s">
        <v>862</v>
      </c>
      <c r="K439" s="27" t="s">
        <v>377</v>
      </c>
      <c r="L439" s="27"/>
      <c r="M439" s="27"/>
      <c r="N439" s="27"/>
      <c r="O439" s="27"/>
      <c r="P439" s="27"/>
      <c r="Q439" s="27">
        <v>1</v>
      </c>
      <c r="R439" s="27"/>
      <c r="S439" s="27"/>
      <c r="T439" s="27"/>
      <c r="U439" s="27"/>
      <c r="V439" s="27"/>
      <c r="W439" s="27"/>
      <c r="X439" s="27"/>
      <c r="Y439" s="27"/>
      <c r="Z439" s="27" t="s">
        <v>2372</v>
      </c>
      <c r="AA439" s="29">
        <f>AB439*0.0045-AA407</f>
        <v>49.508426966292127</v>
      </c>
      <c r="AB439" s="30">
        <f>AC439/(0.089*24*365/10^6)</f>
        <v>13014.981273408239</v>
      </c>
      <c r="AC439" s="30">
        <f>27.8*365/1000</f>
        <v>10.147</v>
      </c>
      <c r="AD439" s="30"/>
      <c r="AE439" s="30">
        <f>AB439</f>
        <v>13014.981273408239</v>
      </c>
      <c r="AF439" s="28" t="s">
        <v>2313</v>
      </c>
      <c r="AG439" s="28"/>
    </row>
    <row r="440" spans="1:33" ht="32.25" customHeight="1" x14ac:dyDescent="0.2">
      <c r="A440" s="27">
        <v>755</v>
      </c>
      <c r="B440" s="27" t="s">
        <v>2373</v>
      </c>
      <c r="C440" s="27" t="s">
        <v>336</v>
      </c>
      <c r="D440" s="27">
        <v>2024</v>
      </c>
      <c r="E440" s="27"/>
      <c r="F440" s="27" t="s">
        <v>753</v>
      </c>
      <c r="G440" s="27" t="s">
        <v>758</v>
      </c>
      <c r="H440" s="27" t="s">
        <v>1406</v>
      </c>
      <c r="I440" s="27" t="s">
        <v>866</v>
      </c>
      <c r="J440" s="27"/>
      <c r="K440" s="27" t="s">
        <v>377</v>
      </c>
      <c r="L440" s="27"/>
      <c r="M440" s="27"/>
      <c r="N440" s="27"/>
      <c r="O440" s="27"/>
      <c r="P440" s="27"/>
      <c r="Q440" s="27"/>
      <c r="R440" s="27"/>
      <c r="S440" s="27">
        <v>1</v>
      </c>
      <c r="T440" s="27"/>
      <c r="U440" s="27"/>
      <c r="V440" s="27"/>
      <c r="W440" s="27"/>
      <c r="X440" s="27"/>
      <c r="Y440" s="27"/>
      <c r="Z440" s="27" t="s">
        <v>1902</v>
      </c>
      <c r="AA440" s="29">
        <v>50</v>
      </c>
      <c r="AB440" s="30">
        <f>AA440/0.0045</f>
        <v>11111.111111111111</v>
      </c>
      <c r="AC440" s="30">
        <f>AB440*0.089*24*365/10^6</f>
        <v>8.6626666666666683</v>
      </c>
      <c r="AD440" s="30"/>
      <c r="AE440" s="30">
        <f>AB440</f>
        <v>11111.111111111111</v>
      </c>
      <c r="AF440" s="28" t="s">
        <v>2881</v>
      </c>
      <c r="AG440" s="28"/>
    </row>
    <row r="441" spans="1:33" ht="32.25" customHeight="1" x14ac:dyDescent="0.2">
      <c r="A441" s="27">
        <v>756</v>
      </c>
      <c r="B441" s="27" t="s">
        <v>3022</v>
      </c>
      <c r="C441" s="27" t="s">
        <v>336</v>
      </c>
      <c r="D441" s="27">
        <v>2025</v>
      </c>
      <c r="E441" s="27"/>
      <c r="F441" s="27" t="s">
        <v>832</v>
      </c>
      <c r="G441" s="27" t="s">
        <v>758</v>
      </c>
      <c r="H441" s="27" t="s">
        <v>1406</v>
      </c>
      <c r="I441" s="27" t="s">
        <v>768</v>
      </c>
      <c r="J441" s="27" t="s">
        <v>378</v>
      </c>
      <c r="K441" s="27" t="s">
        <v>377</v>
      </c>
      <c r="L441" s="27"/>
      <c r="M441" s="27"/>
      <c r="N441" s="27"/>
      <c r="O441" s="27"/>
      <c r="P441" s="27"/>
      <c r="Q441" s="27"/>
      <c r="R441" s="27"/>
      <c r="S441" s="27"/>
      <c r="T441" s="27"/>
      <c r="U441" s="27"/>
      <c r="V441" s="27"/>
      <c r="W441" s="27"/>
      <c r="X441" s="27"/>
      <c r="Y441" s="27"/>
      <c r="Z441" s="27" t="s">
        <v>2556</v>
      </c>
      <c r="AA441" s="29">
        <v>300</v>
      </c>
      <c r="AB441" s="30">
        <f>AA441/0.0045</f>
        <v>66666.666666666672</v>
      </c>
      <c r="AC441" s="30">
        <f>AB441*0.089*24*365/10^6</f>
        <v>51.975999999999999</v>
      </c>
      <c r="AD441" s="30"/>
      <c r="AE441" s="30">
        <f>AB441</f>
        <v>66666.666666666672</v>
      </c>
      <c r="AF441" s="28" t="s">
        <v>3023</v>
      </c>
      <c r="AG441" s="28"/>
    </row>
    <row r="442" spans="1:33" ht="32.25" customHeight="1" x14ac:dyDescent="0.2">
      <c r="A442" s="27">
        <v>757</v>
      </c>
      <c r="B442" s="27" t="s">
        <v>3318</v>
      </c>
      <c r="C442" s="27" t="s">
        <v>336</v>
      </c>
      <c r="D442" s="27">
        <v>2025</v>
      </c>
      <c r="E442" s="27"/>
      <c r="F442" s="27" t="s">
        <v>832</v>
      </c>
      <c r="G442" s="27" t="s">
        <v>758</v>
      </c>
      <c r="H442" s="27" t="s">
        <v>1406</v>
      </c>
      <c r="I442" s="27" t="s">
        <v>768</v>
      </c>
      <c r="J442" s="27" t="s">
        <v>865</v>
      </c>
      <c r="K442" s="27" t="s">
        <v>740</v>
      </c>
      <c r="L442" s="27"/>
      <c r="M442" s="27">
        <v>1</v>
      </c>
      <c r="N442" s="27"/>
      <c r="O442" s="27"/>
      <c r="P442" s="27"/>
      <c r="Q442" s="27"/>
      <c r="R442" s="27"/>
      <c r="S442" s="27"/>
      <c r="T442" s="27"/>
      <c r="U442" s="27"/>
      <c r="V442" s="27"/>
      <c r="W442" s="27"/>
      <c r="X442" s="27"/>
      <c r="Y442" s="27"/>
      <c r="Z442" s="27" t="s">
        <v>3319</v>
      </c>
      <c r="AA442" s="29">
        <v>150</v>
      </c>
      <c r="AB442" s="30">
        <f>IF(OR(G442="ALK",G442="PEM",G442="SOEC",G442="Other Electrolysis"),
AA442/VLOOKUP(G442,ElectrolysisConvF,3,FALSE),
AC442*10^6/(H2dens*HoursInYear))</f>
        <v>33333.333333333336</v>
      </c>
      <c r="AC442" s="30">
        <f>AB442*H2dens*HoursInYear/10^6</f>
        <v>25.988</v>
      </c>
      <c r="AD442" s="30"/>
      <c r="AE442" s="30">
        <f>IF(AND(G442&lt;&gt;"NG w CCUS",G442&lt;&gt;"Oil w CCUS",G442&lt;&gt;"Coal w CCUS"),AB442,AD442*10^3/(HoursInYear*IF(G442="NG w CCUS",0.9105,1.9075)))</f>
        <v>33333.333333333336</v>
      </c>
      <c r="AF442" s="28" t="s">
        <v>3320</v>
      </c>
      <c r="AG442" s="28"/>
    </row>
    <row r="443" spans="1:33" ht="32.25" customHeight="1" x14ac:dyDescent="0.2">
      <c r="A443" s="27">
        <v>758</v>
      </c>
      <c r="B443" s="27" t="s">
        <v>3342</v>
      </c>
      <c r="C443" s="27" t="s">
        <v>338</v>
      </c>
      <c r="D443" s="27">
        <v>2022</v>
      </c>
      <c r="E443" s="27"/>
      <c r="F443" s="27" t="s">
        <v>753</v>
      </c>
      <c r="G443" s="27" t="s">
        <v>758</v>
      </c>
      <c r="H443" s="27" t="s">
        <v>1406</v>
      </c>
      <c r="I443" s="27" t="s">
        <v>768</v>
      </c>
      <c r="J443" s="27" t="s">
        <v>865</v>
      </c>
      <c r="K443" s="27" t="s">
        <v>377</v>
      </c>
      <c r="L443" s="27"/>
      <c r="M443" s="27"/>
      <c r="N443" s="27"/>
      <c r="O443" s="27"/>
      <c r="P443" s="27"/>
      <c r="Q443" s="27"/>
      <c r="R443" s="27"/>
      <c r="S443" s="27"/>
      <c r="T443" s="27"/>
      <c r="U443" s="27"/>
      <c r="V443" s="27"/>
      <c r="W443" s="27"/>
      <c r="X443" s="27"/>
      <c r="Y443" s="27"/>
      <c r="Z443" s="27" t="s">
        <v>1403</v>
      </c>
      <c r="AA443" s="29">
        <v>20</v>
      </c>
      <c r="AB443" s="30">
        <f>AA443/0.0045</f>
        <v>4444.4444444444443</v>
      </c>
      <c r="AC443" s="30">
        <f>AB443*0.089*24*365/10^6</f>
        <v>3.4650666666666661</v>
      </c>
      <c r="AD443" s="30"/>
      <c r="AE443" s="30">
        <f>AB443</f>
        <v>4444.4444444444443</v>
      </c>
      <c r="AF443" s="28" t="s">
        <v>2374</v>
      </c>
      <c r="AG443" s="74" t="s">
        <v>4091</v>
      </c>
    </row>
    <row r="444" spans="1:33" ht="32.25" customHeight="1" x14ac:dyDescent="0.2">
      <c r="A444" s="27">
        <v>759</v>
      </c>
      <c r="B444" s="27" t="s">
        <v>2375</v>
      </c>
      <c r="C444" s="27" t="s">
        <v>335</v>
      </c>
      <c r="D444" s="27">
        <v>2006</v>
      </c>
      <c r="E444" s="27"/>
      <c r="F444" s="27" t="s">
        <v>916</v>
      </c>
      <c r="G444" s="27" t="s">
        <v>266</v>
      </c>
      <c r="H444" s="27"/>
      <c r="I444" s="27" t="s">
        <v>756</v>
      </c>
      <c r="J444" s="27"/>
      <c r="K444" s="27" t="s">
        <v>377</v>
      </c>
      <c r="L444" s="27"/>
      <c r="M444" s="27"/>
      <c r="N444" s="27"/>
      <c r="O444" s="27"/>
      <c r="P444" s="27">
        <v>1</v>
      </c>
      <c r="Q444" s="27"/>
      <c r="R444" s="27"/>
      <c r="S444" s="27"/>
      <c r="T444" s="27"/>
      <c r="U444" s="27"/>
      <c r="V444" s="27"/>
      <c r="W444" s="27"/>
      <c r="X444" s="27"/>
      <c r="Y444" s="27"/>
      <c r="Z444" s="27" t="s">
        <v>2128</v>
      </c>
      <c r="AA444" s="29">
        <v>0.1</v>
      </c>
      <c r="AB444" s="30">
        <f>AA444/0.0052</f>
        <v>19.230769230769234</v>
      </c>
      <c r="AC444" s="30">
        <f>AB444*0.089*24*365/10^6</f>
        <v>1.4993076923076923E-2</v>
      </c>
      <c r="AD444" s="30"/>
      <c r="AE444" s="30">
        <f>AB444</f>
        <v>19.230769230769234</v>
      </c>
      <c r="AF444" s="28" t="s">
        <v>2376</v>
      </c>
      <c r="AG444" s="28"/>
    </row>
    <row r="445" spans="1:33" ht="32.25" customHeight="1" x14ac:dyDescent="0.2">
      <c r="A445" s="27">
        <v>760</v>
      </c>
      <c r="B445" s="27" t="s">
        <v>2377</v>
      </c>
      <c r="C445" s="27" t="s">
        <v>355</v>
      </c>
      <c r="D445" s="27">
        <v>2006</v>
      </c>
      <c r="E445" s="27"/>
      <c r="F445" s="27" t="s">
        <v>916</v>
      </c>
      <c r="G445" s="27" t="s">
        <v>266</v>
      </c>
      <c r="H445" s="27"/>
      <c r="I445" s="27" t="s">
        <v>756</v>
      </c>
      <c r="J445" s="27"/>
      <c r="K445" s="27" t="s">
        <v>377</v>
      </c>
      <c r="L445" s="27"/>
      <c r="M445" s="27"/>
      <c r="N445" s="27"/>
      <c r="O445" s="27"/>
      <c r="P445" s="27"/>
      <c r="Q445" s="27"/>
      <c r="R445" s="27">
        <v>1</v>
      </c>
      <c r="S445" s="27"/>
      <c r="T445" s="27"/>
      <c r="U445" s="27"/>
      <c r="V445" s="27"/>
      <c r="W445" s="27"/>
      <c r="X445" s="27"/>
      <c r="Y445" s="27"/>
      <c r="Z445" s="27"/>
      <c r="AA445" s="29"/>
      <c r="AB445" s="30"/>
      <c r="AC445" s="30"/>
      <c r="AD445" s="30"/>
      <c r="AE445" s="30"/>
      <c r="AF445" s="28" t="s">
        <v>2378</v>
      </c>
      <c r="AG445" s="28"/>
    </row>
    <row r="446" spans="1:33" ht="32.25" customHeight="1" x14ac:dyDescent="0.2">
      <c r="A446" s="27">
        <v>761</v>
      </c>
      <c r="B446" s="27" t="s">
        <v>2379</v>
      </c>
      <c r="C446" s="27" t="s">
        <v>337</v>
      </c>
      <c r="D446" s="27">
        <v>2006</v>
      </c>
      <c r="E446" s="27"/>
      <c r="F446" s="27" t="s">
        <v>916</v>
      </c>
      <c r="G446" s="27" t="s">
        <v>266</v>
      </c>
      <c r="H446" s="27"/>
      <c r="I446" s="27" t="s">
        <v>756</v>
      </c>
      <c r="J446" s="27"/>
      <c r="K446" s="27" t="s">
        <v>377</v>
      </c>
      <c r="L446" s="27"/>
      <c r="M446" s="27"/>
      <c r="N446" s="27"/>
      <c r="O446" s="27"/>
      <c r="P446" s="27"/>
      <c r="Q446" s="27">
        <v>1</v>
      </c>
      <c r="R446" s="27">
        <v>1</v>
      </c>
      <c r="S446" s="27"/>
      <c r="T446" s="27">
        <v>1</v>
      </c>
      <c r="U446" s="27"/>
      <c r="V446" s="27"/>
      <c r="W446" s="27"/>
      <c r="X446" s="27"/>
      <c r="Y446" s="27"/>
      <c r="Z446" s="27"/>
      <c r="AA446" s="29"/>
      <c r="AB446" s="30"/>
      <c r="AC446" s="30"/>
      <c r="AD446" s="30"/>
      <c r="AE446" s="30"/>
      <c r="AF446" s="28" t="s">
        <v>2380</v>
      </c>
      <c r="AG446" s="28"/>
    </row>
    <row r="447" spans="1:33" ht="32.25" customHeight="1" x14ac:dyDescent="0.2">
      <c r="A447" s="27">
        <v>762</v>
      </c>
      <c r="B447" s="27" t="s">
        <v>2381</v>
      </c>
      <c r="C447" s="27" t="s">
        <v>336</v>
      </c>
      <c r="D447" s="27"/>
      <c r="E447" s="27"/>
      <c r="F447" s="27" t="s">
        <v>756</v>
      </c>
      <c r="G447" s="27" t="s">
        <v>758</v>
      </c>
      <c r="H447" s="27" t="s">
        <v>1406</v>
      </c>
      <c r="I447" s="27" t="s">
        <v>756</v>
      </c>
      <c r="J447" s="27"/>
      <c r="K447" s="27" t="s">
        <v>396</v>
      </c>
      <c r="L447" s="27"/>
      <c r="M447" s="27"/>
      <c r="N447" s="27"/>
      <c r="O447" s="27"/>
      <c r="P447" s="27"/>
      <c r="Q447" s="27"/>
      <c r="R447" s="27"/>
      <c r="S447" s="27"/>
      <c r="T447" s="27"/>
      <c r="U447" s="27"/>
      <c r="V447" s="27"/>
      <c r="W447" s="27"/>
      <c r="X447" s="27">
        <v>1</v>
      </c>
      <c r="Y447" s="27"/>
      <c r="Z447" s="27"/>
      <c r="AA447" s="29"/>
      <c r="AB447" s="30"/>
      <c r="AC447" s="30"/>
      <c r="AD447" s="30"/>
      <c r="AE447" s="30"/>
      <c r="AF447" s="28"/>
      <c r="AG447" s="28"/>
    </row>
    <row r="448" spans="1:33" ht="32.25" customHeight="1" x14ac:dyDescent="0.2">
      <c r="A448" s="27">
        <v>764</v>
      </c>
      <c r="B448" s="27" t="s">
        <v>2382</v>
      </c>
      <c r="C448" s="27" t="s">
        <v>347</v>
      </c>
      <c r="D448" s="27">
        <v>2021</v>
      </c>
      <c r="E448" s="27"/>
      <c r="F448" s="27" t="s">
        <v>754</v>
      </c>
      <c r="G448" s="27" t="s">
        <v>268</v>
      </c>
      <c r="H448" s="27"/>
      <c r="I448" s="27" t="s">
        <v>768</v>
      </c>
      <c r="J448" s="27" t="s">
        <v>861</v>
      </c>
      <c r="K448" s="27" t="s">
        <v>377</v>
      </c>
      <c r="L448" s="27"/>
      <c r="M448" s="27"/>
      <c r="N448" s="27"/>
      <c r="O448" s="27"/>
      <c r="P448" s="27">
        <v>1</v>
      </c>
      <c r="Q448" s="27">
        <v>1</v>
      </c>
      <c r="R448" s="27"/>
      <c r="S448" s="27"/>
      <c r="T448" s="27"/>
      <c r="U448" s="27"/>
      <c r="V448" s="27"/>
      <c r="W448" s="27"/>
      <c r="X448" s="27"/>
      <c r="Y448" s="27"/>
      <c r="Z448" s="27" t="s">
        <v>2383</v>
      </c>
      <c r="AA448" s="29">
        <v>1.4</v>
      </c>
      <c r="AB448" s="30">
        <f>AA448/0.0046</f>
        <v>304.3478260869565</v>
      </c>
      <c r="AC448" s="30">
        <f>AB448*0.089*24*365/10^6</f>
        <v>0.23728173913043479</v>
      </c>
      <c r="AD448" s="30"/>
      <c r="AE448" s="30">
        <f>AB448</f>
        <v>304.3478260869565</v>
      </c>
      <c r="AF448" s="28" t="s">
        <v>2384</v>
      </c>
      <c r="AG448" s="28"/>
    </row>
    <row r="449" spans="1:33" ht="32.25" customHeight="1" x14ac:dyDescent="0.2">
      <c r="A449" s="27">
        <v>765</v>
      </c>
      <c r="B449" s="27" t="s">
        <v>2385</v>
      </c>
      <c r="C449" s="27" t="s">
        <v>338</v>
      </c>
      <c r="D449" s="27">
        <v>2021</v>
      </c>
      <c r="E449" s="27"/>
      <c r="F449" s="27" t="s">
        <v>753</v>
      </c>
      <c r="G449" s="27" t="s">
        <v>266</v>
      </c>
      <c r="H449" s="27"/>
      <c r="I449" s="27" t="s">
        <v>756</v>
      </c>
      <c r="J449" s="27"/>
      <c r="K449" s="27" t="s">
        <v>377</v>
      </c>
      <c r="L449" s="27"/>
      <c r="M449" s="27"/>
      <c r="N449" s="27"/>
      <c r="O449" s="27"/>
      <c r="P449" s="27"/>
      <c r="Q449" s="27">
        <v>1</v>
      </c>
      <c r="R449" s="27"/>
      <c r="S449" s="27"/>
      <c r="T449" s="27"/>
      <c r="U449" s="27"/>
      <c r="V449" s="27"/>
      <c r="W449" s="27"/>
      <c r="X449" s="27"/>
      <c r="Y449" s="27"/>
      <c r="Z449" s="27" t="s">
        <v>1896</v>
      </c>
      <c r="AA449" s="29">
        <v>1</v>
      </c>
      <c r="AB449" s="30">
        <f>AA449/0.0052</f>
        <v>192.30769230769232</v>
      </c>
      <c r="AC449" s="30">
        <f>AB449*0.089*24*365/10^6</f>
        <v>0.14993076923076926</v>
      </c>
      <c r="AD449" s="30"/>
      <c r="AE449" s="30">
        <f>AB449</f>
        <v>192.30769230769232</v>
      </c>
      <c r="AF449" s="28" t="s">
        <v>2386</v>
      </c>
      <c r="AG449" s="28"/>
    </row>
    <row r="450" spans="1:33" ht="32.25" customHeight="1" x14ac:dyDescent="0.2">
      <c r="A450" s="27">
        <v>766</v>
      </c>
      <c r="B450" s="27" t="s">
        <v>2387</v>
      </c>
      <c r="C450" s="27" t="s">
        <v>804</v>
      </c>
      <c r="D450" s="27">
        <v>2022</v>
      </c>
      <c r="E450" s="27"/>
      <c r="F450" s="27" t="s">
        <v>832</v>
      </c>
      <c r="G450" s="27" t="s">
        <v>268</v>
      </c>
      <c r="H450" s="27"/>
      <c r="I450" s="27" t="s">
        <v>765</v>
      </c>
      <c r="J450" s="27"/>
      <c r="K450" s="27" t="s">
        <v>377</v>
      </c>
      <c r="L450" s="27"/>
      <c r="M450" s="27"/>
      <c r="N450" s="27"/>
      <c r="O450" s="27">
        <v>1</v>
      </c>
      <c r="P450" s="27"/>
      <c r="Q450" s="27"/>
      <c r="R450" s="27"/>
      <c r="S450" s="27"/>
      <c r="T450" s="27"/>
      <c r="U450" s="27"/>
      <c r="V450" s="27"/>
      <c r="W450" s="27"/>
      <c r="X450" s="27"/>
      <c r="Y450" s="27"/>
      <c r="Z450" s="27" t="s">
        <v>2021</v>
      </c>
      <c r="AA450" s="29">
        <v>100</v>
      </c>
      <c r="AB450" s="30">
        <f>AA450/0.0045</f>
        <v>22222.222222222223</v>
      </c>
      <c r="AC450" s="30">
        <f>AB450*0.089*24*365/10^6</f>
        <v>17.325333333333337</v>
      </c>
      <c r="AD450" s="30"/>
      <c r="AE450" s="30">
        <f>AB450</f>
        <v>22222.222222222223</v>
      </c>
      <c r="AF450" s="28" t="s">
        <v>2388</v>
      </c>
      <c r="AG450" s="74" t="s">
        <v>3993</v>
      </c>
    </row>
    <row r="451" spans="1:33" ht="32.25" customHeight="1" x14ac:dyDescent="0.2">
      <c r="A451" s="27">
        <v>767</v>
      </c>
      <c r="B451" s="27" t="s">
        <v>2389</v>
      </c>
      <c r="C451" s="27" t="s">
        <v>331</v>
      </c>
      <c r="D451" s="27">
        <v>2022</v>
      </c>
      <c r="E451" s="27"/>
      <c r="F451" s="27" t="s">
        <v>753</v>
      </c>
      <c r="G451" s="27" t="s">
        <v>758</v>
      </c>
      <c r="H451" s="27" t="s">
        <v>1406</v>
      </c>
      <c r="I451" s="27" t="s">
        <v>756</v>
      </c>
      <c r="J451" s="27"/>
      <c r="K451" s="27" t="s">
        <v>377</v>
      </c>
      <c r="L451" s="27"/>
      <c r="M451" s="27"/>
      <c r="N451" s="27"/>
      <c r="O451" s="27"/>
      <c r="P451" s="27"/>
      <c r="Q451" s="27">
        <v>1</v>
      </c>
      <c r="R451" s="27"/>
      <c r="S451" s="27"/>
      <c r="T451" s="27"/>
      <c r="U451" s="27"/>
      <c r="V451" s="27"/>
      <c r="W451" s="27"/>
      <c r="X451" s="27"/>
      <c r="Y451" s="27"/>
      <c r="Z451" s="27" t="s">
        <v>2390</v>
      </c>
      <c r="AA451" s="50">
        <f>AB451*0.0045</f>
        <v>2.1067415730337076</v>
      </c>
      <c r="AB451" s="30">
        <f>AC451/(0.089*24*365/10^6)</f>
        <v>468.16479400749057</v>
      </c>
      <c r="AC451" s="30">
        <f>1*365/1000</f>
        <v>0.36499999999999999</v>
      </c>
      <c r="AD451" s="30"/>
      <c r="AE451" s="30">
        <f>AB451</f>
        <v>468.16479400749057</v>
      </c>
      <c r="AF451" s="28" t="s">
        <v>2391</v>
      </c>
      <c r="AG451" s="28"/>
    </row>
    <row r="452" spans="1:33" ht="32.25" customHeight="1" x14ac:dyDescent="0.2">
      <c r="A452" s="27">
        <v>768</v>
      </c>
      <c r="B452" s="27" t="s">
        <v>2392</v>
      </c>
      <c r="C452" s="27" t="s">
        <v>977</v>
      </c>
      <c r="D452" s="27">
        <v>2022</v>
      </c>
      <c r="E452" s="27"/>
      <c r="F452" s="27" t="s">
        <v>916</v>
      </c>
      <c r="G452" s="27" t="s">
        <v>758</v>
      </c>
      <c r="H452" s="27" t="s">
        <v>1406</v>
      </c>
      <c r="I452" s="27" t="s">
        <v>756</v>
      </c>
      <c r="J452" s="27"/>
      <c r="K452" s="27" t="s">
        <v>377</v>
      </c>
      <c r="L452" s="27"/>
      <c r="M452" s="27"/>
      <c r="N452" s="27"/>
      <c r="O452" s="27"/>
      <c r="P452" s="27"/>
      <c r="Q452" s="27"/>
      <c r="R452" s="27">
        <v>1</v>
      </c>
      <c r="S452" s="27"/>
      <c r="T452" s="27"/>
      <c r="U452" s="27"/>
      <c r="V452" s="27"/>
      <c r="W452" s="27"/>
      <c r="X452" s="27"/>
      <c r="Y452" s="27"/>
      <c r="Z452" s="27" t="s">
        <v>1896</v>
      </c>
      <c r="AA452" s="29">
        <v>1</v>
      </c>
      <c r="AB452" s="30">
        <f>AA452/0.0045</f>
        <v>222.22222222222223</v>
      </c>
      <c r="AC452" s="30">
        <f>AB452*0.089*24*365/10^6</f>
        <v>0.17325333333333334</v>
      </c>
      <c r="AD452" s="30"/>
      <c r="AE452" s="30">
        <f>AB452</f>
        <v>222.22222222222223</v>
      </c>
      <c r="AF452" s="28" t="s">
        <v>2393</v>
      </c>
      <c r="AG452" s="28"/>
    </row>
    <row r="453" spans="1:33" ht="32.25" customHeight="1" x14ac:dyDescent="0.2">
      <c r="A453" s="27">
        <v>769</v>
      </c>
      <c r="B453" s="27" t="s">
        <v>2394</v>
      </c>
      <c r="C453" s="27" t="s">
        <v>337</v>
      </c>
      <c r="D453" s="27">
        <v>2022</v>
      </c>
      <c r="E453" s="27"/>
      <c r="F453" s="27" t="s">
        <v>754</v>
      </c>
      <c r="G453" s="27" t="s">
        <v>762</v>
      </c>
      <c r="H453" s="27" t="s">
        <v>1955</v>
      </c>
      <c r="I453" s="27"/>
      <c r="J453" s="27"/>
      <c r="K453" s="27" t="s">
        <v>377</v>
      </c>
      <c r="L453" s="27"/>
      <c r="M453" s="27"/>
      <c r="N453" s="27"/>
      <c r="O453" s="27"/>
      <c r="P453" s="27"/>
      <c r="Q453" s="27">
        <v>1</v>
      </c>
      <c r="R453" s="27"/>
      <c r="S453" s="27"/>
      <c r="T453" s="27"/>
      <c r="U453" s="27"/>
      <c r="V453" s="27"/>
      <c r="W453" s="27"/>
      <c r="X453" s="27"/>
      <c r="Y453" s="27"/>
      <c r="Z453" s="27" t="s">
        <v>2395</v>
      </c>
      <c r="AA453" s="29"/>
      <c r="AB453" s="30">
        <f>AC453/(0.089*24*365/10^6)</f>
        <v>4681.6479400749058</v>
      </c>
      <c r="AC453" s="30">
        <f>10*365/1000</f>
        <v>3.65</v>
      </c>
      <c r="AD453" s="30"/>
      <c r="AE453" s="30">
        <f>AB453</f>
        <v>4681.6479400749058</v>
      </c>
      <c r="AF453" s="28" t="s">
        <v>2396</v>
      </c>
      <c r="AG453" s="28"/>
    </row>
    <row r="454" spans="1:33" ht="32.25" customHeight="1" x14ac:dyDescent="0.2">
      <c r="A454" s="27">
        <v>770</v>
      </c>
      <c r="B454" s="27" t="s">
        <v>2882</v>
      </c>
      <c r="C454" s="27" t="s">
        <v>361</v>
      </c>
      <c r="D454" s="27">
        <v>2022</v>
      </c>
      <c r="E454" s="27"/>
      <c r="F454" s="27" t="s">
        <v>754</v>
      </c>
      <c r="G454" s="27" t="s">
        <v>266</v>
      </c>
      <c r="H454" s="27"/>
      <c r="I454" s="27" t="s">
        <v>768</v>
      </c>
      <c r="J454" s="27" t="s">
        <v>862</v>
      </c>
      <c r="K454" s="27" t="s">
        <v>767</v>
      </c>
      <c r="L454" s="27"/>
      <c r="M454" s="27"/>
      <c r="N454" s="27">
        <v>1</v>
      </c>
      <c r="O454" s="27"/>
      <c r="P454" s="27"/>
      <c r="Q454" s="27"/>
      <c r="R454" s="27"/>
      <c r="S454" s="27"/>
      <c r="T454" s="27"/>
      <c r="U454" s="27"/>
      <c r="V454" s="27"/>
      <c r="W454" s="27">
        <v>1</v>
      </c>
      <c r="X454" s="27"/>
      <c r="Y454" s="27"/>
      <c r="Z454" s="27" t="s">
        <v>3349</v>
      </c>
      <c r="AA454" s="29">
        <v>1.25</v>
      </c>
      <c r="AB454" s="30">
        <f>IF(OR(G454="ALK",G454="PEM",G454="SOEC",G454="Other Electrolysis"),
AA454/VLOOKUP(G454,ElectrolysisConvF,3,FALSE),
AC454*10^6/(H2dens*HoursInYear))</f>
        <v>240.38461538461539</v>
      </c>
      <c r="AC454" s="50">
        <f>AB454*H2dens*HoursInYear/10^6</f>
        <v>0.18741346153846153</v>
      </c>
      <c r="AD454" s="30"/>
      <c r="AE454" s="30">
        <f>AB454</f>
        <v>240.38461538461539</v>
      </c>
      <c r="AF454" s="28" t="s">
        <v>3352</v>
      </c>
      <c r="AG454" s="74" t="s">
        <v>4104</v>
      </c>
    </row>
    <row r="455" spans="1:33" ht="32.25" customHeight="1" x14ac:dyDescent="0.2">
      <c r="A455" s="27">
        <v>771</v>
      </c>
      <c r="B455" s="27" t="s">
        <v>3269</v>
      </c>
      <c r="C455" s="27" t="s">
        <v>347</v>
      </c>
      <c r="D455" s="27">
        <v>2023</v>
      </c>
      <c r="E455" s="27"/>
      <c r="F455" s="27" t="s">
        <v>832</v>
      </c>
      <c r="G455" s="27" t="s">
        <v>758</v>
      </c>
      <c r="H455" s="27" t="s">
        <v>1406</v>
      </c>
      <c r="I455" s="27" t="s">
        <v>768</v>
      </c>
      <c r="J455" s="27" t="s">
        <v>865</v>
      </c>
      <c r="K455" s="27" t="s">
        <v>377</v>
      </c>
      <c r="L455" s="27">
        <v>1</v>
      </c>
      <c r="M455" s="27"/>
      <c r="N455" s="27"/>
      <c r="O455" s="27"/>
      <c r="P455" s="27"/>
      <c r="Q455" s="27">
        <v>1</v>
      </c>
      <c r="R455" s="27"/>
      <c r="S455" s="27"/>
      <c r="T455" s="27"/>
      <c r="U455" s="27"/>
      <c r="V455" s="27"/>
      <c r="W455" s="27"/>
      <c r="X455" s="27"/>
      <c r="Y455" s="27"/>
      <c r="Z455" s="27" t="s">
        <v>2075</v>
      </c>
      <c r="AA455" s="29">
        <v>200</v>
      </c>
      <c r="AB455" s="30">
        <f>AA455/0.0045</f>
        <v>44444.444444444445</v>
      </c>
      <c r="AC455" s="30">
        <f>AB455*0.089*24*365/10^6</f>
        <v>34.650666666666673</v>
      </c>
      <c r="AD455" s="30"/>
      <c r="AE455" s="30">
        <f>AB455</f>
        <v>44444.444444444445</v>
      </c>
      <c r="AF455" s="28" t="s">
        <v>3270</v>
      </c>
      <c r="AG455" s="74" t="s">
        <v>4026</v>
      </c>
    </row>
    <row r="456" spans="1:33" ht="32.25" customHeight="1" x14ac:dyDescent="0.2">
      <c r="A456" s="27">
        <v>772</v>
      </c>
      <c r="B456" s="27" t="s">
        <v>2397</v>
      </c>
      <c r="C456" s="27" t="s">
        <v>336</v>
      </c>
      <c r="D456" s="27">
        <v>2022</v>
      </c>
      <c r="E456" s="27"/>
      <c r="F456" s="27" t="s">
        <v>753</v>
      </c>
      <c r="G456" s="27" t="s">
        <v>758</v>
      </c>
      <c r="H456" s="27" t="s">
        <v>1406</v>
      </c>
      <c r="I456" s="27" t="s">
        <v>768</v>
      </c>
      <c r="J456" s="27" t="s">
        <v>865</v>
      </c>
      <c r="K456" s="27" t="s">
        <v>377</v>
      </c>
      <c r="L456" s="27"/>
      <c r="M456" s="27"/>
      <c r="N456" s="27"/>
      <c r="O456" s="27"/>
      <c r="P456" s="27">
        <v>1</v>
      </c>
      <c r="Q456" s="27"/>
      <c r="R456" s="27"/>
      <c r="S456" s="27"/>
      <c r="T456" s="27"/>
      <c r="U456" s="27"/>
      <c r="V456" s="27"/>
      <c r="W456" s="27"/>
      <c r="X456" s="27"/>
      <c r="Y456" s="27"/>
      <c r="Z456" s="27" t="s">
        <v>1896</v>
      </c>
      <c r="AA456" s="29">
        <v>1</v>
      </c>
      <c r="AB456" s="30">
        <f>IF(OR(G456="ALK",G456="PEM",G456="SOEC",G456="Other Electrolysis"),
AA456/VLOOKUP(G456,ElectrolysisConvF,3,FALSE),
AC456*10^6/(H2dens*HoursInYear))</f>
        <v>222.22222222222223</v>
      </c>
      <c r="AC456" s="30">
        <v>0.36499999999999999</v>
      </c>
      <c r="AD456" s="30"/>
      <c r="AE456" s="30">
        <f>AB456</f>
        <v>222.22222222222223</v>
      </c>
      <c r="AF456" s="28" t="s">
        <v>3326</v>
      </c>
      <c r="AG456" s="28"/>
    </row>
    <row r="457" spans="1:33" ht="32.25" customHeight="1" x14ac:dyDescent="0.2">
      <c r="A457" s="27">
        <v>773</v>
      </c>
      <c r="B457" s="27" t="s">
        <v>2398</v>
      </c>
      <c r="C457" s="27" t="s">
        <v>980</v>
      </c>
      <c r="D457" s="27">
        <v>2021</v>
      </c>
      <c r="E457" s="27"/>
      <c r="F457" s="27" t="s">
        <v>754</v>
      </c>
      <c r="G457" s="27" t="s">
        <v>266</v>
      </c>
      <c r="H457" s="27"/>
      <c r="I457" s="27" t="s">
        <v>768</v>
      </c>
      <c r="J457" s="27" t="s">
        <v>865</v>
      </c>
      <c r="K457" s="27" t="s">
        <v>377</v>
      </c>
      <c r="L457" s="27"/>
      <c r="M457" s="27"/>
      <c r="N457" s="27"/>
      <c r="O457" s="27"/>
      <c r="P457" s="27"/>
      <c r="Q457" s="27">
        <v>1</v>
      </c>
      <c r="R457" s="27"/>
      <c r="S457" s="27"/>
      <c r="T457" s="27"/>
      <c r="U457" s="27"/>
      <c r="V457" s="27"/>
      <c r="W457" s="27"/>
      <c r="X457" s="27"/>
      <c r="Y457" s="27"/>
      <c r="Z457" s="27" t="s">
        <v>1448</v>
      </c>
      <c r="AA457" s="29">
        <v>2</v>
      </c>
      <c r="AB457" s="30">
        <f>IF(OR(G457="ALK",G457="PEM",G457="SOEC",G457="Other Electrolysis"),
AA457/VLOOKUP(G457,ElectrolysisConvF,3,FALSE),
AC457*10^6/(H2dens*HoursInYear))</f>
        <v>384.61538461538464</v>
      </c>
      <c r="AC457" s="30">
        <f>AB457*0.089*24*365/10^6</f>
        <v>0.29986153846153851</v>
      </c>
      <c r="AD457" s="30"/>
      <c r="AE457" s="30">
        <f>AB457</f>
        <v>384.61538461538464</v>
      </c>
      <c r="AF457" s="28" t="s">
        <v>2399</v>
      </c>
      <c r="AG457" s="28"/>
    </row>
    <row r="458" spans="1:33" ht="32.25" customHeight="1" x14ac:dyDescent="0.2">
      <c r="A458" s="27">
        <v>774</v>
      </c>
      <c r="B458" s="27" t="s">
        <v>2400</v>
      </c>
      <c r="C458" s="27" t="s">
        <v>331</v>
      </c>
      <c r="D458" s="27"/>
      <c r="E458" s="27"/>
      <c r="F458" s="27" t="s">
        <v>1336</v>
      </c>
      <c r="G458" s="27" t="s">
        <v>758</v>
      </c>
      <c r="H458" s="27" t="s">
        <v>1406</v>
      </c>
      <c r="I458" s="27" t="s">
        <v>756</v>
      </c>
      <c r="J458" s="27"/>
      <c r="K458" s="27" t="s">
        <v>377</v>
      </c>
      <c r="L458" s="27"/>
      <c r="M458" s="27"/>
      <c r="N458" s="27"/>
      <c r="O458" s="27"/>
      <c r="P458" s="27"/>
      <c r="Q458" s="27">
        <v>1</v>
      </c>
      <c r="R458" s="27"/>
      <c r="S458" s="27"/>
      <c r="T458" s="27"/>
      <c r="U458" s="27"/>
      <c r="V458" s="27"/>
      <c r="W458" s="27"/>
      <c r="X458" s="27"/>
      <c r="Y458" s="27"/>
      <c r="Z458" s="27"/>
      <c r="AA458" s="29"/>
      <c r="AB458" s="30"/>
      <c r="AC458" s="30"/>
      <c r="AD458" s="30"/>
      <c r="AE458" s="30"/>
      <c r="AF458" s="28" t="s">
        <v>2401</v>
      </c>
      <c r="AG458" s="28"/>
    </row>
    <row r="459" spans="1:33" ht="32.25" customHeight="1" x14ac:dyDescent="0.2">
      <c r="A459" s="27">
        <v>775</v>
      </c>
      <c r="B459" s="27" t="s">
        <v>2402</v>
      </c>
      <c r="C459" s="27" t="s">
        <v>980</v>
      </c>
      <c r="D459" s="27">
        <v>2015</v>
      </c>
      <c r="E459" s="27"/>
      <c r="F459" s="27" t="s">
        <v>836</v>
      </c>
      <c r="G459" s="27" t="s">
        <v>268</v>
      </c>
      <c r="H459" s="27"/>
      <c r="I459" s="27" t="s">
        <v>768</v>
      </c>
      <c r="J459" s="27" t="s">
        <v>861</v>
      </c>
      <c r="K459" s="27" t="s">
        <v>377</v>
      </c>
      <c r="L459" s="27"/>
      <c r="M459" s="27"/>
      <c r="N459" s="27"/>
      <c r="O459" s="27"/>
      <c r="P459" s="27"/>
      <c r="Q459" s="27">
        <v>1</v>
      </c>
      <c r="R459" s="27"/>
      <c r="S459" s="27"/>
      <c r="T459" s="27"/>
      <c r="U459" s="27"/>
      <c r="V459" s="27"/>
      <c r="W459" s="27"/>
      <c r="X459" s="27"/>
      <c r="Y459" s="27"/>
      <c r="Z459" s="27" t="s">
        <v>2403</v>
      </c>
      <c r="AA459" s="29">
        <v>0.06</v>
      </c>
      <c r="AB459" s="30">
        <f>IF(OR(G459="ALK",G459="PEM",G459="SOEC",G459="Other Electrolysis"),
AA459/VLOOKUP(G459,ElectrolysisConvF,3,FALSE),
AC459*10^6/(H2dens*HoursInYear))</f>
        <v>13.043478260869565</v>
      </c>
      <c r="AC459" s="30">
        <f>AB459*0.089*24*365/10^6</f>
        <v>1.0169217391304348E-2</v>
      </c>
      <c r="AD459" s="30"/>
      <c r="AE459" s="30">
        <f>AB459</f>
        <v>13.043478260869565</v>
      </c>
      <c r="AF459" s="28"/>
      <c r="AG459" s="28"/>
    </row>
    <row r="460" spans="1:33" ht="32.25" customHeight="1" x14ac:dyDescent="0.2">
      <c r="A460" s="27">
        <v>776</v>
      </c>
      <c r="B460" s="27" t="s">
        <v>2404</v>
      </c>
      <c r="C460" s="27" t="s">
        <v>980</v>
      </c>
      <c r="D460" s="27">
        <v>2023</v>
      </c>
      <c r="E460" s="27"/>
      <c r="F460" s="27" t="s">
        <v>832</v>
      </c>
      <c r="G460" s="27" t="s">
        <v>758</v>
      </c>
      <c r="H460" s="27" t="s">
        <v>1406</v>
      </c>
      <c r="I460" s="27" t="s">
        <v>768</v>
      </c>
      <c r="J460" s="27" t="s">
        <v>865</v>
      </c>
      <c r="K460" s="27" t="s">
        <v>740</v>
      </c>
      <c r="L460" s="27"/>
      <c r="M460" s="27">
        <v>1</v>
      </c>
      <c r="N460" s="27"/>
      <c r="O460" s="27"/>
      <c r="P460" s="27"/>
      <c r="Q460" s="27"/>
      <c r="R460" s="27"/>
      <c r="S460" s="27"/>
      <c r="T460" s="27"/>
      <c r="U460" s="27"/>
      <c r="V460" s="27"/>
      <c r="W460" s="27"/>
      <c r="X460" s="27"/>
      <c r="Y460" s="27"/>
      <c r="Z460" s="27" t="s">
        <v>2405</v>
      </c>
      <c r="AA460" s="29">
        <v>230</v>
      </c>
      <c r="AB460" s="30">
        <f>AA460/0.0045</f>
        <v>51111.111111111117</v>
      </c>
      <c r="AC460" s="30">
        <f>AB460*0.089*24*365/10^6</f>
        <v>39.848266666666674</v>
      </c>
      <c r="AD460" s="30"/>
      <c r="AE460" s="30">
        <f>AB460</f>
        <v>51111.111111111117</v>
      </c>
      <c r="AF460" s="28" t="s">
        <v>2406</v>
      </c>
      <c r="AG460" s="74" t="s">
        <v>4023</v>
      </c>
    </row>
    <row r="461" spans="1:33" ht="32.25" customHeight="1" x14ac:dyDescent="0.2">
      <c r="A461" s="27">
        <v>777</v>
      </c>
      <c r="B461" s="27" t="s">
        <v>2407</v>
      </c>
      <c r="C461" s="27" t="s">
        <v>331</v>
      </c>
      <c r="D461" s="27">
        <v>2023</v>
      </c>
      <c r="E461" s="27"/>
      <c r="F461" s="27" t="s">
        <v>832</v>
      </c>
      <c r="G461" s="27" t="s">
        <v>266</v>
      </c>
      <c r="H461" s="27"/>
      <c r="I461" s="27" t="s">
        <v>768</v>
      </c>
      <c r="J461" s="27" t="s">
        <v>865</v>
      </c>
      <c r="K461" s="27" t="s">
        <v>377</v>
      </c>
      <c r="L461" s="27"/>
      <c r="M461" s="27"/>
      <c r="N461" s="27"/>
      <c r="O461" s="27"/>
      <c r="P461" s="27"/>
      <c r="Q461" s="27"/>
      <c r="R461" s="27">
        <v>1</v>
      </c>
      <c r="S461" s="27"/>
      <c r="T461" s="27"/>
      <c r="U461" s="27"/>
      <c r="V461" s="27"/>
      <c r="W461" s="27"/>
      <c r="X461" s="27"/>
      <c r="Y461" s="27"/>
      <c r="Z461" s="27"/>
      <c r="AA461" s="29"/>
      <c r="AB461" s="30"/>
      <c r="AC461" s="30"/>
      <c r="AD461" s="30"/>
      <c r="AE461" s="30"/>
      <c r="AF461" s="28" t="s">
        <v>2408</v>
      </c>
      <c r="AG461" s="28"/>
    </row>
    <row r="462" spans="1:33" ht="32.25" customHeight="1" x14ac:dyDescent="0.2">
      <c r="A462" s="27">
        <v>778</v>
      </c>
      <c r="B462" s="27" t="s">
        <v>2409</v>
      </c>
      <c r="C462" s="27" t="s">
        <v>804</v>
      </c>
      <c r="D462" s="27"/>
      <c r="E462" s="27"/>
      <c r="F462" s="27" t="s">
        <v>1336</v>
      </c>
      <c r="G462" s="27" t="s">
        <v>758</v>
      </c>
      <c r="H462" s="27" t="s">
        <v>1406</v>
      </c>
      <c r="I462" s="27" t="s">
        <v>768</v>
      </c>
      <c r="J462" s="27" t="s">
        <v>865</v>
      </c>
      <c r="K462" s="27" t="s">
        <v>377</v>
      </c>
      <c r="L462" s="27"/>
      <c r="M462" s="27"/>
      <c r="N462" s="27"/>
      <c r="O462" s="27"/>
      <c r="P462" s="27"/>
      <c r="Q462" s="27"/>
      <c r="R462" s="27"/>
      <c r="S462" s="27"/>
      <c r="T462" s="27"/>
      <c r="U462" s="27"/>
      <c r="V462" s="27"/>
      <c r="W462" s="27"/>
      <c r="X462" s="27"/>
      <c r="Y462" s="27"/>
      <c r="Z462" s="27"/>
      <c r="AA462" s="29"/>
      <c r="AB462" s="30"/>
      <c r="AC462" s="30"/>
      <c r="AD462" s="30"/>
      <c r="AE462" s="30"/>
      <c r="AF462" s="28" t="s">
        <v>2410</v>
      </c>
      <c r="AG462" s="28"/>
    </row>
    <row r="463" spans="1:33" ht="32.25" customHeight="1" x14ac:dyDescent="0.2">
      <c r="A463" s="27">
        <v>779</v>
      </c>
      <c r="B463" s="27" t="s">
        <v>2411</v>
      </c>
      <c r="C463" s="27" t="s">
        <v>337</v>
      </c>
      <c r="D463" s="27">
        <v>2023</v>
      </c>
      <c r="E463" s="27"/>
      <c r="F463" s="27" t="s">
        <v>753</v>
      </c>
      <c r="G463" s="27" t="s">
        <v>762</v>
      </c>
      <c r="H463" s="27" t="s">
        <v>2412</v>
      </c>
      <c r="I463" s="27"/>
      <c r="J463" s="27"/>
      <c r="K463" s="27" t="s">
        <v>377</v>
      </c>
      <c r="L463" s="27"/>
      <c r="M463" s="27"/>
      <c r="N463" s="27"/>
      <c r="O463" s="27"/>
      <c r="P463" s="27"/>
      <c r="Q463" s="27">
        <v>1</v>
      </c>
      <c r="R463" s="27"/>
      <c r="S463" s="27"/>
      <c r="T463" s="27"/>
      <c r="U463" s="27"/>
      <c r="V463" s="27"/>
      <c r="W463" s="27"/>
      <c r="X463" s="27"/>
      <c r="Y463" s="27"/>
      <c r="Z463" s="27" t="s">
        <v>2413</v>
      </c>
      <c r="AA463" s="29"/>
      <c r="AB463" s="30">
        <f>AC463/(0.089*24*365/10^6)</f>
        <v>5149.8127340823958</v>
      </c>
      <c r="AC463" s="30">
        <f>11000*365/1000/1000</f>
        <v>4.0149999999999997</v>
      </c>
      <c r="AD463" s="30"/>
      <c r="AE463" s="30">
        <f>AB463</f>
        <v>5149.8127340823958</v>
      </c>
      <c r="AF463" s="28" t="s">
        <v>2414</v>
      </c>
      <c r="AG463" s="28"/>
    </row>
    <row r="464" spans="1:33" ht="32.25" customHeight="1" x14ac:dyDescent="0.2">
      <c r="A464" s="27">
        <v>780</v>
      </c>
      <c r="B464" s="27" t="s">
        <v>3264</v>
      </c>
      <c r="C464" s="27" t="s">
        <v>848</v>
      </c>
      <c r="D464" s="27"/>
      <c r="E464" s="27"/>
      <c r="F464" s="27" t="s">
        <v>756</v>
      </c>
      <c r="G464" s="27" t="s">
        <v>758</v>
      </c>
      <c r="H464" s="27" t="s">
        <v>1406</v>
      </c>
      <c r="I464" s="27" t="s">
        <v>756</v>
      </c>
      <c r="J464" s="27"/>
      <c r="K464" s="27" t="s">
        <v>377</v>
      </c>
      <c r="L464" s="27"/>
      <c r="M464" s="27"/>
      <c r="N464" s="27"/>
      <c r="O464" s="27"/>
      <c r="P464" s="27"/>
      <c r="Q464" s="27">
        <v>1</v>
      </c>
      <c r="R464" s="27"/>
      <c r="S464" s="27"/>
      <c r="T464" s="27"/>
      <c r="U464" s="27"/>
      <c r="V464" s="27"/>
      <c r="W464" s="27"/>
      <c r="X464" s="27"/>
      <c r="Y464" s="27"/>
      <c r="Z464" s="27" t="s">
        <v>1566</v>
      </c>
      <c r="AA464" s="29">
        <v>1.5</v>
      </c>
      <c r="AB464" s="30">
        <f>AA464/0.0045</f>
        <v>333.33333333333337</v>
      </c>
      <c r="AC464" s="30">
        <f>AB464*0.089*24*365/10^6</f>
        <v>0.25988</v>
      </c>
      <c r="AD464" s="30"/>
      <c r="AE464" s="30">
        <f>AB464</f>
        <v>333.33333333333337</v>
      </c>
      <c r="AF464" s="28" t="s">
        <v>2415</v>
      </c>
      <c r="AG464" s="28"/>
    </row>
    <row r="465" spans="1:33" ht="32.25" customHeight="1" x14ac:dyDescent="0.2">
      <c r="A465" s="27">
        <v>781</v>
      </c>
      <c r="B465" s="27" t="s">
        <v>2416</v>
      </c>
      <c r="C465" s="27" t="s">
        <v>337</v>
      </c>
      <c r="D465" s="27">
        <v>2021</v>
      </c>
      <c r="E465" s="27"/>
      <c r="F465" s="27" t="s">
        <v>754</v>
      </c>
      <c r="G465" s="27" t="s">
        <v>760</v>
      </c>
      <c r="H465" s="27" t="s">
        <v>3256</v>
      </c>
      <c r="I465" s="27"/>
      <c r="J465" s="27"/>
      <c r="K465" s="27" t="s">
        <v>377</v>
      </c>
      <c r="L465" s="27"/>
      <c r="M465" s="27"/>
      <c r="N465" s="27"/>
      <c r="O465" s="27"/>
      <c r="P465" s="27"/>
      <c r="Q465" s="27"/>
      <c r="R465" s="27"/>
      <c r="S465" s="27"/>
      <c r="T465" s="27"/>
      <c r="U465" s="27"/>
      <c r="V465" s="27"/>
      <c r="W465" s="27"/>
      <c r="X465" s="27"/>
      <c r="Y465" s="27"/>
      <c r="Z465" s="27" t="s">
        <v>2417</v>
      </c>
      <c r="AA465" s="29"/>
      <c r="AB465" s="30">
        <f>AC465/(0.089*24*365/10^6)</f>
        <v>5985.6685991825289</v>
      </c>
      <c r="AC465" s="30">
        <f>14/3</f>
        <v>4.666666666666667</v>
      </c>
      <c r="AD465" s="30"/>
      <c r="AE465" s="30"/>
      <c r="AF465" s="28" t="s">
        <v>2418</v>
      </c>
      <c r="AG465" s="28"/>
    </row>
    <row r="466" spans="1:33" ht="32.25" customHeight="1" x14ac:dyDescent="0.2">
      <c r="A466" s="27">
        <v>782</v>
      </c>
      <c r="B466" s="27" t="s">
        <v>2419</v>
      </c>
      <c r="C466" s="27" t="s">
        <v>337</v>
      </c>
      <c r="D466" s="27"/>
      <c r="E466" s="27"/>
      <c r="F466" s="27" t="s">
        <v>832</v>
      </c>
      <c r="G466" s="27" t="s">
        <v>760</v>
      </c>
      <c r="H466" s="27" t="s">
        <v>3256</v>
      </c>
      <c r="I466" s="27"/>
      <c r="J466" s="27"/>
      <c r="K466" s="27" t="s">
        <v>740</v>
      </c>
      <c r="L466" s="27"/>
      <c r="M466" s="27">
        <v>1</v>
      </c>
      <c r="N466" s="27"/>
      <c r="O466" s="27"/>
      <c r="P466" s="27"/>
      <c r="Q466" s="27"/>
      <c r="R466" s="27"/>
      <c r="S466" s="27"/>
      <c r="T466" s="27"/>
      <c r="U466" s="27"/>
      <c r="V466" s="27"/>
      <c r="W466" s="27"/>
      <c r="X466" s="27"/>
      <c r="Y466" s="27"/>
      <c r="Z466" s="27" t="s">
        <v>2420</v>
      </c>
      <c r="AA466" s="29"/>
      <c r="AB466" s="30">
        <f>AC466/(0.089*24*365/10^6)</f>
        <v>63516.23826381407</v>
      </c>
      <c r="AC466" s="30">
        <f>275*0.180072</f>
        <v>49.519800000000004</v>
      </c>
      <c r="AD466" s="30"/>
      <c r="AE466" s="30"/>
      <c r="AF466" s="28" t="s">
        <v>2418</v>
      </c>
      <c r="AG466" s="28"/>
    </row>
    <row r="467" spans="1:33" ht="32.25" customHeight="1" x14ac:dyDescent="0.2">
      <c r="A467" s="27">
        <v>783</v>
      </c>
      <c r="B467" s="27" t="s">
        <v>2421</v>
      </c>
      <c r="C467" s="27" t="s">
        <v>980</v>
      </c>
      <c r="D467" s="27">
        <v>2027</v>
      </c>
      <c r="E467" s="27"/>
      <c r="F467" s="27" t="s">
        <v>832</v>
      </c>
      <c r="G467" s="27" t="s">
        <v>758</v>
      </c>
      <c r="H467" s="27" t="s">
        <v>1406</v>
      </c>
      <c r="I467" s="27" t="s">
        <v>768</v>
      </c>
      <c r="J467" s="27" t="s">
        <v>865</v>
      </c>
      <c r="K467" s="27" t="s">
        <v>740</v>
      </c>
      <c r="L467" s="27"/>
      <c r="M467" s="27">
        <v>1</v>
      </c>
      <c r="N467" s="27"/>
      <c r="O467" s="27"/>
      <c r="P467" s="27"/>
      <c r="Q467" s="27"/>
      <c r="R467" s="27"/>
      <c r="S467" s="27"/>
      <c r="T467" s="27"/>
      <c r="U467" s="27"/>
      <c r="V467" s="27"/>
      <c r="W467" s="27"/>
      <c r="X467" s="27"/>
      <c r="Y467" s="27"/>
      <c r="Z467" s="27" t="s">
        <v>2422</v>
      </c>
      <c r="AA467" s="29">
        <v>370</v>
      </c>
      <c r="AB467" s="30">
        <f>AA467/0.0045</f>
        <v>82222.222222222234</v>
      </c>
      <c r="AC467" s="30">
        <f>AB467*0.089*24*365/10^6</f>
        <v>64.103733333333338</v>
      </c>
      <c r="AD467" s="30"/>
      <c r="AE467" s="30">
        <f>AB467</f>
        <v>82222.222222222234</v>
      </c>
      <c r="AF467" s="28" t="s">
        <v>1894</v>
      </c>
      <c r="AG467" s="28"/>
    </row>
    <row r="468" spans="1:33" ht="32.25" customHeight="1" x14ac:dyDescent="0.2">
      <c r="A468" s="27">
        <v>784</v>
      </c>
      <c r="B468" s="27" t="s">
        <v>2423</v>
      </c>
      <c r="C468" s="27" t="s">
        <v>336</v>
      </c>
      <c r="D468" s="27">
        <v>2021</v>
      </c>
      <c r="E468" s="27"/>
      <c r="F468" s="27" t="s">
        <v>753</v>
      </c>
      <c r="G468" s="27" t="s">
        <v>266</v>
      </c>
      <c r="H468" s="27"/>
      <c r="I468" s="27" t="s">
        <v>866</v>
      </c>
      <c r="J468" s="27"/>
      <c r="K468" s="27" t="s">
        <v>377</v>
      </c>
      <c r="L468" s="27"/>
      <c r="M468" s="27"/>
      <c r="N468" s="27"/>
      <c r="O468" s="27"/>
      <c r="P468" s="27"/>
      <c r="Q468" s="27"/>
      <c r="R468" s="27"/>
      <c r="S468" s="27">
        <v>1</v>
      </c>
      <c r="T468" s="27"/>
      <c r="U468" s="27"/>
      <c r="V468" s="27"/>
      <c r="W468" s="27"/>
      <c r="X468" s="27"/>
      <c r="Y468" s="27"/>
      <c r="Z468" s="27" t="s">
        <v>1977</v>
      </c>
      <c r="AA468" s="29">
        <v>5</v>
      </c>
      <c r="AB468" s="30">
        <f>AA468/0.0052</f>
        <v>961.53846153846155</v>
      </c>
      <c r="AC468" s="30">
        <f>AB468*0.089*24*365/10^6</f>
        <v>0.74965384615384612</v>
      </c>
      <c r="AD468" s="30"/>
      <c r="AE468" s="30">
        <f>AB468</f>
        <v>961.53846153846155</v>
      </c>
      <c r="AF468" s="28" t="s">
        <v>2786</v>
      </c>
      <c r="AG468" s="28"/>
    </row>
    <row r="469" spans="1:33" ht="32.25" customHeight="1" x14ac:dyDescent="0.2">
      <c r="A469" s="27">
        <v>785</v>
      </c>
      <c r="B469" s="27" t="s">
        <v>2424</v>
      </c>
      <c r="C469" s="27" t="s">
        <v>338</v>
      </c>
      <c r="D469" s="27">
        <v>2021</v>
      </c>
      <c r="E469" s="27"/>
      <c r="F469" s="27" t="s">
        <v>754</v>
      </c>
      <c r="G469" s="27" t="s">
        <v>266</v>
      </c>
      <c r="H469" s="27"/>
      <c r="I469" s="27" t="s">
        <v>768</v>
      </c>
      <c r="J469" s="27" t="s">
        <v>865</v>
      </c>
      <c r="K469" s="27" t="s">
        <v>377</v>
      </c>
      <c r="L469" s="27"/>
      <c r="M469" s="27"/>
      <c r="N469" s="27"/>
      <c r="O469" s="27"/>
      <c r="P469" s="27"/>
      <c r="Q469" s="27">
        <v>1</v>
      </c>
      <c r="R469" s="27"/>
      <c r="S469" s="27"/>
      <c r="T469" s="27"/>
      <c r="U469" s="27"/>
      <c r="V469" s="27"/>
      <c r="W469" s="27"/>
      <c r="X469" s="27"/>
      <c r="Y469" s="27"/>
      <c r="Z469" s="27" t="s">
        <v>2425</v>
      </c>
      <c r="AA469" s="91">
        <v>2</v>
      </c>
      <c r="AB469" s="30">
        <f>AC469/(0.089*24*365/10^6)</f>
        <v>795.88014981273409</v>
      </c>
      <c r="AC469" s="30">
        <f>1.7*365/1000</f>
        <v>0.62050000000000005</v>
      </c>
      <c r="AD469" s="30"/>
      <c r="AE469" s="30">
        <f>AB469</f>
        <v>795.88014981273409</v>
      </c>
      <c r="AF469" s="28" t="s">
        <v>2426</v>
      </c>
      <c r="AG469" s="28"/>
    </row>
    <row r="470" spans="1:33" ht="32.25" customHeight="1" x14ac:dyDescent="0.2">
      <c r="A470" s="27">
        <v>786</v>
      </c>
      <c r="B470" s="27" t="s">
        <v>2427</v>
      </c>
      <c r="C470" s="27" t="s">
        <v>347</v>
      </c>
      <c r="D470" s="27">
        <v>2024</v>
      </c>
      <c r="E470" s="27"/>
      <c r="F470" s="27" t="s">
        <v>832</v>
      </c>
      <c r="G470" s="27" t="s">
        <v>758</v>
      </c>
      <c r="H470" s="27" t="s">
        <v>1406</v>
      </c>
      <c r="I470" s="27" t="s">
        <v>768</v>
      </c>
      <c r="J470" s="27" t="s">
        <v>865</v>
      </c>
      <c r="K470" s="27" t="s">
        <v>377</v>
      </c>
      <c r="L470" s="27"/>
      <c r="M470" s="27"/>
      <c r="N470" s="27"/>
      <c r="O470" s="27"/>
      <c r="P470" s="27">
        <v>1</v>
      </c>
      <c r="Q470" s="27">
        <v>1</v>
      </c>
      <c r="R470" s="27"/>
      <c r="S470" s="27">
        <v>1</v>
      </c>
      <c r="T470" s="27"/>
      <c r="U470" s="27"/>
      <c r="V470" s="27"/>
      <c r="W470" s="27"/>
      <c r="X470" s="27"/>
      <c r="Y470" s="27"/>
      <c r="Z470" s="27" t="s">
        <v>3168</v>
      </c>
      <c r="AA470" s="29">
        <v>5</v>
      </c>
      <c r="AB470" s="30">
        <f>AA470/0.0045</f>
        <v>1111.1111111111111</v>
      </c>
      <c r="AC470" s="30">
        <f>AB470*0.089*24*365/10^6</f>
        <v>0.86626666666666652</v>
      </c>
      <c r="AD470" s="30"/>
      <c r="AE470" s="30">
        <f>AB470</f>
        <v>1111.1111111111111</v>
      </c>
      <c r="AF470" s="28" t="s">
        <v>3169</v>
      </c>
      <c r="AG470" s="28"/>
    </row>
    <row r="471" spans="1:33" ht="32.25" customHeight="1" x14ac:dyDescent="0.2">
      <c r="A471" s="27">
        <v>787</v>
      </c>
      <c r="B471" s="27" t="s">
        <v>2428</v>
      </c>
      <c r="C471" s="27" t="s">
        <v>347</v>
      </c>
      <c r="D471" s="27">
        <v>2021</v>
      </c>
      <c r="E471" s="27"/>
      <c r="F471" s="27" t="s">
        <v>754</v>
      </c>
      <c r="G471" s="27" t="s">
        <v>266</v>
      </c>
      <c r="H471" s="27"/>
      <c r="I471" s="27" t="s">
        <v>768</v>
      </c>
      <c r="J471" s="27" t="s">
        <v>862</v>
      </c>
      <c r="K471" s="27" t="s">
        <v>377</v>
      </c>
      <c r="L471" s="27"/>
      <c r="M471" s="27"/>
      <c r="N471" s="27"/>
      <c r="O471" s="27"/>
      <c r="P471" s="27"/>
      <c r="Q471" s="27">
        <v>1</v>
      </c>
      <c r="R471" s="27"/>
      <c r="S471" s="27"/>
      <c r="T471" s="27"/>
      <c r="U471" s="27"/>
      <c r="V471" s="27"/>
      <c r="W471" s="27"/>
      <c r="X471" s="27"/>
      <c r="Y471" s="27"/>
      <c r="Z471" s="27" t="s">
        <v>1938</v>
      </c>
      <c r="AA471" s="29">
        <v>2</v>
      </c>
      <c r="AB471" s="30">
        <f>AA471/0.0052</f>
        <v>384.61538461538464</v>
      </c>
      <c r="AC471" s="30">
        <f>AB471*0.089*24*365/10^6</f>
        <v>0.29986153846153851</v>
      </c>
      <c r="AD471" s="30"/>
      <c r="AE471" s="30">
        <f>AB471</f>
        <v>384.61538461538464</v>
      </c>
      <c r="AF471" s="28" t="s">
        <v>2429</v>
      </c>
      <c r="AG471" s="28"/>
    </row>
    <row r="472" spans="1:33" ht="32.25" customHeight="1" x14ac:dyDescent="0.2">
      <c r="A472" s="27">
        <v>788</v>
      </c>
      <c r="B472" s="27" t="s">
        <v>2430</v>
      </c>
      <c r="C472" s="27" t="s">
        <v>338</v>
      </c>
      <c r="D472" s="27">
        <v>2022</v>
      </c>
      <c r="E472" s="27"/>
      <c r="F472" s="27" t="s">
        <v>753</v>
      </c>
      <c r="G472" s="27" t="s">
        <v>266</v>
      </c>
      <c r="H472" s="27"/>
      <c r="I472" s="27" t="s">
        <v>768</v>
      </c>
      <c r="J472" s="27" t="s">
        <v>865</v>
      </c>
      <c r="K472" s="27" t="s">
        <v>377</v>
      </c>
      <c r="L472" s="27"/>
      <c r="M472" s="27"/>
      <c r="N472" s="27"/>
      <c r="O472" s="27"/>
      <c r="P472" s="27"/>
      <c r="Q472" s="27">
        <v>1</v>
      </c>
      <c r="R472" s="27"/>
      <c r="S472" s="27"/>
      <c r="T472" s="27"/>
      <c r="U472" s="27"/>
      <c r="V472" s="27"/>
      <c r="W472" s="27"/>
      <c r="X472" s="27"/>
      <c r="Y472" s="27"/>
      <c r="Z472" s="92" t="s">
        <v>4144</v>
      </c>
      <c r="AA472" s="92">
        <v>9.8378738905135723</v>
      </c>
      <c r="AB472" s="30"/>
      <c r="AC472" s="30"/>
      <c r="AD472" s="30"/>
      <c r="AE472" s="30"/>
      <c r="AF472" s="28" t="s">
        <v>2431</v>
      </c>
      <c r="AG472" s="28"/>
    </row>
    <row r="473" spans="1:33" ht="32.25" customHeight="1" x14ac:dyDescent="0.2">
      <c r="A473" s="27">
        <v>789</v>
      </c>
      <c r="B473" s="27" t="s">
        <v>2432</v>
      </c>
      <c r="C473" s="27" t="s">
        <v>347</v>
      </c>
      <c r="D473" s="27">
        <v>2021</v>
      </c>
      <c r="E473" s="27"/>
      <c r="F473" s="27" t="s">
        <v>754</v>
      </c>
      <c r="G473" s="27" t="s">
        <v>758</v>
      </c>
      <c r="H473" s="27" t="s">
        <v>1406</v>
      </c>
      <c r="I473" s="27" t="s">
        <v>768</v>
      </c>
      <c r="J473" s="27" t="s">
        <v>861</v>
      </c>
      <c r="K473" s="27" t="s">
        <v>377</v>
      </c>
      <c r="L473" s="27"/>
      <c r="M473" s="27"/>
      <c r="N473" s="27"/>
      <c r="O473" s="27"/>
      <c r="P473" s="27"/>
      <c r="Q473" s="27">
        <v>1</v>
      </c>
      <c r="R473" s="27"/>
      <c r="S473" s="27"/>
      <c r="T473" s="27"/>
      <c r="U473" s="27"/>
      <c r="V473" s="27"/>
      <c r="W473" s="27"/>
      <c r="X473" s="27"/>
      <c r="Y473" s="27"/>
      <c r="Z473" s="27" t="s">
        <v>1938</v>
      </c>
      <c r="AA473" s="29">
        <v>2</v>
      </c>
      <c r="AB473" s="30">
        <f>AA473/0.0045</f>
        <v>444.44444444444446</v>
      </c>
      <c r="AC473" s="30">
        <f>AB473*0.089*24*365/10^6</f>
        <v>0.34650666666666669</v>
      </c>
      <c r="AD473" s="30"/>
      <c r="AE473" s="30">
        <f>AB473</f>
        <v>444.44444444444446</v>
      </c>
      <c r="AF473" s="28" t="s">
        <v>2433</v>
      </c>
      <c r="AG473" s="28"/>
    </row>
    <row r="474" spans="1:33" ht="32.25" customHeight="1" x14ac:dyDescent="0.2">
      <c r="A474" s="27">
        <v>790</v>
      </c>
      <c r="B474" s="27" t="s">
        <v>2434</v>
      </c>
      <c r="C474" s="27" t="s">
        <v>350</v>
      </c>
      <c r="D474" s="27">
        <v>2021</v>
      </c>
      <c r="E474" s="27"/>
      <c r="F474" s="27" t="s">
        <v>754</v>
      </c>
      <c r="G474" s="27" t="s">
        <v>266</v>
      </c>
      <c r="H474" s="27"/>
      <c r="I474" s="27" t="s">
        <v>768</v>
      </c>
      <c r="J474" s="27" t="s">
        <v>865</v>
      </c>
      <c r="K474" s="27" t="s">
        <v>377</v>
      </c>
      <c r="L474" s="27"/>
      <c r="M474" s="27"/>
      <c r="N474" s="27"/>
      <c r="O474" s="27"/>
      <c r="P474" s="27"/>
      <c r="Q474" s="27">
        <v>1</v>
      </c>
      <c r="R474" s="27">
        <v>1</v>
      </c>
      <c r="S474" s="27"/>
      <c r="T474" s="27"/>
      <c r="U474" s="27"/>
      <c r="V474" s="27"/>
      <c r="W474" s="27"/>
      <c r="X474" s="27"/>
      <c r="Y474" s="27"/>
      <c r="Z474" s="27" t="s">
        <v>2435</v>
      </c>
      <c r="AA474" s="29">
        <v>1.5</v>
      </c>
      <c r="AB474" s="30">
        <v>250</v>
      </c>
      <c r="AC474" s="30">
        <f>AB474*0.089*24*365/10^6</f>
        <v>0.19491</v>
      </c>
      <c r="AD474" s="30"/>
      <c r="AE474" s="30">
        <f>AB474</f>
        <v>250</v>
      </c>
      <c r="AF474" s="28" t="s">
        <v>2436</v>
      </c>
      <c r="AG474" s="28"/>
    </row>
    <row r="475" spans="1:33" ht="32.25" customHeight="1" x14ac:dyDescent="0.2">
      <c r="A475" s="27">
        <v>791</v>
      </c>
      <c r="B475" s="27" t="s">
        <v>2437</v>
      </c>
      <c r="C475" s="27" t="s">
        <v>347</v>
      </c>
      <c r="D475" s="27">
        <v>2021</v>
      </c>
      <c r="E475" s="27"/>
      <c r="F475" s="27" t="s">
        <v>754</v>
      </c>
      <c r="G475" s="27" t="s">
        <v>758</v>
      </c>
      <c r="H475" s="27" t="s">
        <v>1406</v>
      </c>
      <c r="I475" s="27" t="s">
        <v>866</v>
      </c>
      <c r="J475" s="27"/>
      <c r="K475" s="27" t="s">
        <v>377</v>
      </c>
      <c r="L475" s="27"/>
      <c r="M475" s="27"/>
      <c r="N475" s="27"/>
      <c r="O475" s="27"/>
      <c r="P475" s="27"/>
      <c r="Q475" s="27"/>
      <c r="R475" s="27">
        <v>1</v>
      </c>
      <c r="S475" s="27"/>
      <c r="T475" s="27"/>
      <c r="U475" s="27"/>
      <c r="V475" s="27"/>
      <c r="W475" s="27"/>
      <c r="X475" s="27"/>
      <c r="Y475" s="27"/>
      <c r="Z475" s="27" t="s">
        <v>1896</v>
      </c>
      <c r="AA475" s="29">
        <v>1</v>
      </c>
      <c r="AB475" s="30">
        <f>AA475/0.0045</f>
        <v>222.22222222222223</v>
      </c>
      <c r="AC475" s="30">
        <f>AB475*0.089*24*365/10^6</f>
        <v>0.17325333333333334</v>
      </c>
      <c r="AD475" s="30"/>
      <c r="AE475" s="30">
        <f>AB475</f>
        <v>222.22222222222223</v>
      </c>
      <c r="AF475" s="28" t="s">
        <v>2056</v>
      </c>
      <c r="AG475" s="28"/>
    </row>
    <row r="476" spans="1:33" ht="32.25" customHeight="1" x14ac:dyDescent="0.2">
      <c r="A476" s="27">
        <v>792</v>
      </c>
      <c r="B476" s="27" t="s">
        <v>2438</v>
      </c>
      <c r="C476" s="27" t="s">
        <v>804</v>
      </c>
      <c r="D476" s="27">
        <v>2021</v>
      </c>
      <c r="E476" s="27"/>
      <c r="F476" s="27" t="s">
        <v>754</v>
      </c>
      <c r="G476" s="27" t="s">
        <v>267</v>
      </c>
      <c r="H476" s="27"/>
      <c r="I476" s="27" t="s">
        <v>866</v>
      </c>
      <c r="J476" s="27"/>
      <c r="K476" s="27" t="s">
        <v>766</v>
      </c>
      <c r="L476" s="27"/>
      <c r="M476" s="27"/>
      <c r="N476" s="27"/>
      <c r="O476" s="27"/>
      <c r="P476" s="27"/>
      <c r="Q476" s="27"/>
      <c r="R476" s="27"/>
      <c r="S476" s="27"/>
      <c r="T476" s="27"/>
      <c r="U476" s="27"/>
      <c r="V476" s="27"/>
      <c r="W476" s="27">
        <v>1</v>
      </c>
      <c r="X476" s="27"/>
      <c r="Y476" s="27"/>
      <c r="Z476" s="27" t="s">
        <v>1932</v>
      </c>
      <c r="AA476" s="29">
        <v>0.25</v>
      </c>
      <c r="AB476" s="30">
        <f>AA476/0.0038</f>
        <v>65.78947368421052</v>
      </c>
      <c r="AC476" s="30">
        <f>AB476*0.089*24*365/10^6</f>
        <v>5.1292105263157896E-2</v>
      </c>
      <c r="AD476" s="30"/>
      <c r="AE476" s="30">
        <f>AB476</f>
        <v>65.78947368421052</v>
      </c>
      <c r="AF476" s="28" t="s">
        <v>2439</v>
      </c>
      <c r="AG476" s="28"/>
    </row>
    <row r="477" spans="1:33" ht="32.25" customHeight="1" x14ac:dyDescent="0.2">
      <c r="A477" s="27">
        <v>793</v>
      </c>
      <c r="B477" s="27" t="s">
        <v>2440</v>
      </c>
      <c r="C477" s="27" t="s">
        <v>804</v>
      </c>
      <c r="D477" s="27">
        <v>2021</v>
      </c>
      <c r="E477" s="27"/>
      <c r="F477" s="27" t="s">
        <v>916</v>
      </c>
      <c r="G477" s="27" t="s">
        <v>267</v>
      </c>
      <c r="H477" s="27"/>
      <c r="I477" s="27" t="s">
        <v>756</v>
      </c>
      <c r="J477" s="27"/>
      <c r="K477" s="27" t="s">
        <v>739</v>
      </c>
      <c r="L477" s="27"/>
      <c r="M477" s="27"/>
      <c r="N477" s="27">
        <v>1</v>
      </c>
      <c r="O477" s="27"/>
      <c r="P477" s="27"/>
      <c r="Q477" s="27"/>
      <c r="R477" s="27"/>
      <c r="S477" s="27"/>
      <c r="T477" s="27"/>
      <c r="U477" s="27"/>
      <c r="V477" s="27"/>
      <c r="W477" s="27"/>
      <c r="X477" s="27"/>
      <c r="Y477" s="27"/>
      <c r="Z477" s="27" t="s">
        <v>1896</v>
      </c>
      <c r="AA477" s="29">
        <v>1</v>
      </c>
      <c r="AB477" s="30">
        <f>IF(OR(G477="ALK",G477="PEM",G477="SOEC",G477="Other Electrolysis"),
AA477/VLOOKUP(G477,ElectrolysisConvF,3,FALSE),
AC477*10^6/(H2dens*HoursInYear))</f>
        <v>263.15789473684208</v>
      </c>
      <c r="AC477" s="30">
        <f>AB477*H2dens*HoursInYear/10^6</f>
        <v>0.20516842105263158</v>
      </c>
      <c r="AD477" s="30"/>
      <c r="AE477" s="30">
        <f>IF(AND(G477&lt;&gt;"NG w CCUS",G477&lt;&gt;"Oil w CCUS",G477&lt;&gt;"Coal w CCUS"),AB477,AD477*10^3/(HoursInYear*IF(G477="NG w CCUS",0.9105,1.9075)))</f>
        <v>263.15789473684208</v>
      </c>
      <c r="AF477" s="28" t="s">
        <v>3311</v>
      </c>
      <c r="AG477" s="28"/>
    </row>
    <row r="478" spans="1:33" ht="32.25" customHeight="1" x14ac:dyDescent="0.2">
      <c r="A478" s="27">
        <v>794</v>
      </c>
      <c r="B478" s="27" t="s">
        <v>2441</v>
      </c>
      <c r="C478" s="27" t="s">
        <v>336</v>
      </c>
      <c r="D478" s="27">
        <v>2030</v>
      </c>
      <c r="E478" s="27"/>
      <c r="F478" s="27" t="s">
        <v>832</v>
      </c>
      <c r="G478" s="27" t="s">
        <v>759</v>
      </c>
      <c r="H478" s="27" t="s">
        <v>2442</v>
      </c>
      <c r="I478" s="27"/>
      <c r="J478" s="27"/>
      <c r="K478" s="27" t="s">
        <v>377</v>
      </c>
      <c r="L478" s="27"/>
      <c r="M478" s="27"/>
      <c r="N478" s="27"/>
      <c r="O478" s="27"/>
      <c r="P478" s="27"/>
      <c r="Q478" s="27"/>
      <c r="R478" s="27"/>
      <c r="S478" s="27"/>
      <c r="T478" s="27"/>
      <c r="U478" s="27"/>
      <c r="V478" s="27"/>
      <c r="W478" s="27"/>
      <c r="X478" s="27"/>
      <c r="Y478" s="27"/>
      <c r="Z478" s="27" t="s">
        <v>2443</v>
      </c>
      <c r="AA478" s="29"/>
      <c r="AB478" s="30">
        <f>AC478/0.089*10^6/24/365</f>
        <v>360486.89138576784</v>
      </c>
      <c r="AC478" s="30">
        <f>770*365/1000</f>
        <v>281.05</v>
      </c>
      <c r="AD478" s="30">
        <f>4.39*10^6</f>
        <v>4390000</v>
      </c>
      <c r="AE478" s="30">
        <f>AD478*1000/(24*365*1.9075)</f>
        <v>262721.6526927473</v>
      </c>
      <c r="AF478" s="28" t="s">
        <v>2444</v>
      </c>
      <c r="AG478" s="28"/>
    </row>
    <row r="479" spans="1:33" ht="32.25" customHeight="1" x14ac:dyDescent="0.2">
      <c r="A479" s="27">
        <v>795</v>
      </c>
      <c r="B479" s="27" t="s">
        <v>2445</v>
      </c>
      <c r="C479" s="27" t="s">
        <v>347</v>
      </c>
      <c r="D479" s="27">
        <v>2026</v>
      </c>
      <c r="E479" s="27"/>
      <c r="F479" s="27" t="s">
        <v>832</v>
      </c>
      <c r="G479" s="27" t="s">
        <v>760</v>
      </c>
      <c r="H479" s="27" t="s">
        <v>1437</v>
      </c>
      <c r="I479" s="27"/>
      <c r="J479" s="27"/>
      <c r="K479" s="27" t="s">
        <v>377</v>
      </c>
      <c r="L479" s="27">
        <v>1</v>
      </c>
      <c r="M479" s="27"/>
      <c r="N479" s="27"/>
      <c r="O479" s="27"/>
      <c r="P479" s="27"/>
      <c r="Q479" s="27"/>
      <c r="R479" s="27"/>
      <c r="S479" s="27">
        <v>1</v>
      </c>
      <c r="T479" s="27"/>
      <c r="U479" s="27"/>
      <c r="V479" s="27"/>
      <c r="W479" s="27"/>
      <c r="X479" s="27"/>
      <c r="Y479" s="27"/>
      <c r="Z479" s="27" t="s">
        <v>2446</v>
      </c>
      <c r="AA479" s="29"/>
      <c r="AB479" s="30">
        <f>AC479/(0.089*24*365/10^6)</f>
        <v>128264.32712533989</v>
      </c>
      <c r="AC479" s="30">
        <v>100</v>
      </c>
      <c r="AD479" s="30">
        <v>900000</v>
      </c>
      <c r="AE479" s="64">
        <f>AD479*1000/(365*24*0.9105)</f>
        <v>112838.79849247365</v>
      </c>
      <c r="AF479" s="28" t="s">
        <v>2447</v>
      </c>
      <c r="AG479" s="28"/>
    </row>
    <row r="480" spans="1:33" ht="32.25" customHeight="1" x14ac:dyDescent="0.2">
      <c r="A480" s="27">
        <v>796</v>
      </c>
      <c r="B480" s="27" t="s">
        <v>2448</v>
      </c>
      <c r="C480" s="27" t="s">
        <v>360</v>
      </c>
      <c r="D480" s="27">
        <v>2025</v>
      </c>
      <c r="E480" s="27"/>
      <c r="F480" s="27" t="s">
        <v>832</v>
      </c>
      <c r="G480" s="27" t="s">
        <v>760</v>
      </c>
      <c r="H480" s="27" t="s">
        <v>1970</v>
      </c>
      <c r="I480" s="27"/>
      <c r="J480" s="27"/>
      <c r="K480" s="27" t="s">
        <v>377</v>
      </c>
      <c r="L480" s="27">
        <v>1</v>
      </c>
      <c r="M480" s="27"/>
      <c r="N480" s="27"/>
      <c r="O480" s="27"/>
      <c r="P480" s="27"/>
      <c r="Q480" s="27"/>
      <c r="R480" s="27"/>
      <c r="S480" s="27"/>
      <c r="T480" s="27"/>
      <c r="U480" s="27"/>
      <c r="V480" s="27"/>
      <c r="W480" s="27"/>
      <c r="X480" s="27"/>
      <c r="Y480" s="27"/>
      <c r="Z480" s="27" t="s">
        <v>2449</v>
      </c>
      <c r="AA480" s="29"/>
      <c r="AB480" s="30"/>
      <c r="AC480" s="30"/>
      <c r="AD480" s="30">
        <v>500000</v>
      </c>
      <c r="AE480" s="64">
        <f>AD480*1000/(365*24*0.9105)</f>
        <v>62688.221384707591</v>
      </c>
      <c r="AF480" s="28" t="s">
        <v>2450</v>
      </c>
      <c r="AG480" s="28"/>
    </row>
    <row r="481" spans="1:33" ht="32.25" customHeight="1" x14ac:dyDescent="0.2">
      <c r="A481" s="27">
        <v>797</v>
      </c>
      <c r="B481" s="27" t="s">
        <v>2451</v>
      </c>
      <c r="C481" s="27" t="s">
        <v>331</v>
      </c>
      <c r="D481" s="27">
        <v>2021</v>
      </c>
      <c r="E481" s="27"/>
      <c r="F481" s="27" t="s">
        <v>916</v>
      </c>
      <c r="G481" s="27" t="s">
        <v>266</v>
      </c>
      <c r="H481" s="27"/>
      <c r="I481" s="27" t="s">
        <v>756</v>
      </c>
      <c r="J481" s="27"/>
      <c r="K481" s="27" t="s">
        <v>767</v>
      </c>
      <c r="L481" s="27"/>
      <c r="M481" s="27"/>
      <c r="N481" s="27"/>
      <c r="O481" s="27"/>
      <c r="P481" s="27"/>
      <c r="Q481" s="27">
        <v>1</v>
      </c>
      <c r="R481" s="27"/>
      <c r="S481" s="27"/>
      <c r="T481" s="27"/>
      <c r="U481" s="27"/>
      <c r="V481" s="27"/>
      <c r="W481" s="27"/>
      <c r="X481" s="27">
        <v>1</v>
      </c>
      <c r="Y481" s="27">
        <v>1</v>
      </c>
      <c r="Z481" s="27" t="s">
        <v>1932</v>
      </c>
      <c r="AA481" s="29">
        <f>AB481*0.0052</f>
        <v>1.04</v>
      </c>
      <c r="AB481" s="30">
        <v>200</v>
      </c>
      <c r="AC481" s="30">
        <f>AB481*0.089*24*365/10^6</f>
        <v>0.15592800000000004</v>
      </c>
      <c r="AD481" s="30"/>
      <c r="AE481" s="30">
        <f>AB481</f>
        <v>200</v>
      </c>
      <c r="AF481" s="28" t="s">
        <v>2452</v>
      </c>
      <c r="AG481" s="28"/>
    </row>
    <row r="482" spans="1:33" ht="32.25" customHeight="1" x14ac:dyDescent="0.2">
      <c r="A482" s="27">
        <v>798</v>
      </c>
      <c r="B482" s="27" t="s">
        <v>2453</v>
      </c>
      <c r="C482" s="27" t="s">
        <v>336</v>
      </c>
      <c r="D482" s="27">
        <v>2022</v>
      </c>
      <c r="E482" s="27"/>
      <c r="F482" s="27" t="s">
        <v>754</v>
      </c>
      <c r="G482" s="27" t="s">
        <v>266</v>
      </c>
      <c r="H482" s="27"/>
      <c r="I482" s="27" t="s">
        <v>756</v>
      </c>
      <c r="J482" s="27"/>
      <c r="K482" s="27" t="s">
        <v>377</v>
      </c>
      <c r="L482" s="27"/>
      <c r="M482" s="27"/>
      <c r="N482" s="27"/>
      <c r="O482" s="27"/>
      <c r="P482" s="27"/>
      <c r="Q482" s="27"/>
      <c r="R482" s="27"/>
      <c r="S482" s="27">
        <v>1</v>
      </c>
      <c r="T482" s="27"/>
      <c r="U482" s="27"/>
      <c r="V482" s="27"/>
      <c r="W482" s="27"/>
      <c r="X482" s="27"/>
      <c r="Y482" s="27"/>
      <c r="Z482" s="27" t="s">
        <v>2454</v>
      </c>
      <c r="AA482" s="29">
        <v>0.17499999999999999</v>
      </c>
      <c r="AB482" s="30">
        <f>AA482/0.0052</f>
        <v>33.653846153846153</v>
      </c>
      <c r="AC482" s="30">
        <f>AB482*0.089*24*365/10^6</f>
        <v>2.6237884615384618E-2</v>
      </c>
      <c r="AD482" s="30"/>
      <c r="AE482" s="30">
        <f>AB482</f>
        <v>33.653846153846153</v>
      </c>
      <c r="AF482" s="28" t="s">
        <v>2455</v>
      </c>
      <c r="AG482" s="28"/>
    </row>
    <row r="483" spans="1:33" ht="32.25" customHeight="1" x14ac:dyDescent="0.2">
      <c r="A483" s="27">
        <v>799</v>
      </c>
      <c r="B483" s="27" t="s">
        <v>2456</v>
      </c>
      <c r="C483" s="27" t="s">
        <v>336</v>
      </c>
      <c r="D483" s="27">
        <v>2021</v>
      </c>
      <c r="E483" s="27"/>
      <c r="F483" s="27" t="s">
        <v>836</v>
      </c>
      <c r="G483" s="27" t="s">
        <v>758</v>
      </c>
      <c r="H483" s="27" t="s">
        <v>1406</v>
      </c>
      <c r="I483" s="27" t="s">
        <v>866</v>
      </c>
      <c r="J483" s="27"/>
      <c r="K483" s="27" t="s">
        <v>377</v>
      </c>
      <c r="L483" s="27"/>
      <c r="M483" s="27"/>
      <c r="N483" s="27"/>
      <c r="O483" s="27"/>
      <c r="P483" s="27"/>
      <c r="Q483" s="27">
        <v>1</v>
      </c>
      <c r="R483" s="27"/>
      <c r="S483" s="27"/>
      <c r="T483" s="27"/>
      <c r="U483" s="27"/>
      <c r="V483" s="27"/>
      <c r="W483" s="27"/>
      <c r="X483" s="27"/>
      <c r="Y483" s="27"/>
      <c r="Z483" s="27" t="s">
        <v>1591</v>
      </c>
      <c r="AA483" s="29">
        <v>0.2</v>
      </c>
      <c r="AB483" s="30">
        <f>AA483/0.0045</f>
        <v>44.44444444444445</v>
      </c>
      <c r="AC483" s="30">
        <f>AB483*0.089*24*365/10^6</f>
        <v>3.465066666666667E-2</v>
      </c>
      <c r="AD483" s="30"/>
      <c r="AE483" s="30">
        <f>AB483</f>
        <v>44.44444444444445</v>
      </c>
      <c r="AF483" s="28" t="s">
        <v>2785</v>
      </c>
      <c r="AG483" s="28"/>
    </row>
    <row r="484" spans="1:33" ht="32.25" customHeight="1" x14ac:dyDescent="0.2">
      <c r="A484" s="27">
        <v>800</v>
      </c>
      <c r="B484" s="27" t="s">
        <v>2457</v>
      </c>
      <c r="C484" s="27" t="s">
        <v>347</v>
      </c>
      <c r="D484" s="27">
        <v>2022</v>
      </c>
      <c r="E484" s="27"/>
      <c r="F484" s="27" t="s">
        <v>832</v>
      </c>
      <c r="G484" s="27" t="s">
        <v>266</v>
      </c>
      <c r="H484" s="27"/>
      <c r="I484" s="27" t="s">
        <v>768</v>
      </c>
      <c r="J484" s="27" t="s">
        <v>865</v>
      </c>
      <c r="K484" s="27" t="s">
        <v>377</v>
      </c>
      <c r="L484" s="27"/>
      <c r="M484" s="27"/>
      <c r="N484" s="27"/>
      <c r="O484" s="27"/>
      <c r="P484" s="27">
        <v>1</v>
      </c>
      <c r="Q484" s="27">
        <v>1</v>
      </c>
      <c r="R484" s="27"/>
      <c r="S484" s="27"/>
      <c r="T484" s="27"/>
      <c r="U484" s="27"/>
      <c r="V484" s="27"/>
      <c r="W484" s="27"/>
      <c r="X484" s="27"/>
      <c r="Y484" s="27"/>
      <c r="Z484" s="27" t="s">
        <v>1407</v>
      </c>
      <c r="AA484" s="29">
        <v>10</v>
      </c>
      <c r="AB484" s="30">
        <f>AA484/0.0052</f>
        <v>1923.0769230769231</v>
      </c>
      <c r="AC484" s="30">
        <f>AB484*0.089*24*365/10^6</f>
        <v>1.4993076923076922</v>
      </c>
      <c r="AD484" s="30"/>
      <c r="AE484" s="30">
        <f>AB484</f>
        <v>1923.0769230769231</v>
      </c>
      <c r="AF484" s="28" t="s">
        <v>2458</v>
      </c>
      <c r="AG484" s="74" t="s">
        <v>4071</v>
      </c>
    </row>
    <row r="485" spans="1:33" ht="32.25" customHeight="1" x14ac:dyDescent="0.2">
      <c r="A485" s="27">
        <v>803</v>
      </c>
      <c r="B485" s="27" t="s">
        <v>2459</v>
      </c>
      <c r="C485" s="27" t="s">
        <v>338</v>
      </c>
      <c r="D485" s="27">
        <v>2021</v>
      </c>
      <c r="E485" s="27"/>
      <c r="F485" s="27" t="s">
        <v>754</v>
      </c>
      <c r="G485" s="27" t="s">
        <v>759</v>
      </c>
      <c r="H485" s="27" t="s">
        <v>2442</v>
      </c>
      <c r="I485" s="27"/>
      <c r="J485" s="27"/>
      <c r="K485" s="27" t="s">
        <v>377</v>
      </c>
      <c r="L485" s="27">
        <v>1</v>
      </c>
      <c r="M485" s="27"/>
      <c r="N485" s="27"/>
      <c r="O485" s="27"/>
      <c r="P485" s="27"/>
      <c r="Q485" s="27"/>
      <c r="R485" s="27"/>
      <c r="S485" s="27"/>
      <c r="T485" s="27"/>
      <c r="U485" s="27"/>
      <c r="V485" s="27"/>
      <c r="W485" s="27"/>
      <c r="X485" s="27"/>
      <c r="Y485" s="27"/>
      <c r="Z485" s="27" t="s">
        <v>2460</v>
      </c>
      <c r="AA485" s="29"/>
      <c r="AB485" s="30"/>
      <c r="AC485" s="30"/>
      <c r="AD485" s="30">
        <v>410000</v>
      </c>
      <c r="AE485" s="30">
        <f>AD485*1000/(24*365*1.9075)</f>
        <v>24536.646379049293</v>
      </c>
      <c r="AF485" s="28" t="s">
        <v>2461</v>
      </c>
      <c r="AG485" s="28"/>
    </row>
    <row r="486" spans="1:33" ht="32.25" customHeight="1" x14ac:dyDescent="0.2">
      <c r="A486" s="27">
        <v>804</v>
      </c>
      <c r="B486" s="27" t="s">
        <v>2462</v>
      </c>
      <c r="C486" s="27" t="s">
        <v>336</v>
      </c>
      <c r="D486" s="27">
        <v>2021</v>
      </c>
      <c r="E486" s="27"/>
      <c r="F486" s="27" t="s">
        <v>754</v>
      </c>
      <c r="G486" s="27" t="s">
        <v>762</v>
      </c>
      <c r="H486" s="27" t="s">
        <v>3256</v>
      </c>
      <c r="I486" s="27"/>
      <c r="J486" s="27"/>
      <c r="K486" s="27" t="s">
        <v>377</v>
      </c>
      <c r="L486" s="27"/>
      <c r="M486" s="27"/>
      <c r="N486" s="27"/>
      <c r="O486" s="27"/>
      <c r="P486" s="27"/>
      <c r="Q486" s="27"/>
      <c r="R486" s="27"/>
      <c r="S486" s="27"/>
      <c r="T486" s="27"/>
      <c r="U486" s="27"/>
      <c r="V486" s="27"/>
      <c r="W486" s="27"/>
      <c r="X486" s="27"/>
      <c r="Y486" s="27"/>
      <c r="Z486" s="27" t="s">
        <v>3258</v>
      </c>
      <c r="AA486" s="29"/>
      <c r="AB486" s="30">
        <f>AC486/(0.089*24*365/10^6)</f>
        <v>128.26432712533989</v>
      </c>
      <c r="AC486" s="30">
        <v>0.1</v>
      </c>
      <c r="AD486" s="30"/>
      <c r="AE486" s="30">
        <f>AB486</f>
        <v>128.26432712533989</v>
      </c>
      <c r="AF486" s="28" t="s">
        <v>3257</v>
      </c>
      <c r="AG486" s="28"/>
    </row>
    <row r="487" spans="1:33" ht="32.25" customHeight="1" x14ac:dyDescent="0.2">
      <c r="A487" s="27">
        <v>805</v>
      </c>
      <c r="B487" s="27" t="s">
        <v>2463</v>
      </c>
      <c r="C487" s="27" t="s">
        <v>348</v>
      </c>
      <c r="D487" s="27">
        <v>2022</v>
      </c>
      <c r="E487" s="27"/>
      <c r="F487" s="27" t="s">
        <v>832</v>
      </c>
      <c r="G487" s="27" t="s">
        <v>268</v>
      </c>
      <c r="H487" s="27"/>
      <c r="I487" s="27" t="s">
        <v>768</v>
      </c>
      <c r="J487" s="27" t="s">
        <v>865</v>
      </c>
      <c r="K487" s="27" t="s">
        <v>377</v>
      </c>
      <c r="L487" s="27"/>
      <c r="M487" s="27"/>
      <c r="N487" s="27"/>
      <c r="O487" s="27"/>
      <c r="P487" s="27"/>
      <c r="Q487" s="27"/>
      <c r="R487" s="27"/>
      <c r="S487" s="27"/>
      <c r="T487" s="27"/>
      <c r="U487" s="27"/>
      <c r="V487" s="27">
        <v>1</v>
      </c>
      <c r="W487" s="27"/>
      <c r="X487" s="27"/>
      <c r="Y487" s="27"/>
      <c r="Z487" s="27" t="s">
        <v>2464</v>
      </c>
      <c r="AA487" s="29">
        <v>310</v>
      </c>
      <c r="AB487" s="30">
        <f>AA487/0.0046</f>
        <v>67391.304347826095</v>
      </c>
      <c r="AC487" s="30">
        <f>AB487*0.089*24*365/10^6</f>
        <v>52.54095652173914</v>
      </c>
      <c r="AD487" s="30"/>
      <c r="AE487" s="30">
        <f>AB487</f>
        <v>67391.304347826095</v>
      </c>
      <c r="AF487" s="28" t="s">
        <v>3038</v>
      </c>
      <c r="AG487" s="87" t="s">
        <v>3979</v>
      </c>
    </row>
    <row r="488" spans="1:33" ht="32.25" customHeight="1" x14ac:dyDescent="0.2">
      <c r="A488" s="27">
        <v>806</v>
      </c>
      <c r="B488" s="27" t="s">
        <v>2883</v>
      </c>
      <c r="C488" s="27" t="s">
        <v>804</v>
      </c>
      <c r="D488" s="27">
        <v>2022</v>
      </c>
      <c r="E488" s="27"/>
      <c r="F488" s="75" t="s">
        <v>832</v>
      </c>
      <c r="G488" s="27" t="s">
        <v>268</v>
      </c>
      <c r="H488" s="27"/>
      <c r="I488" s="27" t="s">
        <v>768</v>
      </c>
      <c r="J488" s="27" t="s">
        <v>865</v>
      </c>
      <c r="K488" s="27" t="s">
        <v>377</v>
      </c>
      <c r="L488" s="27"/>
      <c r="M488" s="27"/>
      <c r="N488" s="27"/>
      <c r="O488" s="27"/>
      <c r="P488" s="27"/>
      <c r="Q488" s="27"/>
      <c r="R488" s="27"/>
      <c r="S488" s="27"/>
      <c r="T488" s="27"/>
      <c r="U488" s="27"/>
      <c r="V488" s="27"/>
      <c r="W488" s="27"/>
      <c r="X488" s="27"/>
      <c r="Y488" s="27"/>
      <c r="Z488" s="27" t="s">
        <v>2988</v>
      </c>
      <c r="AA488" s="29">
        <v>20</v>
      </c>
      <c r="AB488" s="30">
        <f>AA488/0.0046</f>
        <v>4347.826086956522</v>
      </c>
      <c r="AC488" s="30">
        <f>AB488*0.089*24*365/10^6</f>
        <v>3.3897391304347821</v>
      </c>
      <c r="AD488" s="30"/>
      <c r="AE488" s="30">
        <f>AB488</f>
        <v>4347.826086956522</v>
      </c>
      <c r="AF488" s="28" t="s">
        <v>2465</v>
      </c>
      <c r="AG488" s="76" t="s">
        <v>4061</v>
      </c>
    </row>
    <row r="489" spans="1:33" ht="32.25" customHeight="1" x14ac:dyDescent="0.2">
      <c r="A489" s="27">
        <v>807</v>
      </c>
      <c r="B489" s="27" t="s">
        <v>2466</v>
      </c>
      <c r="C489" s="27" t="s">
        <v>331</v>
      </c>
      <c r="D489" s="27">
        <v>2022</v>
      </c>
      <c r="E489" s="27"/>
      <c r="F489" s="27" t="s">
        <v>832</v>
      </c>
      <c r="G489" s="27" t="s">
        <v>268</v>
      </c>
      <c r="H489" s="27"/>
      <c r="I489" s="27" t="s">
        <v>765</v>
      </c>
      <c r="J489" s="27"/>
      <c r="K489" s="27" t="s">
        <v>377</v>
      </c>
      <c r="L489" s="27">
        <v>1</v>
      </c>
      <c r="M489" s="27"/>
      <c r="N489" s="27"/>
      <c r="O489" s="27"/>
      <c r="P489" s="27">
        <v>1</v>
      </c>
      <c r="Q489" s="27">
        <v>1</v>
      </c>
      <c r="R489" s="27"/>
      <c r="S489" s="27"/>
      <c r="T489" s="27"/>
      <c r="U489" s="27"/>
      <c r="V489" s="27"/>
      <c r="W489" s="27"/>
      <c r="X489" s="27"/>
      <c r="Y489" s="27"/>
      <c r="Z489" s="27" t="s">
        <v>2021</v>
      </c>
      <c r="AA489" s="29">
        <v>100</v>
      </c>
      <c r="AB489" s="30">
        <f>AA489/0.0045</f>
        <v>22222.222222222223</v>
      </c>
      <c r="AC489" s="30">
        <f>AB489*0.089*24*365/10^6</f>
        <v>17.325333333333337</v>
      </c>
      <c r="AD489" s="30"/>
      <c r="AE489" s="30">
        <f>AB489</f>
        <v>22222.222222222223</v>
      </c>
      <c r="AF489" s="28" t="s">
        <v>2467</v>
      </c>
      <c r="AG489" s="74" t="s">
        <v>3995</v>
      </c>
    </row>
    <row r="490" spans="1:33" ht="32.25" customHeight="1" x14ac:dyDescent="0.2">
      <c r="A490" s="27">
        <v>808</v>
      </c>
      <c r="B490" s="27" t="s">
        <v>2468</v>
      </c>
      <c r="C490" s="27" t="s">
        <v>331</v>
      </c>
      <c r="D490" s="27">
        <v>2022</v>
      </c>
      <c r="E490" s="27"/>
      <c r="F490" s="27" t="s">
        <v>832</v>
      </c>
      <c r="G490" s="27" t="s">
        <v>268</v>
      </c>
      <c r="H490" s="27"/>
      <c r="I490" s="27" t="s">
        <v>765</v>
      </c>
      <c r="J490" s="27"/>
      <c r="K490" s="27" t="s">
        <v>377</v>
      </c>
      <c r="L490" s="27"/>
      <c r="M490" s="27"/>
      <c r="N490" s="27"/>
      <c r="O490" s="27"/>
      <c r="P490" s="27"/>
      <c r="Q490" s="27"/>
      <c r="R490" s="27"/>
      <c r="S490" s="27">
        <v>1</v>
      </c>
      <c r="T490" s="27"/>
      <c r="U490" s="27"/>
      <c r="V490" s="27"/>
      <c r="W490" s="27"/>
      <c r="X490" s="27"/>
      <c r="Y490" s="27"/>
      <c r="Z490" s="27" t="s">
        <v>2021</v>
      </c>
      <c r="AA490" s="29">
        <v>100</v>
      </c>
      <c r="AB490" s="30">
        <f>AA490/0.0046</f>
        <v>21739.130434782608</v>
      </c>
      <c r="AC490" s="30">
        <f>AB490*0.089*24*365/10^6</f>
        <v>16.94869565217391</v>
      </c>
      <c r="AD490" s="30"/>
      <c r="AE490" s="30">
        <f>AB490</f>
        <v>21739.130434782608</v>
      </c>
      <c r="AF490" s="28" t="s">
        <v>2467</v>
      </c>
      <c r="AG490" s="74" t="s">
        <v>3999</v>
      </c>
    </row>
    <row r="491" spans="1:33" ht="32.25" customHeight="1" x14ac:dyDescent="0.2">
      <c r="A491" s="27">
        <v>809</v>
      </c>
      <c r="B491" s="27" t="s">
        <v>2469</v>
      </c>
      <c r="C491" s="27" t="s">
        <v>336</v>
      </c>
      <c r="D491" s="27">
        <v>2022</v>
      </c>
      <c r="E491" s="27"/>
      <c r="F491" s="27" t="s">
        <v>832</v>
      </c>
      <c r="G491" s="27" t="s">
        <v>268</v>
      </c>
      <c r="H491" s="27"/>
      <c r="I491" s="27" t="s">
        <v>768</v>
      </c>
      <c r="J491" s="27" t="s">
        <v>865</v>
      </c>
      <c r="K491" s="27" t="s">
        <v>377</v>
      </c>
      <c r="L491" s="27"/>
      <c r="M491" s="27"/>
      <c r="N491" s="27"/>
      <c r="O491" s="27"/>
      <c r="P491" s="27"/>
      <c r="Q491" s="27"/>
      <c r="R491" s="27"/>
      <c r="S491" s="27"/>
      <c r="T491" s="27"/>
      <c r="U491" s="27"/>
      <c r="V491" s="27"/>
      <c r="W491" s="27"/>
      <c r="X491" s="27"/>
      <c r="Y491" s="27"/>
      <c r="Z491" s="27" t="s">
        <v>1902</v>
      </c>
      <c r="AA491" s="29">
        <v>50</v>
      </c>
      <c r="AB491" s="30">
        <f>AA491/0.0045</f>
        <v>11111.111111111111</v>
      </c>
      <c r="AC491" s="30">
        <f>AB491*0.089*24*365/10^6</f>
        <v>8.6626666666666683</v>
      </c>
      <c r="AD491" s="30"/>
      <c r="AE491" s="30">
        <f>AB491</f>
        <v>11111.111111111111</v>
      </c>
      <c r="AF491" s="28" t="s">
        <v>2470</v>
      </c>
      <c r="AG491" s="74" t="s">
        <v>4005</v>
      </c>
    </row>
    <row r="492" spans="1:33" ht="32.25" customHeight="1" x14ac:dyDescent="0.2">
      <c r="A492" s="27">
        <v>811</v>
      </c>
      <c r="B492" s="27" t="s">
        <v>2471</v>
      </c>
      <c r="C492" s="27" t="s">
        <v>804</v>
      </c>
      <c r="D492" s="27">
        <v>2023</v>
      </c>
      <c r="E492" s="27"/>
      <c r="F492" s="27" t="s">
        <v>753</v>
      </c>
      <c r="G492" s="27" t="s">
        <v>268</v>
      </c>
      <c r="H492" s="27"/>
      <c r="I492" s="27" t="s">
        <v>768</v>
      </c>
      <c r="J492" s="27" t="s">
        <v>861</v>
      </c>
      <c r="K492" s="27" t="s">
        <v>377</v>
      </c>
      <c r="L492" s="27"/>
      <c r="M492" s="27"/>
      <c r="N492" s="27"/>
      <c r="O492" s="27"/>
      <c r="P492" s="27"/>
      <c r="Q492" s="27"/>
      <c r="R492" s="27"/>
      <c r="S492" s="27">
        <v>1</v>
      </c>
      <c r="T492" s="27">
        <v>1</v>
      </c>
      <c r="U492" s="27"/>
      <c r="V492" s="27"/>
      <c r="W492" s="27"/>
      <c r="X492" s="27"/>
      <c r="Y492" s="27"/>
      <c r="Z492" s="27" t="s">
        <v>1702</v>
      </c>
      <c r="AA492" s="29">
        <v>30</v>
      </c>
      <c r="AB492" s="30">
        <f>AA492/0.0046</f>
        <v>6521.739130434783</v>
      </c>
      <c r="AC492" s="30">
        <f>AB492*0.089*24*365/10^6</f>
        <v>5.0846086956521734</v>
      </c>
      <c r="AD492" s="30"/>
      <c r="AE492" s="30">
        <f>AB492</f>
        <v>6521.739130434783</v>
      </c>
      <c r="AF492" s="28" t="s">
        <v>3344</v>
      </c>
      <c r="AG492" s="28"/>
    </row>
    <row r="493" spans="1:33" ht="32.25" customHeight="1" x14ac:dyDescent="0.2">
      <c r="A493" s="27">
        <v>812</v>
      </c>
      <c r="B493" s="27" t="s">
        <v>2472</v>
      </c>
      <c r="C493" s="27" t="s">
        <v>347</v>
      </c>
      <c r="D493" s="27">
        <v>2022</v>
      </c>
      <c r="E493" s="27"/>
      <c r="F493" s="27" t="s">
        <v>832</v>
      </c>
      <c r="G493" s="27" t="s">
        <v>268</v>
      </c>
      <c r="H493" s="27"/>
      <c r="I493" s="27" t="s">
        <v>768</v>
      </c>
      <c r="J493" s="27" t="s">
        <v>863</v>
      </c>
      <c r="K493" s="27" t="s">
        <v>767</v>
      </c>
      <c r="L493" s="27"/>
      <c r="M493" s="27"/>
      <c r="N493" s="27">
        <v>1</v>
      </c>
      <c r="O493" s="27"/>
      <c r="P493" s="27">
        <v>1</v>
      </c>
      <c r="Q493" s="27"/>
      <c r="R493" s="27"/>
      <c r="S493" s="27"/>
      <c r="T493" s="27"/>
      <c r="U493" s="27"/>
      <c r="V493" s="27"/>
      <c r="W493" s="27"/>
      <c r="X493" s="27"/>
      <c r="Y493" s="27"/>
      <c r="Z493" s="27" t="s">
        <v>1403</v>
      </c>
      <c r="AA493" s="29">
        <v>20</v>
      </c>
      <c r="AB493" s="30">
        <f>AA493/0.0046</f>
        <v>4347.826086956522</v>
      </c>
      <c r="AC493" s="30">
        <f>AB493*0.089*24*365/10^6</f>
        <v>3.3897391304347821</v>
      </c>
      <c r="AD493" s="30"/>
      <c r="AE493" s="30">
        <f>AB493</f>
        <v>4347.826086956522</v>
      </c>
      <c r="AF493" s="28" t="s">
        <v>2884</v>
      </c>
      <c r="AG493" s="28"/>
    </row>
    <row r="494" spans="1:33" ht="32.25" customHeight="1" x14ac:dyDescent="0.2">
      <c r="A494" s="27">
        <v>813</v>
      </c>
      <c r="B494" s="27" t="s">
        <v>2473</v>
      </c>
      <c r="C494" s="27" t="s">
        <v>341</v>
      </c>
      <c r="D494" s="27">
        <v>2022</v>
      </c>
      <c r="E494" s="27"/>
      <c r="F494" s="27" t="s">
        <v>753</v>
      </c>
      <c r="G494" s="27" t="s">
        <v>266</v>
      </c>
      <c r="H494" s="27"/>
      <c r="I494" s="27" t="s">
        <v>756</v>
      </c>
      <c r="J494" s="27"/>
      <c r="K494" s="27" t="s">
        <v>377</v>
      </c>
      <c r="L494" s="27"/>
      <c r="M494" s="27"/>
      <c r="N494" s="27"/>
      <c r="O494" s="27"/>
      <c r="P494" s="27"/>
      <c r="Q494" s="27">
        <v>1</v>
      </c>
      <c r="R494" s="27"/>
      <c r="S494" s="27"/>
      <c r="T494" s="27"/>
      <c r="U494" s="27"/>
      <c r="V494" s="27"/>
      <c r="W494" s="27"/>
      <c r="X494" s="27"/>
      <c r="Y494" s="27"/>
      <c r="Z494" s="27" t="s">
        <v>2105</v>
      </c>
      <c r="AA494" s="29">
        <v>6</v>
      </c>
      <c r="AB494" s="30">
        <f>AA494/0.0052</f>
        <v>1153.8461538461538</v>
      </c>
      <c r="AC494" s="30">
        <f>AB494*0.089*24*365/10^6</f>
        <v>0.8995846153846152</v>
      </c>
      <c r="AD494" s="30"/>
      <c r="AE494" s="30">
        <f>AB494</f>
        <v>1153.8461538461538</v>
      </c>
      <c r="AF494" s="28" t="s">
        <v>2474</v>
      </c>
      <c r="AG494" s="28"/>
    </row>
    <row r="495" spans="1:33" ht="32.25" customHeight="1" x14ac:dyDescent="0.2">
      <c r="A495" s="27">
        <v>814</v>
      </c>
      <c r="B495" s="27" t="s">
        <v>2475</v>
      </c>
      <c r="C495" s="27" t="s">
        <v>804</v>
      </c>
      <c r="D495" s="27">
        <v>2022</v>
      </c>
      <c r="E495" s="27"/>
      <c r="F495" s="27" t="s">
        <v>916</v>
      </c>
      <c r="G495" s="27" t="s">
        <v>266</v>
      </c>
      <c r="H495" s="27"/>
      <c r="I495" s="27" t="s">
        <v>756</v>
      </c>
      <c r="J495" s="27"/>
      <c r="K495" s="27" t="s">
        <v>377</v>
      </c>
      <c r="L495" s="27"/>
      <c r="M495" s="27"/>
      <c r="N495" s="27"/>
      <c r="O495" s="27"/>
      <c r="P495" s="27"/>
      <c r="Q495" s="27"/>
      <c r="R495" s="27">
        <v>1</v>
      </c>
      <c r="S495" s="27"/>
      <c r="T495" s="27"/>
      <c r="U495" s="27"/>
      <c r="V495" s="27"/>
      <c r="W495" s="27"/>
      <c r="X495" s="27"/>
      <c r="Y495" s="27"/>
      <c r="Z495" s="27" t="s">
        <v>2476</v>
      </c>
      <c r="AA495" s="29">
        <f>AB495*0.0052</f>
        <v>5.1999999999999998E-2</v>
      </c>
      <c r="AB495" s="30">
        <v>10</v>
      </c>
      <c r="AC495" s="30">
        <f>AB495*0.089*24*365/10^6</f>
        <v>7.7963999999999993E-3</v>
      </c>
      <c r="AD495" s="30"/>
      <c r="AE495" s="30">
        <f>AB495</f>
        <v>10</v>
      </c>
      <c r="AF495" s="28"/>
      <c r="AG495" s="28"/>
    </row>
    <row r="496" spans="1:33" ht="32.25" customHeight="1" x14ac:dyDescent="0.2">
      <c r="A496" s="27">
        <v>815</v>
      </c>
      <c r="B496" s="27" t="s">
        <v>2477</v>
      </c>
      <c r="C496" s="27" t="s">
        <v>337</v>
      </c>
      <c r="D496" s="27">
        <v>2025</v>
      </c>
      <c r="E496" s="27"/>
      <c r="F496" s="27" t="s">
        <v>832</v>
      </c>
      <c r="G496" s="27" t="s">
        <v>761</v>
      </c>
      <c r="H496" s="27" t="s">
        <v>2478</v>
      </c>
      <c r="I496" s="27"/>
      <c r="J496" s="27"/>
      <c r="K496" s="27" t="s">
        <v>739</v>
      </c>
      <c r="L496" s="27"/>
      <c r="M496" s="27"/>
      <c r="N496" s="27">
        <v>1</v>
      </c>
      <c r="O496" s="27"/>
      <c r="P496" s="27"/>
      <c r="Q496" s="27"/>
      <c r="R496" s="27"/>
      <c r="S496" s="27"/>
      <c r="T496" s="27"/>
      <c r="U496" s="27"/>
      <c r="V496" s="27"/>
      <c r="W496" s="27"/>
      <c r="X496" s="27"/>
      <c r="Y496" s="27"/>
      <c r="Z496" s="27" t="s">
        <v>2479</v>
      </c>
      <c r="AA496" s="29"/>
      <c r="AB496" s="30"/>
      <c r="AC496" s="30"/>
      <c r="AD496" s="30">
        <v>4200000</v>
      </c>
      <c r="AE496" s="30">
        <f>AD496*1000/(24*365*1.9075)</f>
        <v>251351.01168782203</v>
      </c>
      <c r="AF496" s="28" t="s">
        <v>2480</v>
      </c>
      <c r="AG496" s="28"/>
    </row>
    <row r="497" spans="1:33" ht="32.25" customHeight="1" x14ac:dyDescent="0.2">
      <c r="A497" s="27">
        <v>816</v>
      </c>
      <c r="B497" s="27" t="s">
        <v>2481</v>
      </c>
      <c r="C497" s="27" t="s">
        <v>362</v>
      </c>
      <c r="D497" s="27">
        <v>2022</v>
      </c>
      <c r="E497" s="27"/>
      <c r="F497" s="27" t="s">
        <v>832</v>
      </c>
      <c r="G497" s="27" t="s">
        <v>758</v>
      </c>
      <c r="H497" s="27" t="s">
        <v>1406</v>
      </c>
      <c r="I497" s="27" t="s">
        <v>756</v>
      </c>
      <c r="J497" s="27"/>
      <c r="K497" s="27" t="s">
        <v>377</v>
      </c>
      <c r="L497" s="27"/>
      <c r="M497" s="27"/>
      <c r="N497" s="27"/>
      <c r="O497" s="27"/>
      <c r="P497" s="27"/>
      <c r="Q497" s="27"/>
      <c r="R497" s="27"/>
      <c r="S497" s="27">
        <v>1</v>
      </c>
      <c r="T497" s="27"/>
      <c r="U497" s="27"/>
      <c r="V497" s="27"/>
      <c r="W497" s="27"/>
      <c r="X497" s="27"/>
      <c r="Y497" s="27"/>
      <c r="Z497" s="27"/>
      <c r="AA497" s="29"/>
      <c r="AB497" s="30"/>
      <c r="AC497" s="30"/>
      <c r="AD497" s="30"/>
      <c r="AE497" s="30"/>
      <c r="AF497" s="28" t="s">
        <v>1855</v>
      </c>
      <c r="AG497" s="28"/>
    </row>
    <row r="498" spans="1:33" ht="32.25" customHeight="1" x14ac:dyDescent="0.2">
      <c r="A498" s="27">
        <v>817</v>
      </c>
      <c r="B498" s="27" t="s">
        <v>2482</v>
      </c>
      <c r="C498" s="27" t="s">
        <v>337</v>
      </c>
      <c r="D498" s="27">
        <v>2023</v>
      </c>
      <c r="E498" s="27"/>
      <c r="F498" s="27" t="s">
        <v>832</v>
      </c>
      <c r="G498" s="27" t="s">
        <v>758</v>
      </c>
      <c r="H498" s="27" t="s">
        <v>1406</v>
      </c>
      <c r="I498" s="27" t="s">
        <v>768</v>
      </c>
      <c r="J498" s="27" t="s">
        <v>865</v>
      </c>
      <c r="K498" s="27" t="s">
        <v>377</v>
      </c>
      <c r="L498" s="27"/>
      <c r="M498" s="27"/>
      <c r="N498" s="27"/>
      <c r="O498" s="27"/>
      <c r="P498" s="27"/>
      <c r="Q498" s="27"/>
      <c r="R498" s="27">
        <v>1</v>
      </c>
      <c r="S498" s="27">
        <v>1</v>
      </c>
      <c r="T498" s="27"/>
      <c r="U498" s="27"/>
      <c r="V498" s="27"/>
      <c r="W498" s="27"/>
      <c r="X498" s="27"/>
      <c r="Y498" s="27"/>
      <c r="Z498" s="27" t="s">
        <v>1900</v>
      </c>
      <c r="AA498" s="29">
        <v>1000</v>
      </c>
      <c r="AB498" s="30">
        <f>AA498/0.0045</f>
        <v>222222.22222222225</v>
      </c>
      <c r="AC498" s="30">
        <f>AB498*0.089*24*365/10^6</f>
        <v>173.2533333333333</v>
      </c>
      <c r="AD498" s="30"/>
      <c r="AE498" s="30">
        <f>AB498</f>
        <v>222222.22222222225</v>
      </c>
      <c r="AF498" s="28" t="s">
        <v>3278</v>
      </c>
      <c r="AG498" s="74" t="s">
        <v>3924</v>
      </c>
    </row>
    <row r="499" spans="1:33" ht="32.25" customHeight="1" x14ac:dyDescent="0.2">
      <c r="A499" s="27">
        <v>818</v>
      </c>
      <c r="B499" s="27" t="s">
        <v>2483</v>
      </c>
      <c r="C499" s="27" t="s">
        <v>347</v>
      </c>
      <c r="D499" s="27">
        <v>2023</v>
      </c>
      <c r="E499" s="27"/>
      <c r="F499" s="27" t="s">
        <v>832</v>
      </c>
      <c r="G499" s="27" t="s">
        <v>758</v>
      </c>
      <c r="H499" s="27" t="s">
        <v>1406</v>
      </c>
      <c r="I499" s="27" t="s">
        <v>768</v>
      </c>
      <c r="J499" s="27" t="s">
        <v>863</v>
      </c>
      <c r="K499" s="27" t="s">
        <v>766</v>
      </c>
      <c r="L499" s="27"/>
      <c r="M499" s="27"/>
      <c r="N499" s="27"/>
      <c r="O499" s="27"/>
      <c r="P499" s="27"/>
      <c r="Q499" s="27"/>
      <c r="R499" s="27"/>
      <c r="S499" s="27"/>
      <c r="T499" s="27"/>
      <c r="U499" s="27"/>
      <c r="V499" s="27"/>
      <c r="W499" s="27">
        <v>1</v>
      </c>
      <c r="X499" s="27"/>
      <c r="Y499" s="27"/>
      <c r="Z499" s="27" t="s">
        <v>2091</v>
      </c>
      <c r="AA499" s="29">
        <v>40</v>
      </c>
      <c r="AB499" s="30">
        <f>AA499/0.0045</f>
        <v>8888.8888888888887</v>
      </c>
      <c r="AC499" s="30">
        <f>AB499*0.089*24*365/10^6</f>
        <v>6.9301333333333321</v>
      </c>
      <c r="AD499" s="30"/>
      <c r="AE499" s="30">
        <f>AB499</f>
        <v>8888.8888888888887</v>
      </c>
      <c r="AF499" s="28" t="s">
        <v>2885</v>
      </c>
      <c r="AG499" s="28"/>
    </row>
    <row r="500" spans="1:33" ht="32.25" customHeight="1" x14ac:dyDescent="0.2">
      <c r="A500" s="27">
        <v>819</v>
      </c>
      <c r="B500" s="27" t="s">
        <v>2485</v>
      </c>
      <c r="C500" s="27" t="s">
        <v>347</v>
      </c>
      <c r="D500" s="27">
        <v>2023</v>
      </c>
      <c r="E500" s="27"/>
      <c r="F500" s="27" t="s">
        <v>832</v>
      </c>
      <c r="G500" s="27" t="s">
        <v>758</v>
      </c>
      <c r="H500" s="27" t="s">
        <v>1406</v>
      </c>
      <c r="I500" s="27" t="s">
        <v>756</v>
      </c>
      <c r="J500" s="27"/>
      <c r="K500" s="27" t="s">
        <v>377</v>
      </c>
      <c r="L500" s="27"/>
      <c r="M500" s="27"/>
      <c r="N500" s="27"/>
      <c r="O500" s="27">
        <v>1</v>
      </c>
      <c r="P500" s="27"/>
      <c r="Q500" s="27"/>
      <c r="R500" s="27"/>
      <c r="S500" s="27"/>
      <c r="T500" s="27"/>
      <c r="U500" s="27"/>
      <c r="V500" s="27"/>
      <c r="W500" s="27"/>
      <c r="X500" s="27"/>
      <c r="Y500" s="27"/>
      <c r="Z500" s="27" t="s">
        <v>2021</v>
      </c>
      <c r="AA500" s="29">
        <v>100</v>
      </c>
      <c r="AB500" s="30">
        <f>AA500/0.0045</f>
        <v>22222.222222222223</v>
      </c>
      <c r="AC500" s="30">
        <f>AB500*0.089*24*365/10^6</f>
        <v>17.325333333333337</v>
      </c>
      <c r="AD500" s="30"/>
      <c r="AE500" s="30">
        <f>AB500</f>
        <v>22222.222222222223</v>
      </c>
      <c r="AF500" s="28" t="s">
        <v>2486</v>
      </c>
      <c r="AG500" s="74" t="s">
        <v>4040</v>
      </c>
    </row>
    <row r="501" spans="1:33" ht="32.25" customHeight="1" x14ac:dyDescent="0.2">
      <c r="A501" s="27">
        <v>820</v>
      </c>
      <c r="B501" s="27" t="s">
        <v>2487</v>
      </c>
      <c r="C501" s="27" t="s">
        <v>331</v>
      </c>
      <c r="D501" s="27">
        <v>2023</v>
      </c>
      <c r="E501" s="27"/>
      <c r="F501" s="27" t="s">
        <v>832</v>
      </c>
      <c r="G501" s="27" t="s">
        <v>268</v>
      </c>
      <c r="H501" s="27"/>
      <c r="I501" s="27" t="s">
        <v>765</v>
      </c>
      <c r="J501" s="27"/>
      <c r="K501" s="27" t="s">
        <v>377</v>
      </c>
      <c r="L501" s="27">
        <v>1</v>
      </c>
      <c r="M501" s="27"/>
      <c r="N501" s="27"/>
      <c r="O501" s="27"/>
      <c r="P501" s="27">
        <v>1</v>
      </c>
      <c r="Q501" s="27">
        <v>1</v>
      </c>
      <c r="R501" s="27"/>
      <c r="S501" s="27"/>
      <c r="T501" s="27"/>
      <c r="U501" s="27"/>
      <c r="V501" s="27"/>
      <c r="W501" s="27"/>
      <c r="X501" s="27"/>
      <c r="Y501" s="27"/>
      <c r="Z501" s="27" t="s">
        <v>2021</v>
      </c>
      <c r="AA501" s="29">
        <v>100</v>
      </c>
      <c r="AB501" s="30">
        <f>AA501/0.0046</f>
        <v>21739.130434782608</v>
      </c>
      <c r="AC501" s="30">
        <f>AB501*0.089*24*365/10^6</f>
        <v>16.94869565217391</v>
      </c>
      <c r="AD501" s="30"/>
      <c r="AE501" s="30">
        <f>AB501</f>
        <v>21739.130434782608</v>
      </c>
      <c r="AF501" s="28" t="s">
        <v>2488</v>
      </c>
      <c r="AG501" s="74" t="s">
        <v>3995</v>
      </c>
    </row>
    <row r="502" spans="1:33" ht="32.25" customHeight="1" x14ac:dyDescent="0.2">
      <c r="A502" s="27">
        <v>821</v>
      </c>
      <c r="B502" s="27" t="s">
        <v>2489</v>
      </c>
      <c r="C502" s="27" t="s">
        <v>331</v>
      </c>
      <c r="D502" s="27">
        <v>2023</v>
      </c>
      <c r="E502" s="27"/>
      <c r="F502" s="27" t="s">
        <v>832</v>
      </c>
      <c r="G502" s="27" t="s">
        <v>268</v>
      </c>
      <c r="H502" s="27"/>
      <c r="I502" s="27" t="s">
        <v>765</v>
      </c>
      <c r="J502" s="27"/>
      <c r="K502" s="27" t="s">
        <v>377</v>
      </c>
      <c r="L502" s="27"/>
      <c r="M502" s="27"/>
      <c r="N502" s="27"/>
      <c r="O502" s="27"/>
      <c r="P502" s="27"/>
      <c r="Q502" s="27"/>
      <c r="R502" s="27"/>
      <c r="S502" s="27">
        <v>1</v>
      </c>
      <c r="T502" s="27"/>
      <c r="U502" s="27"/>
      <c r="V502" s="27"/>
      <c r="W502" s="27"/>
      <c r="X502" s="27"/>
      <c r="Y502" s="27"/>
      <c r="Z502" s="27" t="s">
        <v>2021</v>
      </c>
      <c r="AA502" s="29">
        <v>100</v>
      </c>
      <c r="AB502" s="30">
        <f>AA502/0.0046</f>
        <v>21739.130434782608</v>
      </c>
      <c r="AC502" s="30">
        <f>AB502*0.089*24*365/10^6</f>
        <v>16.94869565217391</v>
      </c>
      <c r="AD502" s="30"/>
      <c r="AE502" s="30">
        <f>AB502</f>
        <v>21739.130434782608</v>
      </c>
      <c r="AF502" s="28" t="s">
        <v>2490</v>
      </c>
      <c r="AG502" s="74" t="s">
        <v>3999</v>
      </c>
    </row>
    <row r="503" spans="1:33" ht="32.25" customHeight="1" x14ac:dyDescent="0.2">
      <c r="A503" s="27">
        <v>822</v>
      </c>
      <c r="B503" s="27" t="s">
        <v>2491</v>
      </c>
      <c r="C503" s="27" t="s">
        <v>804</v>
      </c>
      <c r="D503" s="75"/>
      <c r="E503" s="27"/>
      <c r="F503" s="27" t="s">
        <v>832</v>
      </c>
      <c r="G503" s="27" t="s">
        <v>758</v>
      </c>
      <c r="H503" s="27" t="s">
        <v>2492</v>
      </c>
      <c r="I503" s="27" t="s">
        <v>765</v>
      </c>
      <c r="J503" s="27"/>
      <c r="K503" s="27" t="s">
        <v>377</v>
      </c>
      <c r="L503" s="27"/>
      <c r="M503" s="27"/>
      <c r="N503" s="27"/>
      <c r="O503" s="27"/>
      <c r="P503" s="27"/>
      <c r="Q503" s="27"/>
      <c r="R503" s="27"/>
      <c r="S503" s="27">
        <v>1</v>
      </c>
      <c r="T503" s="27"/>
      <c r="U503" s="27"/>
      <c r="V503" s="27"/>
      <c r="W503" s="27"/>
      <c r="X503" s="27"/>
      <c r="Y503" s="27"/>
      <c r="Z503" s="27" t="s">
        <v>2021</v>
      </c>
      <c r="AA503" s="29">
        <v>100</v>
      </c>
      <c r="AB503" s="30">
        <f>AA503/0.0046</f>
        <v>21739.130434782608</v>
      </c>
      <c r="AC503" s="30">
        <f>AB503*0.089*24*365/10^6</f>
        <v>16.94869565217391</v>
      </c>
      <c r="AD503" s="30"/>
      <c r="AE503" s="30">
        <f>AB503</f>
        <v>21739.130434782608</v>
      </c>
      <c r="AF503" s="28" t="s">
        <v>2493</v>
      </c>
      <c r="AG503" s="76" t="s">
        <v>4107</v>
      </c>
    </row>
    <row r="504" spans="1:33" ht="32.25" customHeight="1" x14ac:dyDescent="0.2">
      <c r="A504" s="27">
        <v>823</v>
      </c>
      <c r="B504" s="27" t="s">
        <v>2494</v>
      </c>
      <c r="C504" s="27" t="s">
        <v>347</v>
      </c>
      <c r="D504" s="27">
        <v>2027</v>
      </c>
      <c r="E504" s="27"/>
      <c r="F504" s="27" t="s">
        <v>832</v>
      </c>
      <c r="G504" s="27" t="s">
        <v>760</v>
      </c>
      <c r="H504" s="27" t="s">
        <v>2495</v>
      </c>
      <c r="I504" s="27"/>
      <c r="J504" s="27"/>
      <c r="K504" s="27" t="s">
        <v>377</v>
      </c>
      <c r="L504" s="27"/>
      <c r="M504" s="27"/>
      <c r="N504" s="27"/>
      <c r="O504" s="27"/>
      <c r="P504" s="27"/>
      <c r="Q504" s="27"/>
      <c r="R504" s="27">
        <v>1</v>
      </c>
      <c r="S504" s="27"/>
      <c r="T504" s="27"/>
      <c r="U504" s="27"/>
      <c r="V504" s="27"/>
      <c r="W504" s="27"/>
      <c r="X504" s="27"/>
      <c r="Y504" s="27"/>
      <c r="Z504" s="27" t="s">
        <v>2496</v>
      </c>
      <c r="AA504" s="29"/>
      <c r="AB504" s="30"/>
      <c r="AC504" s="30"/>
      <c r="AD504" s="30">
        <v>1300000</v>
      </c>
      <c r="AE504" s="64">
        <f>AD504*1000/(365*24*0.9105)</f>
        <v>162989.37560023973</v>
      </c>
      <c r="AF504" s="28" t="s">
        <v>2497</v>
      </c>
      <c r="AG504" s="28"/>
    </row>
    <row r="505" spans="1:33" ht="32.25" customHeight="1" x14ac:dyDescent="0.2">
      <c r="A505" s="27">
        <v>825</v>
      </c>
      <c r="B505" s="27" t="s">
        <v>2498</v>
      </c>
      <c r="C505" s="27" t="s">
        <v>337</v>
      </c>
      <c r="D505" s="27">
        <v>2022</v>
      </c>
      <c r="E505" s="27"/>
      <c r="F505" s="27" t="s">
        <v>754</v>
      </c>
      <c r="G505" s="27" t="s">
        <v>759</v>
      </c>
      <c r="H505" s="27" t="s">
        <v>2442</v>
      </c>
      <c r="I505" s="27"/>
      <c r="J505" s="27"/>
      <c r="K505" s="27" t="s">
        <v>740</v>
      </c>
      <c r="L505" s="27"/>
      <c r="M505" s="27">
        <v>1</v>
      </c>
      <c r="N505" s="27"/>
      <c r="O505" s="27"/>
      <c r="P505" s="27"/>
      <c r="Q505" s="27"/>
      <c r="R505" s="27"/>
      <c r="S505" s="27"/>
      <c r="T505" s="27"/>
      <c r="U505" s="27"/>
      <c r="V505" s="27"/>
      <c r="W505" s="27"/>
      <c r="X505" s="27"/>
      <c r="Y505" s="27"/>
      <c r="Z505" s="27" t="s">
        <v>2499</v>
      </c>
      <c r="AA505" s="29"/>
      <c r="AB505" s="30"/>
      <c r="AC505" s="30"/>
      <c r="AD505" s="30">
        <v>1650000</v>
      </c>
      <c r="AE505" s="64">
        <f>AD505*1000/(365*24*1.9075)</f>
        <v>98745.040305930088</v>
      </c>
      <c r="AF505" s="28" t="s">
        <v>2886</v>
      </c>
      <c r="AG505" s="28"/>
    </row>
    <row r="506" spans="1:33" ht="32.25" customHeight="1" x14ac:dyDescent="0.2">
      <c r="A506" s="27">
        <v>826</v>
      </c>
      <c r="B506" s="27" t="s">
        <v>2500</v>
      </c>
      <c r="C506" s="27" t="s">
        <v>804</v>
      </c>
      <c r="D506" s="27">
        <v>2007</v>
      </c>
      <c r="E506" s="27"/>
      <c r="F506" s="27" t="s">
        <v>916</v>
      </c>
      <c r="G506" s="27" t="s">
        <v>758</v>
      </c>
      <c r="H506" s="27" t="s">
        <v>1406</v>
      </c>
      <c r="I506" s="27" t="s">
        <v>756</v>
      </c>
      <c r="J506" s="27"/>
      <c r="K506" s="27" t="s">
        <v>377</v>
      </c>
      <c r="L506" s="27"/>
      <c r="M506" s="27"/>
      <c r="N506" s="27"/>
      <c r="O506" s="27"/>
      <c r="P506" s="27"/>
      <c r="Q506" s="27">
        <v>1</v>
      </c>
      <c r="R506" s="27">
        <v>1</v>
      </c>
      <c r="S506" s="27">
        <v>1</v>
      </c>
      <c r="T506" s="27"/>
      <c r="U506" s="27"/>
      <c r="V506" s="27"/>
      <c r="W506" s="27"/>
      <c r="X506" s="27"/>
      <c r="Y506" s="27"/>
      <c r="Z506" s="27"/>
      <c r="AA506" s="29"/>
      <c r="AB506" s="30"/>
      <c r="AC506" s="30"/>
      <c r="AD506" s="30"/>
      <c r="AE506" s="30"/>
      <c r="AF506" s="28" t="s">
        <v>2501</v>
      </c>
      <c r="AG506" s="28"/>
    </row>
    <row r="507" spans="1:33" ht="32.25" customHeight="1" x14ac:dyDescent="0.2">
      <c r="A507" s="27">
        <v>827</v>
      </c>
      <c r="B507" s="27" t="s">
        <v>3347</v>
      </c>
      <c r="C507" s="27" t="s">
        <v>347</v>
      </c>
      <c r="D507" s="27">
        <v>2005</v>
      </c>
      <c r="E507" s="27">
        <v>2024</v>
      </c>
      <c r="F507" s="27" t="s">
        <v>836</v>
      </c>
      <c r="G507" s="27" t="s">
        <v>761</v>
      </c>
      <c r="H507" s="27" t="s">
        <v>3348</v>
      </c>
      <c r="I507" s="27"/>
      <c r="J507" s="27"/>
      <c r="K507" s="27" t="s">
        <v>377</v>
      </c>
      <c r="L507" s="27">
        <v>1</v>
      </c>
      <c r="M507" s="27"/>
      <c r="N507" s="27"/>
      <c r="O507" s="27"/>
      <c r="P507" s="27"/>
      <c r="Q507" s="27"/>
      <c r="R507" s="27"/>
      <c r="S507" s="27"/>
      <c r="T507" s="27"/>
      <c r="U507" s="27"/>
      <c r="V507" s="27"/>
      <c r="W507" s="27"/>
      <c r="X507" s="27"/>
      <c r="Y507" s="27"/>
      <c r="Z507" s="27" t="s">
        <v>3346</v>
      </c>
      <c r="AA507" s="29"/>
      <c r="AB507" s="30">
        <f>AC507/(0.089*24*365/10^6)</f>
        <v>1282643.2712533989</v>
      </c>
      <c r="AC507" s="50">
        <v>1000</v>
      </c>
      <c r="AD507" s="30">
        <v>400000</v>
      </c>
      <c r="AE507" s="30">
        <f>IF(AND(G507&lt;&gt;"NG w CCUS",G507&lt;&gt;"Oil w CCUS",G507&lt;&gt;"Coal w CCUS"),AB507,AD507*10^3/(HoursInYear*IF(G507="NG w CCUS",0.9105,1.9075)))</f>
        <v>23938.191589316382</v>
      </c>
      <c r="AF507" s="28" t="s">
        <v>2502</v>
      </c>
      <c r="AG507" s="28"/>
    </row>
    <row r="508" spans="1:33" ht="32.25" customHeight="1" x14ac:dyDescent="0.2">
      <c r="A508" s="27">
        <v>828</v>
      </c>
      <c r="B508" s="27" t="s">
        <v>2503</v>
      </c>
      <c r="C508" s="27" t="s">
        <v>347</v>
      </c>
      <c r="D508" s="27"/>
      <c r="E508" s="27"/>
      <c r="F508" s="27" t="s">
        <v>832</v>
      </c>
      <c r="G508" s="27" t="s">
        <v>762</v>
      </c>
      <c r="H508" s="27" t="s">
        <v>2412</v>
      </c>
      <c r="I508" s="27"/>
      <c r="J508" s="27"/>
      <c r="K508" s="27" t="s">
        <v>377</v>
      </c>
      <c r="L508" s="27"/>
      <c r="M508" s="27"/>
      <c r="N508" s="27"/>
      <c r="O508" s="27"/>
      <c r="P508" s="27"/>
      <c r="Q508" s="27"/>
      <c r="R508" s="27"/>
      <c r="S508" s="27"/>
      <c r="T508" s="27"/>
      <c r="U508" s="27"/>
      <c r="V508" s="27"/>
      <c r="W508" s="27"/>
      <c r="X508" s="27"/>
      <c r="Y508" s="27"/>
      <c r="Z508" s="27"/>
      <c r="AA508" s="29"/>
      <c r="AB508" s="30"/>
      <c r="AC508" s="30"/>
      <c r="AD508" s="30"/>
      <c r="AE508" s="30"/>
      <c r="AF508" s="28" t="s">
        <v>2056</v>
      </c>
      <c r="AG508" s="28"/>
    </row>
    <row r="509" spans="1:33" ht="32.25" customHeight="1" x14ac:dyDescent="0.2">
      <c r="A509" s="27">
        <v>829</v>
      </c>
      <c r="B509" s="27" t="s">
        <v>2504</v>
      </c>
      <c r="C509" s="27" t="s">
        <v>347</v>
      </c>
      <c r="D509" s="27"/>
      <c r="E509" s="27"/>
      <c r="F509" s="27" t="s">
        <v>832</v>
      </c>
      <c r="G509" s="27" t="s">
        <v>752</v>
      </c>
      <c r="H509" s="27" t="s">
        <v>2505</v>
      </c>
      <c r="I509" s="27"/>
      <c r="J509" s="27"/>
      <c r="K509" s="27" t="s">
        <v>377</v>
      </c>
      <c r="L509" s="27"/>
      <c r="M509" s="27"/>
      <c r="N509" s="27"/>
      <c r="O509" s="27"/>
      <c r="P509" s="27"/>
      <c r="Q509" s="27"/>
      <c r="R509" s="27"/>
      <c r="S509" s="27">
        <v>1</v>
      </c>
      <c r="T509" s="27"/>
      <c r="U509" s="27"/>
      <c r="V509" s="27"/>
      <c r="W509" s="27"/>
      <c r="X509" s="27"/>
      <c r="Y509" s="27"/>
      <c r="Z509" s="27"/>
      <c r="AA509" s="29"/>
      <c r="AB509" s="30"/>
      <c r="AC509" s="30"/>
      <c r="AD509" s="30"/>
      <c r="AE509" s="30"/>
      <c r="AF509" s="28" t="s">
        <v>2056</v>
      </c>
      <c r="AG509" s="28"/>
    </row>
    <row r="510" spans="1:33" ht="32.25" customHeight="1" x14ac:dyDescent="0.2">
      <c r="A510" s="27">
        <v>830</v>
      </c>
      <c r="B510" s="27" t="s">
        <v>3135</v>
      </c>
      <c r="C510" s="27" t="s">
        <v>355</v>
      </c>
      <c r="D510" s="27">
        <v>2025</v>
      </c>
      <c r="E510" s="27"/>
      <c r="F510" s="27" t="s">
        <v>1336</v>
      </c>
      <c r="G510" s="27" t="s">
        <v>758</v>
      </c>
      <c r="H510" s="27" t="s">
        <v>1406</v>
      </c>
      <c r="I510" s="27" t="s">
        <v>768</v>
      </c>
      <c r="J510" s="27" t="s">
        <v>861</v>
      </c>
      <c r="K510" s="27" t="s">
        <v>377</v>
      </c>
      <c r="L510" s="27">
        <v>1</v>
      </c>
      <c r="M510" s="27">
        <v>1</v>
      </c>
      <c r="N510" s="27"/>
      <c r="O510" s="27">
        <v>1</v>
      </c>
      <c r="P510" s="27">
        <v>1</v>
      </c>
      <c r="Q510" s="27"/>
      <c r="R510" s="27"/>
      <c r="S510" s="27"/>
      <c r="T510" s="27"/>
      <c r="U510" s="27"/>
      <c r="V510" s="27"/>
      <c r="W510" s="27"/>
      <c r="X510" s="27"/>
      <c r="Y510" s="27"/>
      <c r="Z510" s="27" t="s">
        <v>2021</v>
      </c>
      <c r="AA510" s="29">
        <v>100</v>
      </c>
      <c r="AB510" s="30">
        <f>IF(OR(G510="ALK",G510="PEM",G510="SOEC",G510="Other Electrolysis"),
AA510/VLOOKUP(G510,ElectrolysisConvF,3,FALSE),
AC510*10^6/(H2dens*HoursInYear))</f>
        <v>22222.222222222223</v>
      </c>
      <c r="AC510" s="30">
        <f>AB510*H2dens*HoursInYear/10^6</f>
        <v>17.325333333333333</v>
      </c>
      <c r="AD510" s="30"/>
      <c r="AE510" s="30">
        <f>AB510</f>
        <v>22222.222222222223</v>
      </c>
      <c r="AF510" s="28"/>
      <c r="AG510" s="28"/>
    </row>
    <row r="511" spans="1:33" ht="32.25" customHeight="1" x14ac:dyDescent="0.2">
      <c r="A511" s="27">
        <v>831</v>
      </c>
      <c r="B511" s="27" t="s">
        <v>2887</v>
      </c>
      <c r="C511" s="27" t="s">
        <v>338</v>
      </c>
      <c r="D511" s="27">
        <v>2021</v>
      </c>
      <c r="E511" s="27"/>
      <c r="F511" s="27" t="s">
        <v>754</v>
      </c>
      <c r="G511" s="27" t="s">
        <v>758</v>
      </c>
      <c r="H511" s="27" t="s">
        <v>1406</v>
      </c>
      <c r="I511" s="27" t="s">
        <v>756</v>
      </c>
      <c r="J511" s="27"/>
      <c r="K511" s="27" t="s">
        <v>377</v>
      </c>
      <c r="L511" s="27"/>
      <c r="M511" s="27"/>
      <c r="N511" s="27"/>
      <c r="O511" s="27"/>
      <c r="P511" s="27"/>
      <c r="Q511" s="27">
        <v>1</v>
      </c>
      <c r="R511" s="27"/>
      <c r="S511" s="27"/>
      <c r="T511" s="27"/>
      <c r="U511" s="27"/>
      <c r="V511" s="27"/>
      <c r="W511" s="27"/>
      <c r="X511" s="27"/>
      <c r="Y511" s="27"/>
      <c r="Z511" s="27"/>
      <c r="AA511" s="29"/>
      <c r="AB511" s="30"/>
      <c r="AC511" s="30"/>
      <c r="AD511" s="30"/>
      <c r="AE511" s="30"/>
      <c r="AF511" s="28" t="s">
        <v>2888</v>
      </c>
      <c r="AG511" s="28"/>
    </row>
    <row r="512" spans="1:33" ht="32.25" customHeight="1" x14ac:dyDescent="0.2">
      <c r="A512" s="27">
        <v>833</v>
      </c>
      <c r="B512" s="27" t="s">
        <v>2506</v>
      </c>
      <c r="C512" s="27" t="s">
        <v>980</v>
      </c>
      <c r="D512" s="27">
        <v>2023</v>
      </c>
      <c r="E512" s="27"/>
      <c r="F512" s="27" t="s">
        <v>753</v>
      </c>
      <c r="G512" s="27" t="s">
        <v>758</v>
      </c>
      <c r="H512" s="27" t="s">
        <v>1406</v>
      </c>
      <c r="I512" s="27" t="s">
        <v>768</v>
      </c>
      <c r="J512" s="27" t="s">
        <v>865</v>
      </c>
      <c r="K512" s="27" t="s">
        <v>377</v>
      </c>
      <c r="L512" s="27"/>
      <c r="M512" s="27"/>
      <c r="N512" s="27"/>
      <c r="O512" s="27"/>
      <c r="P512" s="27"/>
      <c r="Q512" s="27"/>
      <c r="R512" s="27"/>
      <c r="S512" s="27"/>
      <c r="T512" s="27"/>
      <c r="U512" s="27"/>
      <c r="V512" s="27">
        <v>1</v>
      </c>
      <c r="W512" s="27"/>
      <c r="X512" s="27"/>
      <c r="Y512" s="27"/>
      <c r="Z512" s="27"/>
      <c r="AA512" s="29"/>
      <c r="AB512" s="30"/>
      <c r="AC512" s="30"/>
      <c r="AD512" s="30"/>
      <c r="AE512" s="30"/>
      <c r="AF512" s="28" t="s">
        <v>2507</v>
      </c>
      <c r="AG512" s="28"/>
    </row>
    <row r="513" spans="1:33" ht="32.25" customHeight="1" x14ac:dyDescent="0.2">
      <c r="A513" s="27">
        <v>834</v>
      </c>
      <c r="B513" s="27" t="s">
        <v>2508</v>
      </c>
      <c r="C513" s="27" t="s">
        <v>347</v>
      </c>
      <c r="D513" s="27"/>
      <c r="E513" s="27"/>
      <c r="F513" s="27" t="s">
        <v>753</v>
      </c>
      <c r="G513" s="27" t="s">
        <v>758</v>
      </c>
      <c r="H513" s="27" t="s">
        <v>1406</v>
      </c>
      <c r="I513" s="27" t="s">
        <v>756</v>
      </c>
      <c r="J513" s="27"/>
      <c r="K513" s="27" t="s">
        <v>377</v>
      </c>
      <c r="L513" s="27"/>
      <c r="M513" s="27"/>
      <c r="N513" s="27"/>
      <c r="O513" s="27"/>
      <c r="P513" s="27"/>
      <c r="Q513" s="27"/>
      <c r="R513" s="27"/>
      <c r="S513" s="27"/>
      <c r="T513" s="27"/>
      <c r="U513" s="27">
        <v>1</v>
      </c>
      <c r="V513" s="27"/>
      <c r="W513" s="27"/>
      <c r="X513" s="27"/>
      <c r="Y513" s="27"/>
      <c r="Z513" s="27"/>
      <c r="AA513" s="29"/>
      <c r="AB513" s="30"/>
      <c r="AC513" s="30"/>
      <c r="AD513" s="30"/>
      <c r="AE513" s="30"/>
      <c r="AF513" s="28" t="s">
        <v>2509</v>
      </c>
      <c r="AG513" s="28"/>
    </row>
    <row r="514" spans="1:33" ht="32.25" customHeight="1" x14ac:dyDescent="0.2">
      <c r="A514" s="27">
        <v>835</v>
      </c>
      <c r="B514" s="27" t="s">
        <v>2510</v>
      </c>
      <c r="C514" s="27" t="s">
        <v>980</v>
      </c>
      <c r="D514" s="27"/>
      <c r="E514" s="27"/>
      <c r="F514" s="27" t="s">
        <v>1336</v>
      </c>
      <c r="G514" s="27" t="s">
        <v>758</v>
      </c>
      <c r="H514" s="27" t="s">
        <v>1406</v>
      </c>
      <c r="I514" s="27" t="s">
        <v>768</v>
      </c>
      <c r="J514" s="27" t="s">
        <v>861</v>
      </c>
      <c r="K514" s="27" t="s">
        <v>377</v>
      </c>
      <c r="L514" s="27"/>
      <c r="M514" s="27"/>
      <c r="N514" s="27"/>
      <c r="O514" s="27"/>
      <c r="P514" s="27"/>
      <c r="Q514" s="27"/>
      <c r="R514" s="27"/>
      <c r="S514" s="27">
        <v>1</v>
      </c>
      <c r="T514" s="27"/>
      <c r="U514" s="27"/>
      <c r="V514" s="27"/>
      <c r="W514" s="27"/>
      <c r="X514" s="27"/>
      <c r="Y514" s="27"/>
      <c r="Z514" s="27"/>
      <c r="AA514" s="29"/>
      <c r="AB514" s="30"/>
      <c r="AC514" s="30"/>
      <c r="AD514" s="30"/>
      <c r="AE514" s="30"/>
      <c r="AF514" s="28" t="s">
        <v>2511</v>
      </c>
      <c r="AG514" s="28"/>
    </row>
    <row r="515" spans="1:33" ht="32.25" customHeight="1" x14ac:dyDescent="0.2">
      <c r="A515" s="27">
        <v>836</v>
      </c>
      <c r="B515" s="27" t="s">
        <v>2512</v>
      </c>
      <c r="C515" s="27" t="s">
        <v>337</v>
      </c>
      <c r="D515" s="27"/>
      <c r="E515" s="27"/>
      <c r="F515" s="27" t="s">
        <v>753</v>
      </c>
      <c r="G515" s="27" t="s">
        <v>762</v>
      </c>
      <c r="H515" s="27" t="s">
        <v>1955</v>
      </c>
      <c r="I515" s="27"/>
      <c r="J515" s="27"/>
      <c r="K515" s="27" t="s">
        <v>377</v>
      </c>
      <c r="L515" s="27"/>
      <c r="M515" s="27"/>
      <c r="N515" s="27"/>
      <c r="O515" s="27"/>
      <c r="P515" s="27"/>
      <c r="Q515" s="27">
        <v>1</v>
      </c>
      <c r="R515" s="27"/>
      <c r="S515" s="27"/>
      <c r="T515" s="27"/>
      <c r="U515" s="27"/>
      <c r="V515" s="27"/>
      <c r="W515" s="27"/>
      <c r="X515" s="27"/>
      <c r="Y515" s="27"/>
      <c r="Z515" s="27"/>
      <c r="AA515" s="29"/>
      <c r="AB515" s="30"/>
      <c r="AC515" s="30"/>
      <c r="AD515" s="30"/>
      <c r="AE515" s="30"/>
      <c r="AF515" s="28" t="s">
        <v>2513</v>
      </c>
      <c r="AG515" s="28"/>
    </row>
    <row r="516" spans="1:33" ht="32.25" customHeight="1" x14ac:dyDescent="0.2">
      <c r="A516" s="27">
        <v>837</v>
      </c>
      <c r="B516" s="27" t="s">
        <v>2514</v>
      </c>
      <c r="C516" s="27" t="s">
        <v>347</v>
      </c>
      <c r="D516" s="27"/>
      <c r="E516" s="27"/>
      <c r="F516" s="27" t="s">
        <v>916</v>
      </c>
      <c r="G516" s="27" t="s">
        <v>762</v>
      </c>
      <c r="H516" s="27" t="s">
        <v>2412</v>
      </c>
      <c r="I516" s="27"/>
      <c r="J516" s="27"/>
      <c r="K516" s="27" t="s">
        <v>377</v>
      </c>
      <c r="L516" s="27"/>
      <c r="M516" s="27"/>
      <c r="N516" s="27"/>
      <c r="O516" s="27"/>
      <c r="P516" s="27">
        <v>1</v>
      </c>
      <c r="Q516" s="27"/>
      <c r="R516" s="27"/>
      <c r="S516" s="27"/>
      <c r="T516" s="27"/>
      <c r="U516" s="27"/>
      <c r="V516" s="27"/>
      <c r="W516" s="27"/>
      <c r="X516" s="27"/>
      <c r="Y516" s="27"/>
      <c r="Z516" s="27"/>
      <c r="AA516" s="29"/>
      <c r="AB516" s="30"/>
      <c r="AC516" s="30"/>
      <c r="AD516" s="30"/>
      <c r="AE516" s="30"/>
      <c r="AF516" s="28" t="s">
        <v>2056</v>
      </c>
      <c r="AG516" s="28"/>
    </row>
    <row r="517" spans="1:33" ht="32.25" customHeight="1" x14ac:dyDescent="0.2">
      <c r="A517" s="27">
        <v>838</v>
      </c>
      <c r="B517" s="27" t="s">
        <v>2515</v>
      </c>
      <c r="C517" s="27" t="s">
        <v>346</v>
      </c>
      <c r="D517" s="27"/>
      <c r="E517" s="27"/>
      <c r="F517" s="27" t="s">
        <v>832</v>
      </c>
      <c r="G517" s="27" t="s">
        <v>758</v>
      </c>
      <c r="H517" s="27" t="s">
        <v>1406</v>
      </c>
      <c r="I517" s="27" t="s">
        <v>768</v>
      </c>
      <c r="J517" s="27" t="s">
        <v>864</v>
      </c>
      <c r="K517" s="27" t="s">
        <v>739</v>
      </c>
      <c r="L517" s="27"/>
      <c r="M517" s="27"/>
      <c r="N517" s="27">
        <v>1</v>
      </c>
      <c r="O517" s="27"/>
      <c r="P517" s="27"/>
      <c r="Q517" s="27"/>
      <c r="R517" s="27"/>
      <c r="S517" s="27"/>
      <c r="T517" s="27"/>
      <c r="U517" s="27"/>
      <c r="V517" s="27"/>
      <c r="W517" s="27"/>
      <c r="X517" s="27"/>
      <c r="Y517" s="27"/>
      <c r="Z517" s="27"/>
      <c r="AA517" s="29"/>
      <c r="AB517" s="30"/>
      <c r="AC517" s="30"/>
      <c r="AD517" s="30"/>
      <c r="AE517" s="30"/>
      <c r="AF517" s="28" t="s">
        <v>2516</v>
      </c>
      <c r="AG517" s="28"/>
    </row>
    <row r="518" spans="1:33" ht="32.25" customHeight="1" x14ac:dyDescent="0.2">
      <c r="A518" s="27">
        <v>839</v>
      </c>
      <c r="B518" s="27" t="s">
        <v>2517</v>
      </c>
      <c r="C518" s="27" t="s">
        <v>331</v>
      </c>
      <c r="D518" s="27">
        <v>2023</v>
      </c>
      <c r="E518" s="27"/>
      <c r="F518" s="27" t="s">
        <v>832</v>
      </c>
      <c r="G518" s="27" t="s">
        <v>758</v>
      </c>
      <c r="H518" s="27" t="s">
        <v>1406</v>
      </c>
      <c r="I518" s="27" t="s">
        <v>768</v>
      </c>
      <c r="J518" s="27" t="s">
        <v>865</v>
      </c>
      <c r="K518" s="27" t="s">
        <v>377</v>
      </c>
      <c r="L518" s="27"/>
      <c r="M518" s="27"/>
      <c r="N518" s="27"/>
      <c r="O518" s="27"/>
      <c r="P518" s="27"/>
      <c r="Q518" s="27">
        <v>1</v>
      </c>
      <c r="R518" s="27"/>
      <c r="S518" s="27"/>
      <c r="T518" s="27"/>
      <c r="U518" s="27"/>
      <c r="V518" s="27"/>
      <c r="W518" s="27"/>
      <c r="X518" s="27"/>
      <c r="Y518" s="27"/>
      <c r="Z518" s="27"/>
      <c r="AA518" s="29"/>
      <c r="AB518" s="30"/>
      <c r="AC518" s="30"/>
      <c r="AD518" s="30"/>
      <c r="AE518" s="30"/>
      <c r="AF518" s="28" t="s">
        <v>2518</v>
      </c>
      <c r="AG518" s="28"/>
    </row>
    <row r="519" spans="1:33" ht="32.25" customHeight="1" x14ac:dyDescent="0.2">
      <c r="A519" s="27">
        <v>840</v>
      </c>
      <c r="B519" s="27" t="s">
        <v>3303</v>
      </c>
      <c r="C519" s="27" t="s">
        <v>337</v>
      </c>
      <c r="D519" s="27">
        <v>2021</v>
      </c>
      <c r="E519" s="27">
        <v>2023</v>
      </c>
      <c r="F519" s="27" t="s">
        <v>916</v>
      </c>
      <c r="G519" s="27" t="s">
        <v>266</v>
      </c>
      <c r="H519" s="27"/>
      <c r="I519" s="27" t="s">
        <v>866</v>
      </c>
      <c r="J519" s="27"/>
      <c r="K519" s="27" t="s">
        <v>377</v>
      </c>
      <c r="L519" s="27"/>
      <c r="M519" s="27"/>
      <c r="N519" s="27"/>
      <c r="O519" s="27"/>
      <c r="P519" s="27"/>
      <c r="Q519" s="27"/>
      <c r="R519" s="27">
        <v>1</v>
      </c>
      <c r="S519" s="27"/>
      <c r="T519" s="27"/>
      <c r="U519" s="27"/>
      <c r="V519" s="27"/>
      <c r="W519" s="27"/>
      <c r="X519" s="27"/>
      <c r="Y519" s="27"/>
      <c r="Z519" s="27" t="s">
        <v>2337</v>
      </c>
      <c r="AA519" s="29">
        <v>0.5</v>
      </c>
      <c r="AB519" s="30">
        <f>AA519/0.0052</f>
        <v>96.15384615384616</v>
      </c>
      <c r="AC519" s="30">
        <f>AB519*0.089*24*365/10^6</f>
        <v>7.4965384615384628E-2</v>
      </c>
      <c r="AD519" s="30"/>
      <c r="AE519" s="30">
        <f>AB519</f>
        <v>96.15384615384616</v>
      </c>
      <c r="AF519" s="28" t="s">
        <v>3304</v>
      </c>
      <c r="AG519" s="28"/>
    </row>
    <row r="520" spans="1:33" ht="32.25" customHeight="1" x14ac:dyDescent="0.2">
      <c r="A520" s="27">
        <v>841</v>
      </c>
      <c r="B520" s="27" t="s">
        <v>2519</v>
      </c>
      <c r="C520" s="27" t="s">
        <v>337</v>
      </c>
      <c r="D520" s="27">
        <v>2021</v>
      </c>
      <c r="E520" s="27">
        <v>2023</v>
      </c>
      <c r="F520" s="27" t="s">
        <v>916</v>
      </c>
      <c r="G520" s="27" t="s">
        <v>266</v>
      </c>
      <c r="H520" s="27"/>
      <c r="I520" s="27" t="s">
        <v>927</v>
      </c>
      <c r="J520" s="27"/>
      <c r="K520" s="27" t="s">
        <v>377</v>
      </c>
      <c r="L520" s="27"/>
      <c r="M520" s="27"/>
      <c r="N520" s="27"/>
      <c r="O520" s="27"/>
      <c r="P520" s="27">
        <v>1</v>
      </c>
      <c r="Q520" s="27">
        <v>1</v>
      </c>
      <c r="R520" s="27">
        <v>1</v>
      </c>
      <c r="S520" s="27">
        <v>1</v>
      </c>
      <c r="T520" s="27"/>
      <c r="U520" s="27"/>
      <c r="V520" s="27"/>
      <c r="W520" s="27"/>
      <c r="X520" s="27"/>
      <c r="Y520" s="27"/>
      <c r="Z520" s="27" t="s">
        <v>1896</v>
      </c>
      <c r="AA520" s="29">
        <v>1</v>
      </c>
      <c r="AB520" s="30">
        <f>IF(OR(G520="ALK",G520="PEM",G520="SOEC",G520="Other Electrolysis"),
AA520/VLOOKUP(G520,ElectrolysisConvF,3,FALSE),
AC520*10^6/(H2dens*HoursInYear))</f>
        <v>192.30769230769232</v>
      </c>
      <c r="AC520" s="30">
        <f>AB520*H2dens*HoursInYear/10^6</f>
        <v>0.14993076923076926</v>
      </c>
      <c r="AD520" s="30"/>
      <c r="AE520" s="30">
        <f>IF(AND(G520&lt;&gt;"NG w CCUS",G520&lt;&gt;"Oil w CCUS",G520&lt;&gt;"Coal w CCUS"),AB520,AD520*10^3/(HoursInYear*IF(G520="NG w CCUS",0.9105,1.9075)))</f>
        <v>192.30769230769232</v>
      </c>
      <c r="AF520" s="28" t="s">
        <v>3305</v>
      </c>
      <c r="AG520" s="28"/>
    </row>
    <row r="521" spans="1:33" ht="32.25" customHeight="1" x14ac:dyDescent="0.2">
      <c r="A521" s="27">
        <v>842</v>
      </c>
      <c r="B521" s="27" t="s">
        <v>3306</v>
      </c>
      <c r="C521" s="27" t="s">
        <v>337</v>
      </c>
      <c r="D521" s="27">
        <v>2020</v>
      </c>
      <c r="E521" s="27">
        <v>2023</v>
      </c>
      <c r="F521" s="27" t="s">
        <v>916</v>
      </c>
      <c r="G521" s="27" t="s">
        <v>266</v>
      </c>
      <c r="H521" s="27"/>
      <c r="I521" s="27" t="s">
        <v>768</v>
      </c>
      <c r="J521" s="27" t="s">
        <v>865</v>
      </c>
      <c r="K521" s="27" t="s">
        <v>377</v>
      </c>
      <c r="L521" s="27"/>
      <c r="M521" s="27"/>
      <c r="N521" s="27"/>
      <c r="O521" s="27"/>
      <c r="P521" s="27"/>
      <c r="Q521" s="27">
        <v>1</v>
      </c>
      <c r="R521" s="27">
        <v>1</v>
      </c>
      <c r="S521" s="27"/>
      <c r="T521" s="27"/>
      <c r="U521" s="27"/>
      <c r="V521" s="27"/>
      <c r="W521" s="27"/>
      <c r="X521" s="27"/>
      <c r="Y521" s="27"/>
      <c r="Z521" s="27" t="s">
        <v>3307</v>
      </c>
      <c r="AA521" s="29">
        <f>IF(OR(G521="ALK",G521="PEM",G521="SOEC",G521="Other Electrolysis"),
AB521*VLOOKUP(G521,ElectrolysisConvF,3,FALSE),
"")</f>
        <v>4.8689138576779027E-2</v>
      </c>
      <c r="AB521" s="30">
        <f>AC521/(H2dens*HoursInYear/10^6)</f>
        <v>9.3632958801498134</v>
      </c>
      <c r="AC521" s="30">
        <f>20*365/1000000</f>
        <v>7.3000000000000001E-3</v>
      </c>
      <c r="AD521" s="30"/>
      <c r="AE521" s="30">
        <f>AB521</f>
        <v>9.3632958801498134</v>
      </c>
      <c r="AF521" s="28" t="s">
        <v>3308</v>
      </c>
      <c r="AG521" s="28"/>
    </row>
    <row r="522" spans="1:33" ht="32.25" customHeight="1" x14ac:dyDescent="0.2">
      <c r="A522" s="27">
        <v>843</v>
      </c>
      <c r="B522" s="27" t="s">
        <v>2520</v>
      </c>
      <c r="C522" s="27" t="s">
        <v>347</v>
      </c>
      <c r="D522" s="27">
        <v>2030</v>
      </c>
      <c r="E522" s="27"/>
      <c r="F522" s="27" t="s">
        <v>832</v>
      </c>
      <c r="G522" s="27" t="s">
        <v>758</v>
      </c>
      <c r="H522" s="27" t="s">
        <v>1406</v>
      </c>
      <c r="I522" s="27" t="s">
        <v>768</v>
      </c>
      <c r="J522" s="27" t="s">
        <v>863</v>
      </c>
      <c r="K522" s="27" t="s">
        <v>739</v>
      </c>
      <c r="L522" s="27"/>
      <c r="M522" s="27"/>
      <c r="N522" s="27">
        <v>1</v>
      </c>
      <c r="O522" s="27"/>
      <c r="P522" s="27"/>
      <c r="Q522" s="27"/>
      <c r="R522" s="27"/>
      <c r="S522" s="27"/>
      <c r="T522" s="27"/>
      <c r="U522" s="27"/>
      <c r="V522" s="27"/>
      <c r="W522" s="27"/>
      <c r="X522" s="27"/>
      <c r="Y522" s="27"/>
      <c r="Z522" s="27" t="s">
        <v>2073</v>
      </c>
      <c r="AA522" s="29">
        <v>40</v>
      </c>
      <c r="AB522" s="30">
        <f>AA522/0.0045</f>
        <v>8888.8888888888887</v>
      </c>
      <c r="AC522" s="30">
        <f>AB522*0.089*24*365/10^6</f>
        <v>6.9301333333333321</v>
      </c>
      <c r="AD522" s="30"/>
      <c r="AE522" s="30">
        <f>AB522</f>
        <v>8888.8888888888887</v>
      </c>
      <c r="AF522" s="28" t="s">
        <v>2885</v>
      </c>
      <c r="AG522" s="28"/>
    </row>
    <row r="523" spans="1:33" ht="32.25" customHeight="1" x14ac:dyDescent="0.2">
      <c r="A523" s="27">
        <v>844</v>
      </c>
      <c r="B523" s="27" t="s">
        <v>2521</v>
      </c>
      <c r="C523" s="27" t="s">
        <v>347</v>
      </c>
      <c r="D523" s="27">
        <v>2025</v>
      </c>
      <c r="E523" s="27"/>
      <c r="F523" s="27" t="s">
        <v>832</v>
      </c>
      <c r="G523" s="27" t="s">
        <v>758</v>
      </c>
      <c r="H523" s="27" t="s">
        <v>1406</v>
      </c>
      <c r="I523" s="27" t="s">
        <v>756</v>
      </c>
      <c r="J523" s="27"/>
      <c r="K523" s="27" t="s">
        <v>377</v>
      </c>
      <c r="L523" s="27"/>
      <c r="M523" s="27"/>
      <c r="N523" s="27"/>
      <c r="O523" s="27"/>
      <c r="P523" s="27">
        <v>1</v>
      </c>
      <c r="Q523" s="27"/>
      <c r="R523" s="27"/>
      <c r="S523" s="27"/>
      <c r="T523" s="27"/>
      <c r="U523" s="27"/>
      <c r="V523" s="27"/>
      <c r="W523" s="27"/>
      <c r="X523" s="27"/>
      <c r="Y523" s="27"/>
      <c r="Z523" s="27" t="s">
        <v>2021</v>
      </c>
      <c r="AA523" s="29">
        <v>100</v>
      </c>
      <c r="AB523" s="30">
        <f>AA523/0.0045</f>
        <v>22222.222222222223</v>
      </c>
      <c r="AC523" s="30">
        <f>AB523*0.089*24*365/10^6</f>
        <v>17.325333333333337</v>
      </c>
      <c r="AD523" s="30"/>
      <c r="AE523" s="30">
        <f>AB523</f>
        <v>22222.222222222223</v>
      </c>
      <c r="AF523" s="28" t="s">
        <v>2484</v>
      </c>
      <c r="AG523" s="28"/>
    </row>
    <row r="524" spans="1:33" ht="32.25" customHeight="1" x14ac:dyDescent="0.2">
      <c r="A524" s="27">
        <v>845</v>
      </c>
      <c r="B524" s="27" t="s">
        <v>2522</v>
      </c>
      <c r="C524" s="27" t="s">
        <v>347</v>
      </c>
      <c r="D524" s="27">
        <v>2024</v>
      </c>
      <c r="E524" s="27"/>
      <c r="F524" s="27" t="s">
        <v>832</v>
      </c>
      <c r="G524" s="27" t="s">
        <v>758</v>
      </c>
      <c r="H524" s="27" t="s">
        <v>1406</v>
      </c>
      <c r="I524" s="27" t="s">
        <v>756</v>
      </c>
      <c r="J524" s="27"/>
      <c r="K524" s="27" t="s">
        <v>377</v>
      </c>
      <c r="L524" s="27">
        <v>1</v>
      </c>
      <c r="M524" s="27"/>
      <c r="N524" s="27"/>
      <c r="O524" s="27"/>
      <c r="P524" s="27"/>
      <c r="Q524" s="27"/>
      <c r="R524" s="27"/>
      <c r="S524" s="27"/>
      <c r="T524" s="27"/>
      <c r="U524" s="27"/>
      <c r="V524" s="27"/>
      <c r="W524" s="27"/>
      <c r="X524" s="27"/>
      <c r="Y524" s="27"/>
      <c r="Z524" s="27" t="s">
        <v>2523</v>
      </c>
      <c r="AA524" s="29">
        <v>150</v>
      </c>
      <c r="AB524" s="30">
        <f>AA524/0.0045</f>
        <v>33333.333333333336</v>
      </c>
      <c r="AC524" s="30">
        <f>AB524*0.089*24*365/10^6</f>
        <v>25.988</v>
      </c>
      <c r="AD524" s="30"/>
      <c r="AE524" s="30">
        <f>AB524</f>
        <v>33333.333333333336</v>
      </c>
      <c r="AF524" s="28" t="s">
        <v>2524</v>
      </c>
      <c r="AG524" s="74" t="s">
        <v>3952</v>
      </c>
    </row>
    <row r="525" spans="1:33" ht="32.25" customHeight="1" x14ac:dyDescent="0.2">
      <c r="A525" s="27">
        <v>846</v>
      </c>
      <c r="B525" s="27" t="s">
        <v>2525</v>
      </c>
      <c r="C525" s="27" t="s">
        <v>347</v>
      </c>
      <c r="D525" s="27">
        <v>2027</v>
      </c>
      <c r="E525" s="27"/>
      <c r="F525" s="27" t="s">
        <v>832</v>
      </c>
      <c r="G525" s="27" t="s">
        <v>758</v>
      </c>
      <c r="H525" s="27" t="s">
        <v>1406</v>
      </c>
      <c r="I525" s="27" t="s">
        <v>756</v>
      </c>
      <c r="J525" s="27"/>
      <c r="K525" s="27" t="s">
        <v>377</v>
      </c>
      <c r="L525" s="27"/>
      <c r="M525" s="27"/>
      <c r="N525" s="27"/>
      <c r="O525" s="27"/>
      <c r="P525" s="27">
        <v>1</v>
      </c>
      <c r="Q525" s="27"/>
      <c r="R525" s="27"/>
      <c r="S525" s="27">
        <v>1</v>
      </c>
      <c r="T525" s="27"/>
      <c r="U525" s="27"/>
      <c r="V525" s="27"/>
      <c r="W525" s="27"/>
      <c r="X525" s="27"/>
      <c r="Y525" s="27"/>
      <c r="Z525" s="27" t="s">
        <v>2018</v>
      </c>
      <c r="AA525" s="29">
        <v>700</v>
      </c>
      <c r="AB525" s="30">
        <f>AA525/0.0045</f>
        <v>155555.55555555556</v>
      </c>
      <c r="AC525" s="30">
        <f>AB525*0.089*24*365/10^6</f>
        <v>121.27733333333335</v>
      </c>
      <c r="AD525" s="30"/>
      <c r="AE525" s="30">
        <f>AB525</f>
        <v>155555.55555555556</v>
      </c>
      <c r="AF525" s="28" t="s">
        <v>2524</v>
      </c>
      <c r="AG525" s="74" t="s">
        <v>3952</v>
      </c>
    </row>
    <row r="526" spans="1:33" ht="32.25" customHeight="1" x14ac:dyDescent="0.2">
      <c r="A526" s="27">
        <v>847</v>
      </c>
      <c r="B526" s="27" t="s">
        <v>2526</v>
      </c>
      <c r="C526" s="27" t="s">
        <v>349</v>
      </c>
      <c r="D526" s="27">
        <v>2030</v>
      </c>
      <c r="E526" s="27"/>
      <c r="F526" s="27" t="s">
        <v>1336</v>
      </c>
      <c r="G526" s="27" t="s">
        <v>758</v>
      </c>
      <c r="H526" s="27" t="s">
        <v>1406</v>
      </c>
      <c r="I526" s="27" t="s">
        <v>768</v>
      </c>
      <c r="J526" s="27" t="s">
        <v>863</v>
      </c>
      <c r="K526" s="27" t="s">
        <v>767</v>
      </c>
      <c r="L526" s="27"/>
      <c r="M526" s="27"/>
      <c r="N526" s="27"/>
      <c r="O526" s="27"/>
      <c r="P526" s="27">
        <v>1</v>
      </c>
      <c r="Q526" s="27"/>
      <c r="R526" s="27"/>
      <c r="S526" s="27"/>
      <c r="T526" s="27"/>
      <c r="U526" s="27"/>
      <c r="V526" s="27"/>
      <c r="W526" s="27"/>
      <c r="X526" s="27"/>
      <c r="Y526" s="27"/>
      <c r="Z526" s="27" t="s">
        <v>2527</v>
      </c>
      <c r="AA526" s="29">
        <v>300</v>
      </c>
      <c r="AB526" s="30">
        <f>AA526/0.0045</f>
        <v>66666.666666666672</v>
      </c>
      <c r="AC526" s="30">
        <f>AB526*0.089*24*365/10^6</f>
        <v>51.975999999999999</v>
      </c>
      <c r="AD526" s="30"/>
      <c r="AE526" s="30">
        <f>AB526</f>
        <v>66666.666666666672</v>
      </c>
      <c r="AF526" s="28" t="s">
        <v>2524</v>
      </c>
      <c r="AG526" s="74" t="s">
        <v>3952</v>
      </c>
    </row>
    <row r="527" spans="1:33" ht="32.25" customHeight="1" x14ac:dyDescent="0.2">
      <c r="A527" s="27">
        <v>848</v>
      </c>
      <c r="B527" s="27" t="s">
        <v>2528</v>
      </c>
      <c r="C527" s="27" t="s">
        <v>347</v>
      </c>
      <c r="D527" s="27">
        <v>2023</v>
      </c>
      <c r="E527" s="27"/>
      <c r="F527" s="27" t="s">
        <v>832</v>
      </c>
      <c r="G527" s="27" t="s">
        <v>758</v>
      </c>
      <c r="H527" s="27" t="s">
        <v>1406</v>
      </c>
      <c r="I527" s="27" t="s">
        <v>768</v>
      </c>
      <c r="J527" s="27" t="s">
        <v>863</v>
      </c>
      <c r="K527" s="27" t="s">
        <v>377</v>
      </c>
      <c r="L527" s="27"/>
      <c r="M527" s="27"/>
      <c r="N527" s="27"/>
      <c r="O527" s="27"/>
      <c r="P527" s="27"/>
      <c r="Q527" s="27"/>
      <c r="R527" s="27"/>
      <c r="S527" s="27"/>
      <c r="T527" s="27"/>
      <c r="U527" s="27"/>
      <c r="V527" s="27"/>
      <c r="W527" s="27"/>
      <c r="X527" s="27"/>
      <c r="Y527" s="27"/>
      <c r="Z527" s="27" t="s">
        <v>1898</v>
      </c>
      <c r="AA527" s="29">
        <v>25</v>
      </c>
      <c r="AB527" s="30">
        <f>AA527/0.0045</f>
        <v>5555.5555555555557</v>
      </c>
      <c r="AC527" s="30">
        <f>AB527*0.089*24*365/10^6</f>
        <v>4.3313333333333341</v>
      </c>
      <c r="AD527" s="30"/>
      <c r="AE527" s="30">
        <f>AB527</f>
        <v>5555.5555555555557</v>
      </c>
      <c r="AF527" s="28" t="s">
        <v>2529</v>
      </c>
      <c r="AG527" s="28"/>
    </row>
    <row r="528" spans="1:33" ht="32.25" customHeight="1" x14ac:dyDescent="0.2">
      <c r="A528" s="27">
        <v>849</v>
      </c>
      <c r="B528" s="27" t="s">
        <v>2530</v>
      </c>
      <c r="C528" s="27" t="s">
        <v>346</v>
      </c>
      <c r="D528" s="27">
        <v>2025</v>
      </c>
      <c r="E528" s="27"/>
      <c r="F528" s="27" t="s">
        <v>832</v>
      </c>
      <c r="G528" s="27" t="s">
        <v>758</v>
      </c>
      <c r="H528" s="27" t="s">
        <v>1406</v>
      </c>
      <c r="I528" s="27" t="s">
        <v>768</v>
      </c>
      <c r="J528" s="27" t="s">
        <v>865</v>
      </c>
      <c r="K528" s="27" t="s">
        <v>377</v>
      </c>
      <c r="L528" s="27">
        <v>1</v>
      </c>
      <c r="M528" s="27"/>
      <c r="N528" s="27"/>
      <c r="O528" s="27"/>
      <c r="P528" s="27"/>
      <c r="Q528" s="27">
        <v>1</v>
      </c>
      <c r="R528" s="27"/>
      <c r="S528" s="27"/>
      <c r="T528" s="27"/>
      <c r="U528" s="27"/>
      <c r="V528" s="27"/>
      <c r="W528" s="27"/>
      <c r="X528" s="27"/>
      <c r="Y528" s="27"/>
      <c r="Z528" s="27" t="s">
        <v>2556</v>
      </c>
      <c r="AA528" s="91">
        <v>280</v>
      </c>
      <c r="AB528" s="30">
        <f>AA528/0.0045</f>
        <v>62222.222222222226</v>
      </c>
      <c r="AC528" s="30">
        <f>AB528*0.089*24*365/10^6</f>
        <v>48.510933333333341</v>
      </c>
      <c r="AD528" s="30"/>
      <c r="AE528" s="30">
        <f>AB528</f>
        <v>62222.222222222226</v>
      </c>
      <c r="AF528" s="28" t="s">
        <v>3209</v>
      </c>
      <c r="AG528" s="74" t="s">
        <v>3953</v>
      </c>
    </row>
    <row r="529" spans="1:33" ht="32.25" customHeight="1" x14ac:dyDescent="0.2">
      <c r="A529" s="27">
        <v>850</v>
      </c>
      <c r="B529" s="27" t="s">
        <v>2532</v>
      </c>
      <c r="C529" s="27" t="s">
        <v>346</v>
      </c>
      <c r="D529" s="27">
        <v>2022</v>
      </c>
      <c r="E529" s="27"/>
      <c r="F529" s="27" t="s">
        <v>754</v>
      </c>
      <c r="G529" s="27" t="s">
        <v>758</v>
      </c>
      <c r="H529" s="27" t="s">
        <v>1406</v>
      </c>
      <c r="I529" s="27" t="s">
        <v>768</v>
      </c>
      <c r="J529" s="27" t="s">
        <v>865</v>
      </c>
      <c r="K529" s="27" t="s">
        <v>739</v>
      </c>
      <c r="L529" s="27"/>
      <c r="M529" s="27"/>
      <c r="N529" s="27">
        <v>1</v>
      </c>
      <c r="O529" s="27"/>
      <c r="P529" s="27"/>
      <c r="Q529" s="27"/>
      <c r="R529" s="27"/>
      <c r="S529" s="27"/>
      <c r="T529" s="27"/>
      <c r="U529" s="27"/>
      <c r="V529" s="27"/>
      <c r="W529" s="27"/>
      <c r="X529" s="27"/>
      <c r="Y529" s="27"/>
      <c r="Z529" s="27" t="s">
        <v>3200</v>
      </c>
      <c r="AA529" s="29">
        <v>12</v>
      </c>
      <c r="AB529" s="30">
        <f>AA529/0.0045</f>
        <v>2666.666666666667</v>
      </c>
      <c r="AC529" s="30">
        <f>AB529*0.089*24*365/10^6</f>
        <v>2.07904</v>
      </c>
      <c r="AD529" s="30"/>
      <c r="AE529" s="30">
        <f>AB529</f>
        <v>2666.666666666667</v>
      </c>
      <c r="AF529" s="28" t="s">
        <v>3202</v>
      </c>
      <c r="AG529" s="74" t="s">
        <v>4068</v>
      </c>
    </row>
    <row r="530" spans="1:33" ht="32.25" customHeight="1" x14ac:dyDescent="0.2">
      <c r="A530" s="27">
        <v>851</v>
      </c>
      <c r="B530" s="27" t="s">
        <v>2533</v>
      </c>
      <c r="C530" s="27" t="s">
        <v>338</v>
      </c>
      <c r="D530" s="27">
        <v>2022</v>
      </c>
      <c r="E530" s="27"/>
      <c r="F530" s="27" t="s">
        <v>753</v>
      </c>
      <c r="G530" s="27" t="s">
        <v>758</v>
      </c>
      <c r="H530" s="27" t="s">
        <v>1406</v>
      </c>
      <c r="I530" s="27" t="s">
        <v>768</v>
      </c>
      <c r="J530" s="27" t="s">
        <v>865</v>
      </c>
      <c r="K530" s="27" t="s">
        <v>377</v>
      </c>
      <c r="L530" s="27"/>
      <c r="M530" s="27"/>
      <c r="N530" s="27"/>
      <c r="O530" s="27"/>
      <c r="P530" s="27"/>
      <c r="Q530" s="27">
        <v>1</v>
      </c>
      <c r="R530" s="27"/>
      <c r="S530" s="27"/>
      <c r="T530" s="27"/>
      <c r="U530" s="27"/>
      <c r="V530" s="27"/>
      <c r="W530" s="27"/>
      <c r="X530" s="27"/>
      <c r="Y530" s="27"/>
      <c r="Z530" s="27" t="s">
        <v>1403</v>
      </c>
      <c r="AA530" s="29">
        <v>20</v>
      </c>
      <c r="AB530" s="30">
        <f>AA530/0.0045</f>
        <v>4444.4444444444443</v>
      </c>
      <c r="AC530" s="30">
        <f>AB530*0.089*24*365/10^6</f>
        <v>3.4650666666666661</v>
      </c>
      <c r="AD530" s="30"/>
      <c r="AE530" s="30">
        <f>AB530</f>
        <v>4444.4444444444443</v>
      </c>
      <c r="AF530" s="28" t="s">
        <v>2534</v>
      </c>
      <c r="AG530" s="74" t="s">
        <v>4093</v>
      </c>
    </row>
    <row r="531" spans="1:33" ht="32.25" customHeight="1" x14ac:dyDescent="0.2">
      <c r="A531" s="27">
        <v>852</v>
      </c>
      <c r="B531" s="27" t="s">
        <v>2535</v>
      </c>
      <c r="C531" s="27" t="s">
        <v>632</v>
      </c>
      <c r="D531" s="27">
        <v>2021</v>
      </c>
      <c r="E531" s="27"/>
      <c r="F531" s="27" t="s">
        <v>1336</v>
      </c>
      <c r="G531" s="27" t="s">
        <v>758</v>
      </c>
      <c r="H531" s="27" t="s">
        <v>1406</v>
      </c>
      <c r="I531" s="27" t="s">
        <v>768</v>
      </c>
      <c r="J531" s="27" t="s">
        <v>862</v>
      </c>
      <c r="K531" s="27" t="s">
        <v>377</v>
      </c>
      <c r="L531" s="27"/>
      <c r="M531" s="27"/>
      <c r="N531" s="27"/>
      <c r="O531" s="27"/>
      <c r="P531" s="27"/>
      <c r="Q531" s="27"/>
      <c r="R531" s="27"/>
      <c r="S531" s="27"/>
      <c r="T531" s="27"/>
      <c r="U531" s="27"/>
      <c r="V531" s="27"/>
      <c r="W531" s="27"/>
      <c r="X531" s="27"/>
      <c r="Y531" s="27"/>
      <c r="Z531" s="27"/>
      <c r="AA531" s="29"/>
      <c r="AB531" s="30"/>
      <c r="AC531" s="30"/>
      <c r="AD531" s="30"/>
      <c r="AE531" s="30"/>
      <c r="AF531" s="28" t="s">
        <v>2536</v>
      </c>
      <c r="AG531" s="28"/>
    </row>
    <row r="532" spans="1:33" ht="32.25" customHeight="1" x14ac:dyDescent="0.2">
      <c r="A532" s="27">
        <v>853</v>
      </c>
      <c r="B532" s="27" t="s">
        <v>2537</v>
      </c>
      <c r="C532" s="27" t="s">
        <v>343</v>
      </c>
      <c r="D532" s="27"/>
      <c r="E532" s="27"/>
      <c r="F532" s="27" t="s">
        <v>753</v>
      </c>
      <c r="G532" s="27" t="s">
        <v>758</v>
      </c>
      <c r="H532" s="27" t="s">
        <v>1406</v>
      </c>
      <c r="I532" s="27" t="s">
        <v>756</v>
      </c>
      <c r="J532" s="27"/>
      <c r="K532" s="27" t="s">
        <v>377</v>
      </c>
      <c r="L532" s="27"/>
      <c r="M532" s="27"/>
      <c r="N532" s="27"/>
      <c r="O532" s="27"/>
      <c r="P532" s="27"/>
      <c r="Q532" s="27">
        <v>1</v>
      </c>
      <c r="R532" s="27"/>
      <c r="S532" s="27">
        <v>1</v>
      </c>
      <c r="T532" s="27"/>
      <c r="U532" s="27">
        <v>1</v>
      </c>
      <c r="V532" s="27"/>
      <c r="W532" s="27"/>
      <c r="X532" s="27"/>
      <c r="Y532" s="27"/>
      <c r="Z532" s="27"/>
      <c r="AA532" s="29"/>
      <c r="AB532" s="30"/>
      <c r="AC532" s="30"/>
      <c r="AD532" s="30"/>
      <c r="AE532" s="30"/>
      <c r="AF532" s="28" t="s">
        <v>3279</v>
      </c>
      <c r="AG532" s="28"/>
    </row>
    <row r="533" spans="1:33" ht="32.25" customHeight="1" x14ac:dyDescent="0.2">
      <c r="A533" s="27">
        <v>854</v>
      </c>
      <c r="B533" s="27" t="s">
        <v>2538</v>
      </c>
      <c r="C533" s="27" t="s">
        <v>336</v>
      </c>
      <c r="D533" s="27"/>
      <c r="E533" s="27"/>
      <c r="F533" s="27" t="s">
        <v>832</v>
      </c>
      <c r="G533" s="27" t="s">
        <v>758</v>
      </c>
      <c r="H533" s="27" t="s">
        <v>1406</v>
      </c>
      <c r="I533" s="27" t="s">
        <v>768</v>
      </c>
      <c r="J533" s="27" t="s">
        <v>865</v>
      </c>
      <c r="K533" s="27" t="s">
        <v>740</v>
      </c>
      <c r="L533" s="27"/>
      <c r="M533" s="27">
        <v>1</v>
      </c>
      <c r="N533" s="27"/>
      <c r="O533" s="27"/>
      <c r="P533" s="27"/>
      <c r="Q533" s="27"/>
      <c r="R533" s="27"/>
      <c r="S533" s="27"/>
      <c r="T533" s="27"/>
      <c r="U533" s="27"/>
      <c r="V533" s="27"/>
      <c r="W533" s="27"/>
      <c r="X533" s="27"/>
      <c r="Y533" s="27"/>
      <c r="Z533" s="27" t="s">
        <v>2539</v>
      </c>
      <c r="AA533" s="29">
        <v>250</v>
      </c>
      <c r="AB533" s="30">
        <f>AA533/0.0045</f>
        <v>55555.555555555562</v>
      </c>
      <c r="AC533" s="30">
        <f>AB533*0.089*24*365/10^6</f>
        <v>43.313333333333325</v>
      </c>
      <c r="AD533" s="30"/>
      <c r="AE533" s="30">
        <f>AB533</f>
        <v>55555.555555555562</v>
      </c>
      <c r="AF533" s="28" t="s">
        <v>2540</v>
      </c>
      <c r="AG533" s="28"/>
    </row>
    <row r="534" spans="1:33" ht="32.25" customHeight="1" x14ac:dyDescent="0.2">
      <c r="A534" s="27">
        <v>855</v>
      </c>
      <c r="B534" s="27" t="s">
        <v>2541</v>
      </c>
      <c r="C534" s="27" t="s">
        <v>331</v>
      </c>
      <c r="D534" s="27"/>
      <c r="E534" s="27"/>
      <c r="F534" s="27" t="s">
        <v>1336</v>
      </c>
      <c r="G534" s="27" t="s">
        <v>758</v>
      </c>
      <c r="H534" s="27" t="s">
        <v>1406</v>
      </c>
      <c r="I534" s="27" t="s">
        <v>768</v>
      </c>
      <c r="J534" s="27" t="s">
        <v>861</v>
      </c>
      <c r="K534" s="27" t="s">
        <v>377</v>
      </c>
      <c r="L534" s="27"/>
      <c r="M534" s="27"/>
      <c r="N534" s="27"/>
      <c r="O534" s="27"/>
      <c r="P534" s="27"/>
      <c r="Q534" s="27">
        <v>1</v>
      </c>
      <c r="R534" s="27"/>
      <c r="S534" s="27"/>
      <c r="T534" s="27"/>
      <c r="U534" s="27"/>
      <c r="V534" s="27"/>
      <c r="W534" s="27"/>
      <c r="X534" s="27"/>
      <c r="Y534" s="27"/>
      <c r="Z534" s="27"/>
      <c r="AA534" s="29"/>
      <c r="AB534" s="30"/>
      <c r="AC534" s="30"/>
      <c r="AD534" s="30"/>
      <c r="AE534" s="30"/>
      <c r="AF534" s="28" t="s">
        <v>2542</v>
      </c>
      <c r="AG534" s="28"/>
    </row>
    <row r="535" spans="1:33" ht="32.25" customHeight="1" x14ac:dyDescent="0.2">
      <c r="A535" s="27">
        <v>856</v>
      </c>
      <c r="B535" s="27" t="s">
        <v>3331</v>
      </c>
      <c r="C535" s="27" t="s">
        <v>980</v>
      </c>
      <c r="D535" s="27"/>
      <c r="E535" s="27"/>
      <c r="F535" s="27" t="s">
        <v>832</v>
      </c>
      <c r="G535" s="27" t="s">
        <v>758</v>
      </c>
      <c r="H535" s="27" t="s">
        <v>1406</v>
      </c>
      <c r="I535" s="27" t="s">
        <v>768</v>
      </c>
      <c r="J535" s="27" t="s">
        <v>861</v>
      </c>
      <c r="K535" s="27" t="s">
        <v>377</v>
      </c>
      <c r="L535" s="27"/>
      <c r="M535" s="27"/>
      <c r="N535" s="27"/>
      <c r="O535" s="27"/>
      <c r="P535" s="27"/>
      <c r="Q535" s="27"/>
      <c r="R535" s="27"/>
      <c r="S535" s="27"/>
      <c r="T535" s="27"/>
      <c r="U535" s="27"/>
      <c r="V535" s="27"/>
      <c r="W535" s="27"/>
      <c r="X535" s="27"/>
      <c r="Y535" s="27"/>
      <c r="Z535" s="27" t="s">
        <v>2091</v>
      </c>
      <c r="AA535" s="29">
        <v>60</v>
      </c>
      <c r="AB535" s="30">
        <f>AA535/0.0045</f>
        <v>13333.333333333334</v>
      </c>
      <c r="AC535" s="30">
        <f>AB535*0.089*24*365/10^6</f>
        <v>10.395200000000001</v>
      </c>
      <c r="AD535" s="30"/>
      <c r="AE535" s="30">
        <f>AB535</f>
        <v>13333.333333333334</v>
      </c>
      <c r="AF535" s="28" t="s">
        <v>3332</v>
      </c>
      <c r="AG535" s="28"/>
    </row>
    <row r="536" spans="1:33" ht="32.25" customHeight="1" x14ac:dyDescent="0.2">
      <c r="A536" s="27">
        <v>857</v>
      </c>
      <c r="B536" s="27" t="s">
        <v>3333</v>
      </c>
      <c r="C536" s="27" t="s">
        <v>980</v>
      </c>
      <c r="D536" s="27"/>
      <c r="E536" s="27"/>
      <c r="F536" s="27" t="s">
        <v>832</v>
      </c>
      <c r="G536" s="27" t="s">
        <v>758</v>
      </c>
      <c r="H536" s="27" t="s">
        <v>1406</v>
      </c>
      <c r="I536" s="27" t="s">
        <v>768</v>
      </c>
      <c r="J536" s="27" t="s">
        <v>862</v>
      </c>
      <c r="K536" s="27" t="s">
        <v>377</v>
      </c>
      <c r="L536" s="27"/>
      <c r="M536" s="27"/>
      <c r="N536" s="27"/>
      <c r="O536" s="27"/>
      <c r="P536" s="27">
        <v>1</v>
      </c>
      <c r="Q536" s="27"/>
      <c r="R536" s="27"/>
      <c r="S536" s="27"/>
      <c r="T536" s="27"/>
      <c r="U536" s="27"/>
      <c r="V536" s="27"/>
      <c r="W536" s="27"/>
      <c r="X536" s="27"/>
      <c r="Y536" s="27"/>
      <c r="Z536" s="27" t="s">
        <v>1902</v>
      </c>
      <c r="AA536" s="29">
        <v>50</v>
      </c>
      <c r="AB536" s="30">
        <f>AA536/0.0045</f>
        <v>11111.111111111111</v>
      </c>
      <c r="AC536" s="30">
        <f>AB536*0.089*24*365/10^6</f>
        <v>8.6626666666666683</v>
      </c>
      <c r="AD536" s="30"/>
      <c r="AE536" s="30">
        <f>AB536</f>
        <v>11111.111111111111</v>
      </c>
      <c r="AF536" s="28" t="s">
        <v>3334</v>
      </c>
      <c r="AG536" s="28"/>
    </row>
    <row r="537" spans="1:33" ht="32.25" customHeight="1" x14ac:dyDescent="0.2">
      <c r="A537" s="27">
        <v>858</v>
      </c>
      <c r="B537" s="27" t="s">
        <v>2543</v>
      </c>
      <c r="C537" s="27" t="s">
        <v>343</v>
      </c>
      <c r="D537" s="27"/>
      <c r="E537" s="27"/>
      <c r="F537" s="27" t="s">
        <v>916</v>
      </c>
      <c r="G537" s="27" t="s">
        <v>758</v>
      </c>
      <c r="H537" s="27" t="s">
        <v>1406</v>
      </c>
      <c r="I537" s="27" t="s">
        <v>768</v>
      </c>
      <c r="J537" s="27" t="s">
        <v>865</v>
      </c>
      <c r="K537" s="27" t="s">
        <v>377</v>
      </c>
      <c r="L537" s="27"/>
      <c r="M537" s="27"/>
      <c r="N537" s="27"/>
      <c r="O537" s="27"/>
      <c r="P537" s="27"/>
      <c r="Q537" s="27"/>
      <c r="R537" s="27"/>
      <c r="S537" s="27"/>
      <c r="T537" s="27"/>
      <c r="U537" s="27"/>
      <c r="V537" s="27"/>
      <c r="W537" s="27"/>
      <c r="X537" s="27"/>
      <c r="Y537" s="27"/>
      <c r="Z537" s="27"/>
      <c r="AA537" s="29"/>
      <c r="AB537" s="30"/>
      <c r="AC537" s="30"/>
      <c r="AD537" s="30"/>
      <c r="AE537" s="30"/>
      <c r="AF537" s="28" t="s">
        <v>2544</v>
      </c>
      <c r="AG537" s="28"/>
    </row>
    <row r="538" spans="1:33" ht="32.25" customHeight="1" x14ac:dyDescent="0.2">
      <c r="A538" s="27">
        <v>859</v>
      </c>
      <c r="B538" s="27" t="s">
        <v>2545</v>
      </c>
      <c r="C538" s="27" t="s">
        <v>980</v>
      </c>
      <c r="D538" s="27"/>
      <c r="E538" s="27"/>
      <c r="F538" s="27" t="s">
        <v>1336</v>
      </c>
      <c r="G538" s="27" t="s">
        <v>758</v>
      </c>
      <c r="H538" s="27" t="s">
        <v>1406</v>
      </c>
      <c r="I538" s="27" t="s">
        <v>866</v>
      </c>
      <c r="J538" s="27"/>
      <c r="K538" s="27" t="s">
        <v>377</v>
      </c>
      <c r="L538" s="27"/>
      <c r="M538" s="27"/>
      <c r="N538" s="27"/>
      <c r="O538" s="27"/>
      <c r="P538" s="27"/>
      <c r="Q538" s="27"/>
      <c r="R538" s="27"/>
      <c r="S538" s="27"/>
      <c r="T538" s="27"/>
      <c r="U538" s="27"/>
      <c r="V538" s="27"/>
      <c r="W538" s="27"/>
      <c r="X538" s="27"/>
      <c r="Y538" s="27"/>
      <c r="Z538" s="27"/>
      <c r="AA538" s="29"/>
      <c r="AB538" s="30"/>
      <c r="AC538" s="30"/>
      <c r="AD538" s="30"/>
      <c r="AE538" s="30"/>
      <c r="AF538" s="28" t="s">
        <v>2546</v>
      </c>
      <c r="AG538" s="28"/>
    </row>
    <row r="539" spans="1:33" ht="32.25" customHeight="1" x14ac:dyDescent="0.2">
      <c r="A539" s="27">
        <v>860</v>
      </c>
      <c r="B539" s="27" t="s">
        <v>2547</v>
      </c>
      <c r="C539" s="27" t="s">
        <v>338</v>
      </c>
      <c r="D539" s="27"/>
      <c r="E539" s="27"/>
      <c r="F539" s="27" t="s">
        <v>753</v>
      </c>
      <c r="G539" s="27" t="s">
        <v>758</v>
      </c>
      <c r="H539" s="27" t="s">
        <v>1406</v>
      </c>
      <c r="I539" s="27" t="s">
        <v>768</v>
      </c>
      <c r="J539" s="27" t="s">
        <v>864</v>
      </c>
      <c r="K539" s="27" t="s">
        <v>377</v>
      </c>
      <c r="L539" s="27"/>
      <c r="M539" s="27"/>
      <c r="N539" s="27"/>
      <c r="O539" s="27"/>
      <c r="P539" s="27"/>
      <c r="Q539" s="27"/>
      <c r="R539" s="27">
        <v>1</v>
      </c>
      <c r="S539" s="27"/>
      <c r="T539" s="27"/>
      <c r="U539" s="27"/>
      <c r="V539" s="27"/>
      <c r="W539" s="27"/>
      <c r="X539" s="27"/>
      <c r="Y539" s="27"/>
      <c r="Z539" s="27" t="s">
        <v>2548</v>
      </c>
      <c r="AA539" s="29">
        <f>AB539*0.0045</f>
        <v>26.999999999999996</v>
      </c>
      <c r="AB539" s="30">
        <v>6000</v>
      </c>
      <c r="AC539" s="30">
        <f>AB539*0.089*24*365/10^6</f>
        <v>4.6778399999999998</v>
      </c>
      <c r="AD539" s="30"/>
      <c r="AE539" s="30">
        <f>AB539</f>
        <v>6000</v>
      </c>
      <c r="AF539" s="28" t="s">
        <v>2549</v>
      </c>
      <c r="AG539" s="28"/>
    </row>
    <row r="540" spans="1:33" ht="32.25" customHeight="1" x14ac:dyDescent="0.2">
      <c r="A540" s="27">
        <v>861</v>
      </c>
      <c r="B540" s="27" t="s">
        <v>2550</v>
      </c>
      <c r="C540" s="27" t="s">
        <v>347</v>
      </c>
      <c r="D540" s="27">
        <v>2030</v>
      </c>
      <c r="E540" s="27"/>
      <c r="F540" s="27" t="s">
        <v>832</v>
      </c>
      <c r="G540" s="27" t="s">
        <v>760</v>
      </c>
      <c r="H540" s="27" t="s">
        <v>1437</v>
      </c>
      <c r="I540" s="27"/>
      <c r="J540" s="27"/>
      <c r="K540" s="27" t="s">
        <v>377</v>
      </c>
      <c r="L540" s="27">
        <v>1</v>
      </c>
      <c r="M540" s="27"/>
      <c r="N540" s="27"/>
      <c r="O540" s="27"/>
      <c r="P540" s="27"/>
      <c r="Q540" s="27"/>
      <c r="R540" s="27"/>
      <c r="S540" s="27">
        <v>1</v>
      </c>
      <c r="T540" s="27"/>
      <c r="U540" s="27"/>
      <c r="V540" s="27"/>
      <c r="W540" s="27"/>
      <c r="X540" s="27"/>
      <c r="Y540" s="27"/>
      <c r="Z540" s="27" t="s">
        <v>2551</v>
      </c>
      <c r="AA540" s="29"/>
      <c r="AB540" s="30">
        <f>AC540/(0.089*24*365/10^6)</f>
        <v>256528.65425067977</v>
      </c>
      <c r="AC540" s="30">
        <f>300-100</f>
        <v>200</v>
      </c>
      <c r="AD540" s="30">
        <f>2700000-900000</f>
        <v>1800000</v>
      </c>
      <c r="AE540" s="64">
        <f>AD540*1000/(365*24*0.9105)</f>
        <v>225677.5969849473</v>
      </c>
      <c r="AF540" s="28" t="s">
        <v>2447</v>
      </c>
      <c r="AG540" s="28"/>
    </row>
    <row r="541" spans="1:33" ht="32.25" customHeight="1" x14ac:dyDescent="0.2">
      <c r="A541" s="27">
        <v>862</v>
      </c>
      <c r="B541" s="27" t="s">
        <v>2552</v>
      </c>
      <c r="C541" s="27" t="s">
        <v>349</v>
      </c>
      <c r="D541" s="27">
        <v>2022</v>
      </c>
      <c r="E541" s="27"/>
      <c r="F541" s="27" t="s">
        <v>753</v>
      </c>
      <c r="G541" s="27" t="s">
        <v>758</v>
      </c>
      <c r="H541" s="27" t="s">
        <v>1406</v>
      </c>
      <c r="I541" s="27" t="s">
        <v>756</v>
      </c>
      <c r="J541" s="27"/>
      <c r="K541" s="27" t="s">
        <v>377</v>
      </c>
      <c r="L541" s="27"/>
      <c r="M541" s="27"/>
      <c r="N541" s="27"/>
      <c r="O541" s="27"/>
      <c r="P541" s="27"/>
      <c r="Q541" s="27">
        <v>1</v>
      </c>
      <c r="R541" s="27"/>
      <c r="S541" s="27"/>
      <c r="T541" s="27"/>
      <c r="U541" s="27"/>
      <c r="V541" s="27"/>
      <c r="W541" s="27"/>
      <c r="X541" s="27"/>
      <c r="Y541" s="27"/>
      <c r="Z541" s="27" t="s">
        <v>2553</v>
      </c>
      <c r="AA541" s="29">
        <v>0.75</v>
      </c>
      <c r="AB541" s="30">
        <f>AA541/0.0045</f>
        <v>166.66666666666669</v>
      </c>
      <c r="AC541" s="30">
        <f>AB541*0.089*24*365/10^6</f>
        <v>0.12994</v>
      </c>
      <c r="AD541" s="30"/>
      <c r="AE541" s="30">
        <f>AB541</f>
        <v>166.66666666666669</v>
      </c>
      <c r="AF541" s="28" t="s">
        <v>3091</v>
      </c>
      <c r="AG541" s="28"/>
    </row>
    <row r="542" spans="1:33" ht="32.25" customHeight="1" x14ac:dyDescent="0.2">
      <c r="A542" s="27">
        <v>863</v>
      </c>
      <c r="B542" s="27" t="s">
        <v>2554</v>
      </c>
      <c r="C542" s="27" t="s">
        <v>349</v>
      </c>
      <c r="D542" s="27"/>
      <c r="E542" s="27"/>
      <c r="F542" s="27" t="s">
        <v>1336</v>
      </c>
      <c r="G542" s="27" t="s">
        <v>758</v>
      </c>
      <c r="H542" s="27" t="s">
        <v>1406</v>
      </c>
      <c r="I542" s="27" t="s">
        <v>768</v>
      </c>
      <c r="J542" s="27" t="s">
        <v>863</v>
      </c>
      <c r="K542" s="27" t="s">
        <v>739</v>
      </c>
      <c r="L542" s="27"/>
      <c r="M542" s="27"/>
      <c r="N542" s="27">
        <v>1</v>
      </c>
      <c r="O542" s="27"/>
      <c r="P542" s="27"/>
      <c r="Q542" s="27"/>
      <c r="R542" s="27"/>
      <c r="S542" s="27"/>
      <c r="T542" s="27"/>
      <c r="U542" s="27"/>
      <c r="V542" s="27"/>
      <c r="W542" s="27"/>
      <c r="X542" s="27"/>
      <c r="Y542" s="27"/>
      <c r="Z542" s="27" t="s">
        <v>2021</v>
      </c>
      <c r="AA542" s="29">
        <v>90</v>
      </c>
      <c r="AB542" s="30">
        <f>AA542/0.0045</f>
        <v>20000</v>
      </c>
      <c r="AC542" s="30">
        <f>AB542*0.089*24*365/10^6</f>
        <v>15.5928</v>
      </c>
      <c r="AD542" s="30"/>
      <c r="AE542" s="30">
        <f>AB542</f>
        <v>20000</v>
      </c>
      <c r="AF542" s="28" t="s">
        <v>1908</v>
      </c>
      <c r="AG542" s="28"/>
    </row>
    <row r="543" spans="1:33" ht="32.25" customHeight="1" x14ac:dyDescent="0.2">
      <c r="A543" s="27">
        <v>864</v>
      </c>
      <c r="B543" s="27" t="s">
        <v>2555</v>
      </c>
      <c r="C543" s="27" t="s">
        <v>349</v>
      </c>
      <c r="D543" s="27">
        <v>2030</v>
      </c>
      <c r="E543" s="27"/>
      <c r="F543" s="27" t="s">
        <v>1336</v>
      </c>
      <c r="G543" s="27" t="s">
        <v>758</v>
      </c>
      <c r="H543" s="27" t="s">
        <v>1406</v>
      </c>
      <c r="I543" s="27" t="s">
        <v>768</v>
      </c>
      <c r="J543" s="27" t="s">
        <v>863</v>
      </c>
      <c r="K543" s="27" t="s">
        <v>377</v>
      </c>
      <c r="L543" s="27"/>
      <c r="M543" s="27"/>
      <c r="N543" s="27"/>
      <c r="O543" s="27"/>
      <c r="P543" s="27"/>
      <c r="Q543" s="27">
        <v>1</v>
      </c>
      <c r="R543" s="27"/>
      <c r="S543" s="27"/>
      <c r="T543" s="27"/>
      <c r="U543" s="27"/>
      <c r="V543" s="27"/>
      <c r="W543" s="27"/>
      <c r="X543" s="27"/>
      <c r="Y543" s="27"/>
      <c r="Z543" s="27" t="s">
        <v>2556</v>
      </c>
      <c r="AA543" s="29">
        <v>250</v>
      </c>
      <c r="AB543" s="30">
        <f>AA543/0.0045</f>
        <v>55555.555555555562</v>
      </c>
      <c r="AC543" s="30">
        <f>AB543*0.089*24*365/10^6</f>
        <v>43.313333333333325</v>
      </c>
      <c r="AD543" s="30"/>
      <c r="AE543" s="30">
        <f>AB543</f>
        <v>55555.555555555562</v>
      </c>
      <c r="AF543" s="28" t="s">
        <v>1903</v>
      </c>
      <c r="AG543" s="28"/>
    </row>
    <row r="544" spans="1:33" ht="32.25" customHeight="1" x14ac:dyDescent="0.2">
      <c r="A544" s="27">
        <v>865</v>
      </c>
      <c r="B544" s="55" t="s">
        <v>2557</v>
      </c>
      <c r="C544" s="55" t="s">
        <v>342</v>
      </c>
      <c r="D544" s="55"/>
      <c r="E544" s="55"/>
      <c r="F544" s="55" t="s">
        <v>1336</v>
      </c>
      <c r="G544" s="55" t="s">
        <v>758</v>
      </c>
      <c r="H544" s="55" t="s">
        <v>1406</v>
      </c>
      <c r="I544" s="55" t="s">
        <v>768</v>
      </c>
      <c r="J544" s="55" t="s">
        <v>865</v>
      </c>
      <c r="K544" s="55" t="s">
        <v>377</v>
      </c>
      <c r="L544" s="55"/>
      <c r="M544" s="55"/>
      <c r="N544" s="55"/>
      <c r="O544" s="55"/>
      <c r="P544" s="55"/>
      <c r="Q544" s="55"/>
      <c r="R544" s="55"/>
      <c r="S544" s="55"/>
      <c r="T544" s="55"/>
      <c r="U544" s="55"/>
      <c r="V544" s="55"/>
      <c r="W544" s="55"/>
      <c r="X544" s="55"/>
      <c r="Y544" s="55"/>
      <c r="Z544" s="55" t="s">
        <v>2889</v>
      </c>
      <c r="AA544" s="57">
        <v>769</v>
      </c>
      <c r="AB544" s="58">
        <f>AA544/0.0045</f>
        <v>170888.88888888891</v>
      </c>
      <c r="AC544" s="58">
        <f>AB544*0.089*24*365/10^6</f>
        <v>133.23181333333335</v>
      </c>
      <c r="AD544" s="58"/>
      <c r="AE544" s="58">
        <f>AB544</f>
        <v>170888.88888888891</v>
      </c>
      <c r="AF544" s="56"/>
      <c r="AG544" s="28"/>
    </row>
    <row r="545" spans="1:33" ht="32.25" customHeight="1" x14ac:dyDescent="0.2">
      <c r="A545" s="27">
        <v>866</v>
      </c>
      <c r="B545" s="27" t="s">
        <v>3212</v>
      </c>
      <c r="C545" s="27" t="s">
        <v>355</v>
      </c>
      <c r="D545" s="27">
        <v>2029</v>
      </c>
      <c r="E545" s="27"/>
      <c r="F545" s="27" t="s">
        <v>832</v>
      </c>
      <c r="G545" s="27" t="s">
        <v>758</v>
      </c>
      <c r="H545" s="27" t="s">
        <v>767</v>
      </c>
      <c r="I545" s="27" t="s">
        <v>768</v>
      </c>
      <c r="J545" s="27" t="s">
        <v>865</v>
      </c>
      <c r="K545" s="27" t="s">
        <v>377</v>
      </c>
      <c r="L545" s="27"/>
      <c r="M545" s="27"/>
      <c r="N545" s="27"/>
      <c r="O545" s="27"/>
      <c r="P545" s="27"/>
      <c r="Q545" s="27"/>
      <c r="R545" s="27">
        <v>1</v>
      </c>
      <c r="S545" s="27"/>
      <c r="T545" s="27">
        <v>1</v>
      </c>
      <c r="U545" s="27">
        <v>1</v>
      </c>
      <c r="V545" s="27"/>
      <c r="W545" s="27"/>
      <c r="X545" s="27"/>
      <c r="Y545" s="27"/>
      <c r="Z545" s="27" t="s">
        <v>3289</v>
      </c>
      <c r="AA545" s="29">
        <f>IF(OR(G545="ALK",G545="PEM",G545="SOEC",G545="Other Electrolysis"),
AB545*VLOOKUP(G545,ElectrolysisConvF,3,FALSE),
"")</f>
        <v>1442.9736801600736</v>
      </c>
      <c r="AB545" s="30">
        <f>AC545/(0.089*24*365/10^6)</f>
        <v>320660.81781334971</v>
      </c>
      <c r="AC545" s="30">
        <v>250</v>
      </c>
      <c r="AD545" s="30"/>
      <c r="AE545" s="30">
        <f>AB545</f>
        <v>320660.81781334971</v>
      </c>
      <c r="AF545" s="28" t="s">
        <v>3213</v>
      </c>
      <c r="AG545" s="74" t="s">
        <v>3894</v>
      </c>
    </row>
    <row r="546" spans="1:33" ht="32.25" customHeight="1" x14ac:dyDescent="0.2">
      <c r="A546" s="27">
        <v>867</v>
      </c>
      <c r="B546" s="27" t="s">
        <v>2558</v>
      </c>
      <c r="C546" s="27" t="s">
        <v>349</v>
      </c>
      <c r="D546" s="27">
        <v>2028</v>
      </c>
      <c r="E546" s="27"/>
      <c r="F546" s="27" t="s">
        <v>1336</v>
      </c>
      <c r="G546" s="27" t="s">
        <v>758</v>
      </c>
      <c r="H546" s="27" t="s">
        <v>1406</v>
      </c>
      <c r="I546" s="27" t="s">
        <v>768</v>
      </c>
      <c r="J546" s="27" t="s">
        <v>865</v>
      </c>
      <c r="K546" s="27" t="s">
        <v>767</v>
      </c>
      <c r="L546" s="27"/>
      <c r="M546" s="27">
        <v>1</v>
      </c>
      <c r="N546" s="27"/>
      <c r="O546" s="27"/>
      <c r="P546" s="27"/>
      <c r="Q546" s="27"/>
      <c r="R546" s="27"/>
      <c r="S546" s="27"/>
      <c r="T546" s="27"/>
      <c r="U546" s="27"/>
      <c r="V546" s="27"/>
      <c r="W546" s="27"/>
      <c r="X546" s="27"/>
      <c r="Y546" s="27"/>
      <c r="Z546" s="27" t="s">
        <v>2556</v>
      </c>
      <c r="AA546" s="29">
        <f>300-63</f>
        <v>237</v>
      </c>
      <c r="AB546" s="30">
        <f>AA546/0.0045</f>
        <v>52666.666666666672</v>
      </c>
      <c r="AC546" s="30">
        <f>AB546*0.089*24*365/10^6</f>
        <v>41.061040000000006</v>
      </c>
      <c r="AD546" s="30"/>
      <c r="AE546" s="30">
        <f>AB546</f>
        <v>52666.666666666672</v>
      </c>
      <c r="AF546" s="28" t="s">
        <v>2033</v>
      </c>
      <c r="AG546" s="28"/>
    </row>
    <row r="547" spans="1:33" ht="32.25" customHeight="1" x14ac:dyDescent="0.2">
      <c r="A547" s="27">
        <v>868</v>
      </c>
      <c r="B547" s="27" t="s">
        <v>2559</v>
      </c>
      <c r="C547" s="27" t="s">
        <v>349</v>
      </c>
      <c r="D547" s="27"/>
      <c r="E547" s="27">
        <v>2014</v>
      </c>
      <c r="F547" s="27" t="s">
        <v>916</v>
      </c>
      <c r="G547" s="27" t="s">
        <v>268</v>
      </c>
      <c r="H547" s="27"/>
      <c r="I547" s="27" t="s">
        <v>768</v>
      </c>
      <c r="J547" s="27" t="s">
        <v>862</v>
      </c>
      <c r="K547" s="27" t="s">
        <v>377</v>
      </c>
      <c r="L547" s="27"/>
      <c r="M547" s="27"/>
      <c r="N547" s="27"/>
      <c r="O547" s="27"/>
      <c r="P547" s="27"/>
      <c r="Q547" s="27">
        <v>1</v>
      </c>
      <c r="R547" s="27"/>
      <c r="S547" s="27"/>
      <c r="T547" s="27"/>
      <c r="U547" s="27"/>
      <c r="V547" s="27"/>
      <c r="W547" s="27"/>
      <c r="X547" s="27"/>
      <c r="Y547" s="27"/>
      <c r="Z547" s="27" t="s">
        <v>2560</v>
      </c>
      <c r="AA547" s="29">
        <f>IF(OR(G547="ALK",G547="PEM",G547="SOEC",G547="Other Electrolysis"),
AB547*VLOOKUP(G547,ElectrolysisConvF,3,FALSE),
"")</f>
        <v>0.27600000000000002</v>
      </c>
      <c r="AB547" s="30">
        <v>60</v>
      </c>
      <c r="AC547" s="30">
        <f>AB547*H2dens*HoursInYear/10^6</f>
        <v>4.6778400000000005E-2</v>
      </c>
      <c r="AD547" s="30"/>
      <c r="AE547" s="30">
        <f>IF(AND(G547&lt;&gt;"NG w CCUS",G547&lt;&gt;"Oil w CCUS",G547&lt;&gt;"Coal w CCUS"),AB547,AD547*10^3/(HoursInYear*IF(G547="NG w CCUS",0.9105,1.9075)))</f>
        <v>60</v>
      </c>
      <c r="AF547" s="28" t="s">
        <v>2561</v>
      </c>
      <c r="AG547" s="28"/>
    </row>
    <row r="548" spans="1:33" ht="32.25" customHeight="1" x14ac:dyDescent="0.2">
      <c r="A548" s="27">
        <v>869</v>
      </c>
      <c r="B548" s="27" t="s">
        <v>2562</v>
      </c>
      <c r="C548" s="27" t="s">
        <v>349</v>
      </c>
      <c r="D548" s="27">
        <v>2021</v>
      </c>
      <c r="E548" s="27"/>
      <c r="F548" s="27" t="s">
        <v>754</v>
      </c>
      <c r="G548" s="27" t="s">
        <v>266</v>
      </c>
      <c r="H548" s="27"/>
      <c r="I548" s="27" t="s">
        <v>768</v>
      </c>
      <c r="J548" s="27" t="s">
        <v>378</v>
      </c>
      <c r="K548" s="27" t="s">
        <v>377</v>
      </c>
      <c r="L548" s="27"/>
      <c r="M548" s="27"/>
      <c r="N548" s="27"/>
      <c r="O548" s="27"/>
      <c r="P548" s="27"/>
      <c r="Q548" s="27">
        <v>1</v>
      </c>
      <c r="R548" s="27"/>
      <c r="S548" s="27"/>
      <c r="T548" s="27"/>
      <c r="U548" s="27"/>
      <c r="V548" s="27"/>
      <c r="W548" s="27"/>
      <c r="X548" s="27"/>
      <c r="Y548" s="27"/>
      <c r="Z548" s="27" t="s">
        <v>2560</v>
      </c>
      <c r="AA548" s="29">
        <f>IF(OR(G548="ALK",G548="PEM",G548="SOEC",G548="Other Electrolysis"),
AB548*VLOOKUP(G548,ElectrolysisConvF,3,FALSE),
"")</f>
        <v>0.312</v>
      </c>
      <c r="AB548" s="30">
        <v>60</v>
      </c>
      <c r="AC548" s="30">
        <f>AB548*H2dens*HoursInYear/10^6</f>
        <v>4.6778400000000005E-2</v>
      </c>
      <c r="AD548" s="30"/>
      <c r="AE548" s="30">
        <f>IF(AND(G548&lt;&gt;"NG w CCUS",G548&lt;&gt;"Oil w CCUS",G548&lt;&gt;"Coal w CCUS"),AB548,AD548*10^3/(HoursInYear*IF(G548="NG w CCUS",0.9105,1.9075)))</f>
        <v>60</v>
      </c>
      <c r="AF548" s="28" t="s">
        <v>2561</v>
      </c>
      <c r="AG548" s="28"/>
    </row>
    <row r="549" spans="1:33" ht="32.25" customHeight="1" x14ac:dyDescent="0.2">
      <c r="A549" s="27">
        <v>870</v>
      </c>
      <c r="B549" s="27" t="s">
        <v>2563</v>
      </c>
      <c r="C549" s="27" t="s">
        <v>336</v>
      </c>
      <c r="D549" s="75">
        <v>2026</v>
      </c>
      <c r="E549" s="27"/>
      <c r="F549" s="27" t="s">
        <v>832</v>
      </c>
      <c r="G549" s="27" t="s">
        <v>758</v>
      </c>
      <c r="H549" s="27" t="s">
        <v>1406</v>
      </c>
      <c r="I549" s="27" t="s">
        <v>768</v>
      </c>
      <c r="J549" s="27" t="s">
        <v>865</v>
      </c>
      <c r="K549" s="27" t="s">
        <v>740</v>
      </c>
      <c r="L549" s="27"/>
      <c r="M549" s="27">
        <v>1</v>
      </c>
      <c r="N549" s="27"/>
      <c r="O549" s="27"/>
      <c r="P549" s="27"/>
      <c r="Q549" s="27"/>
      <c r="R549" s="27"/>
      <c r="S549" s="27"/>
      <c r="T549" s="27"/>
      <c r="U549" s="27"/>
      <c r="V549" s="27"/>
      <c r="W549" s="27"/>
      <c r="X549" s="27"/>
      <c r="Y549" s="27"/>
      <c r="Z549" s="27" t="s">
        <v>2564</v>
      </c>
      <c r="AA549" s="29">
        <v>500</v>
      </c>
      <c r="AB549" s="30">
        <f>AC549/(H2dens*HoursInYear/10^6)</f>
        <v>97006.618439279671</v>
      </c>
      <c r="AC549" s="30">
        <f>420*0.180072</f>
        <v>75.630240000000001</v>
      </c>
      <c r="AD549" s="30"/>
      <c r="AE549" s="30">
        <f>IF(AND(G549&lt;&gt;"NG w CCUS",G549&lt;&gt;"Oil w CCUS",G549&lt;&gt;"Coal w CCUS"),AB549,AD549*10^3/(HoursInYear*IF(G549="NG w CCUS",0.9105,1.9075)))</f>
        <v>97006.618439279671</v>
      </c>
      <c r="AF549" s="28" t="s">
        <v>3325</v>
      </c>
      <c r="AG549" s="76" t="s">
        <v>3969</v>
      </c>
    </row>
    <row r="550" spans="1:33" ht="32.25" customHeight="1" x14ac:dyDescent="0.2">
      <c r="A550" s="27">
        <v>871</v>
      </c>
      <c r="B550" s="27" t="s">
        <v>2565</v>
      </c>
      <c r="C550" s="27" t="s">
        <v>339</v>
      </c>
      <c r="D550" s="27">
        <v>2020</v>
      </c>
      <c r="E550" s="27"/>
      <c r="F550" s="27" t="s">
        <v>836</v>
      </c>
      <c r="G550" s="27" t="s">
        <v>266</v>
      </c>
      <c r="H550" s="27"/>
      <c r="I550" s="27" t="s">
        <v>765</v>
      </c>
      <c r="J550" s="27"/>
      <c r="K550" s="27" t="s">
        <v>377</v>
      </c>
      <c r="L550" s="27"/>
      <c r="M550" s="27"/>
      <c r="N550" s="27"/>
      <c r="O550" s="27"/>
      <c r="P550" s="27"/>
      <c r="Q550" s="27">
        <v>1</v>
      </c>
      <c r="R550" s="27">
        <v>1</v>
      </c>
      <c r="S550" s="27"/>
      <c r="T550" s="27"/>
      <c r="U550" s="27"/>
      <c r="V550" s="27"/>
      <c r="W550" s="27"/>
      <c r="X550" s="27"/>
      <c r="Y550" s="27"/>
      <c r="Z550" s="27" t="s">
        <v>1473</v>
      </c>
      <c r="AA550" s="29">
        <f>AB550*0.0052</f>
        <v>5.1999999999999998E-3</v>
      </c>
      <c r="AB550" s="30">
        <v>1</v>
      </c>
      <c r="AC550" s="50">
        <f>AB550*0.089*24*365/10^6</f>
        <v>7.7964000000000006E-4</v>
      </c>
      <c r="AD550" s="30"/>
      <c r="AE550" s="30">
        <f>AB550</f>
        <v>1</v>
      </c>
      <c r="AF550" s="28" t="s">
        <v>2566</v>
      </c>
      <c r="AG550" s="28"/>
    </row>
    <row r="551" spans="1:33" ht="32.25" customHeight="1" x14ac:dyDescent="0.2">
      <c r="A551" s="27">
        <v>872</v>
      </c>
      <c r="B551" s="27" t="s">
        <v>3839</v>
      </c>
      <c r="C551" s="27" t="s">
        <v>343</v>
      </c>
      <c r="D551" s="27">
        <v>2023</v>
      </c>
      <c r="E551" s="27"/>
      <c r="F551" s="27" t="s">
        <v>753</v>
      </c>
      <c r="G551" s="27" t="s">
        <v>268</v>
      </c>
      <c r="H551" s="27"/>
      <c r="I551" s="27" t="s">
        <v>768</v>
      </c>
      <c r="J551" s="27" t="s">
        <v>865</v>
      </c>
      <c r="K551" s="27" t="s">
        <v>377</v>
      </c>
      <c r="L551" s="27"/>
      <c r="M551" s="27"/>
      <c r="N551" s="27"/>
      <c r="O551" s="27"/>
      <c r="P551" s="27"/>
      <c r="Q551" s="27"/>
      <c r="R551" s="27"/>
      <c r="S551" s="27"/>
      <c r="T551" s="27"/>
      <c r="U551" s="27">
        <v>1</v>
      </c>
      <c r="V551" s="27"/>
      <c r="W551" s="27"/>
      <c r="X551" s="27"/>
      <c r="Y551" s="27"/>
      <c r="Z551" s="27" t="s">
        <v>1977</v>
      </c>
      <c r="AA551" s="29">
        <v>5</v>
      </c>
      <c r="AB551" s="30">
        <f>AA551/0.0045</f>
        <v>1111.1111111111111</v>
      </c>
      <c r="AC551" s="30">
        <f>AB551*0.089*24*365/10^6</f>
        <v>0.86626666666666652</v>
      </c>
      <c r="AD551" s="30"/>
      <c r="AE551" s="30">
        <f>AB551</f>
        <v>1111.1111111111111</v>
      </c>
      <c r="AF551" s="28" t="s">
        <v>3840</v>
      </c>
      <c r="AG551" s="28"/>
    </row>
    <row r="552" spans="1:33" ht="32.25" customHeight="1" x14ac:dyDescent="0.2">
      <c r="A552" s="27">
        <v>873</v>
      </c>
      <c r="B552" s="27" t="s">
        <v>2567</v>
      </c>
      <c r="C552" s="27" t="s">
        <v>804</v>
      </c>
      <c r="D552" s="27">
        <v>2025</v>
      </c>
      <c r="E552" s="27"/>
      <c r="F552" s="27" t="s">
        <v>832</v>
      </c>
      <c r="G552" s="27" t="s">
        <v>268</v>
      </c>
      <c r="H552" s="27"/>
      <c r="I552" s="27" t="s">
        <v>765</v>
      </c>
      <c r="J552" s="27"/>
      <c r="K552" s="27" t="s">
        <v>377</v>
      </c>
      <c r="L552" s="27"/>
      <c r="M552" s="27"/>
      <c r="N552" s="27"/>
      <c r="O552" s="27">
        <v>1</v>
      </c>
      <c r="P552" s="27"/>
      <c r="Q552" s="27"/>
      <c r="R552" s="27"/>
      <c r="S552" s="27"/>
      <c r="T552" s="27"/>
      <c r="U552" s="27"/>
      <c r="V552" s="27"/>
      <c r="W552" s="27"/>
      <c r="X552" s="27"/>
      <c r="Y552" s="27"/>
      <c r="Z552" s="27" t="s">
        <v>2568</v>
      </c>
      <c r="AA552" s="29">
        <v>400</v>
      </c>
      <c r="AB552" s="30">
        <f>AA552/0.0045</f>
        <v>88888.888888888891</v>
      </c>
      <c r="AC552" s="30">
        <f>AB552*0.089*24*365/10^6</f>
        <v>69.301333333333346</v>
      </c>
      <c r="AD552" s="30"/>
      <c r="AE552" s="30">
        <f>AB552</f>
        <v>88888.888888888891</v>
      </c>
      <c r="AF552" s="28" t="s">
        <v>2569</v>
      </c>
      <c r="AG552" s="28"/>
    </row>
    <row r="553" spans="1:33" ht="32.25" customHeight="1" x14ac:dyDescent="0.2">
      <c r="A553" s="27">
        <v>874</v>
      </c>
      <c r="B553" s="71" t="s">
        <v>3314</v>
      </c>
      <c r="C553" s="27" t="s">
        <v>342</v>
      </c>
      <c r="D553" s="27">
        <v>2023</v>
      </c>
      <c r="E553" s="27"/>
      <c r="F553" s="27" t="s">
        <v>832</v>
      </c>
      <c r="G553" s="27" t="s">
        <v>266</v>
      </c>
      <c r="H553" s="27"/>
      <c r="I553" s="27" t="s">
        <v>768</v>
      </c>
      <c r="J553" s="27" t="s">
        <v>865</v>
      </c>
      <c r="K553" s="27" t="s">
        <v>377</v>
      </c>
      <c r="L553" s="27">
        <v>1</v>
      </c>
      <c r="M553" s="27"/>
      <c r="N553" s="27"/>
      <c r="O553" s="27"/>
      <c r="P553" s="27"/>
      <c r="Q553" s="27"/>
      <c r="R553" s="27"/>
      <c r="S553" s="27"/>
      <c r="T553" s="27"/>
      <c r="U553" s="27"/>
      <c r="V553" s="27"/>
      <c r="W553" s="27"/>
      <c r="X553" s="27"/>
      <c r="Y553" s="27"/>
      <c r="Z553" s="27" t="s">
        <v>1403</v>
      </c>
      <c r="AA553" s="29">
        <v>20</v>
      </c>
      <c r="AB553" s="30">
        <f>IF(OR(G553="ALK",G553="PEM",G553="SOEC",G553="Other Electrolysis"),
AA553/VLOOKUP(G553,ElectrolysisConvF,3,FALSE),
AC553*10^6/(H2dens*HoursInYear))</f>
        <v>3846.1538461538462</v>
      </c>
      <c r="AC553" s="30">
        <f>AB553*H2dens*HoursInYear/10^6</f>
        <v>2.9986153846153845</v>
      </c>
      <c r="AD553" s="30"/>
      <c r="AE553" s="30">
        <f>IF(AND(G553&lt;&gt;"NG w CCUS",G553&lt;&gt;"Oil w CCUS",G553&lt;&gt;"Coal w CCUS"),AB553,AD553*10^3/(HoursInYear*IF(G553="NG w CCUS",0.9105,1.9075)))</f>
        <v>3846.1538461538462</v>
      </c>
      <c r="AF553" s="28" t="s">
        <v>2570</v>
      </c>
      <c r="AG553" s="28"/>
    </row>
    <row r="554" spans="1:33" ht="32.25" customHeight="1" x14ac:dyDescent="0.2">
      <c r="A554" s="27">
        <v>875</v>
      </c>
      <c r="B554" s="71" t="s">
        <v>3134</v>
      </c>
      <c r="C554" s="27" t="s">
        <v>342</v>
      </c>
      <c r="D554" s="27">
        <v>2023</v>
      </c>
      <c r="E554" s="27"/>
      <c r="F554" s="27" t="s">
        <v>832</v>
      </c>
      <c r="G554" s="27" t="s">
        <v>266</v>
      </c>
      <c r="H554" s="27"/>
      <c r="I554" s="27" t="s">
        <v>768</v>
      </c>
      <c r="J554" s="27" t="s">
        <v>865</v>
      </c>
      <c r="K554" s="27" t="s">
        <v>377</v>
      </c>
      <c r="L554" s="27">
        <v>1</v>
      </c>
      <c r="M554" s="27"/>
      <c r="N554" s="27"/>
      <c r="O554" s="27"/>
      <c r="P554" s="27"/>
      <c r="Q554" s="27"/>
      <c r="R554" s="27"/>
      <c r="S554" s="27"/>
      <c r="T554" s="27"/>
      <c r="U554" s="27"/>
      <c r="V554" s="27"/>
      <c r="W554" s="27"/>
      <c r="X554" s="27"/>
      <c r="Y554" s="27"/>
      <c r="Z554" s="27" t="s">
        <v>1407</v>
      </c>
      <c r="AA554" s="29">
        <v>10</v>
      </c>
      <c r="AB554" s="30">
        <f>IF(OR(G554="ALK",G554="PEM",G554="SOEC",G554="Other Electrolysis"),
AA554/VLOOKUP(G554,ElectrolysisConvF,3,FALSE),
AC554*10^6/(H2dens*HoursInYear))</f>
        <v>1923.0769230769231</v>
      </c>
      <c r="AC554" s="30">
        <f>AB554*H2dens*HoursInYear/10^6</f>
        <v>1.4993076923076922</v>
      </c>
      <c r="AD554" s="30"/>
      <c r="AE554" s="30">
        <f>IF(AND(G554&lt;&gt;"NG w CCUS",G554&lt;&gt;"Oil w CCUS",G554&lt;&gt;"Coal w CCUS"),AB554,AD554*10^3/(HoursInYear*IF(G554="NG w CCUS",0.9105,1.9075)))</f>
        <v>1923.0769230769231</v>
      </c>
      <c r="AF554" s="28" t="s">
        <v>2570</v>
      </c>
      <c r="AG554" s="28"/>
    </row>
    <row r="555" spans="1:33" ht="32.25" customHeight="1" x14ac:dyDescent="0.2">
      <c r="A555" s="27">
        <v>876</v>
      </c>
      <c r="B555" s="27" t="s">
        <v>2804</v>
      </c>
      <c r="C555" s="27" t="s">
        <v>337</v>
      </c>
      <c r="D555" s="27">
        <v>2022</v>
      </c>
      <c r="E555" s="27"/>
      <c r="F555" s="27" t="s">
        <v>753</v>
      </c>
      <c r="G555" s="27" t="s">
        <v>758</v>
      </c>
      <c r="H555" s="27" t="s">
        <v>1406</v>
      </c>
      <c r="I555" s="27" t="s">
        <v>768</v>
      </c>
      <c r="J555" s="27" t="s">
        <v>865</v>
      </c>
      <c r="K555" s="27" t="s">
        <v>377</v>
      </c>
      <c r="L555" s="27"/>
      <c r="M555" s="27"/>
      <c r="N555" s="27"/>
      <c r="O555" s="27"/>
      <c r="P555" s="27"/>
      <c r="Q555" s="27">
        <v>1</v>
      </c>
      <c r="R555" s="27"/>
      <c r="S555" s="27"/>
      <c r="T555" s="27"/>
      <c r="U555" s="27"/>
      <c r="V555" s="27"/>
      <c r="W555" s="27"/>
      <c r="X555" s="27"/>
      <c r="Y555" s="27"/>
      <c r="Z555" s="27" t="s">
        <v>3300</v>
      </c>
      <c r="AA555" s="29">
        <f>IF(OR(G555="ALK",G555="PEM",G555="SOEC",G555="Other Electrolysis"),
AB555*VLOOKUP(G555,ElectrolysisConvF,3,FALSE),
"")</f>
        <v>31.601123595505612</v>
      </c>
      <c r="AB555" s="30">
        <f>AC555/(H2dens*HoursInYear/10^6)</f>
        <v>7022.4719101123592</v>
      </c>
      <c r="AC555" s="30">
        <f>15*365/1000</f>
        <v>5.4749999999999996</v>
      </c>
      <c r="AD555" s="30"/>
      <c r="AE555" s="30">
        <f>IF(AND(G555&lt;&gt;"NG w CCUS",G555&lt;&gt;"Oil w CCUS",G555&lt;&gt;"Coal w CCUS"),AB555,AD555*10^3/(HoursInYear*IF(G555="NG w CCUS",0.9105,1.9075)))</f>
        <v>7022.4719101123592</v>
      </c>
      <c r="AF555" s="28" t="s">
        <v>3301</v>
      </c>
      <c r="AG555" s="74" t="s">
        <v>4014</v>
      </c>
    </row>
    <row r="556" spans="1:33" ht="32.25" customHeight="1" x14ac:dyDescent="0.2">
      <c r="A556" s="27">
        <v>877</v>
      </c>
      <c r="B556" s="27" t="s">
        <v>2571</v>
      </c>
      <c r="C556" s="27" t="s">
        <v>332</v>
      </c>
      <c r="D556" s="27"/>
      <c r="E556" s="27"/>
      <c r="F556" s="27" t="s">
        <v>832</v>
      </c>
      <c r="G556" s="27" t="s">
        <v>268</v>
      </c>
      <c r="H556" s="27"/>
      <c r="I556" s="27" t="s">
        <v>765</v>
      </c>
      <c r="J556" s="27"/>
      <c r="K556" s="27" t="s">
        <v>740</v>
      </c>
      <c r="L556" s="27"/>
      <c r="M556" s="27">
        <v>1</v>
      </c>
      <c r="N556" s="27"/>
      <c r="O556" s="27"/>
      <c r="P556" s="27"/>
      <c r="Q556" s="27"/>
      <c r="R556" s="27"/>
      <c r="S556" s="27"/>
      <c r="T556" s="27"/>
      <c r="U556" s="27"/>
      <c r="V556" s="27"/>
      <c r="W556" s="27"/>
      <c r="X556" s="27"/>
      <c r="Y556" s="27"/>
      <c r="Z556" s="27" t="s">
        <v>1403</v>
      </c>
      <c r="AA556" s="29">
        <v>15</v>
      </c>
      <c r="AB556" s="30">
        <f>AA556/0.0046</f>
        <v>3260.8695652173915</v>
      </c>
      <c r="AC556" s="30">
        <f>AB556*0.089*24*365/10^6</f>
        <v>2.5423043478260867</v>
      </c>
      <c r="AD556" s="30"/>
      <c r="AE556" s="30">
        <f>AB556</f>
        <v>3260.8695652173915</v>
      </c>
      <c r="AF556" s="28" t="s">
        <v>2572</v>
      </c>
      <c r="AG556" s="28"/>
    </row>
    <row r="557" spans="1:33" ht="32.25" customHeight="1" x14ac:dyDescent="0.2">
      <c r="A557" s="27">
        <v>878</v>
      </c>
      <c r="B557" s="27" t="s">
        <v>2573</v>
      </c>
      <c r="C557" s="27" t="s">
        <v>980</v>
      </c>
      <c r="D557" s="27">
        <v>2022</v>
      </c>
      <c r="E557" s="27"/>
      <c r="F557" s="27" t="s">
        <v>753</v>
      </c>
      <c r="G557" s="27" t="s">
        <v>758</v>
      </c>
      <c r="H557" s="27" t="s">
        <v>1406</v>
      </c>
      <c r="I557" s="27" t="s">
        <v>866</v>
      </c>
      <c r="J557" s="27" t="str">
        <f>IF(I557&lt;&gt;"Dedicated renewable","N/A",)</f>
        <v>N/A</v>
      </c>
      <c r="K557" s="27" t="s">
        <v>377</v>
      </c>
      <c r="L557" s="27"/>
      <c r="M557" s="27"/>
      <c r="N557" s="27"/>
      <c r="O557" s="27"/>
      <c r="P557" s="27"/>
      <c r="Q557" s="27">
        <v>1</v>
      </c>
      <c r="R557" s="27">
        <v>1</v>
      </c>
      <c r="S557" s="27">
        <v>1</v>
      </c>
      <c r="T557" s="27"/>
      <c r="U557" s="27"/>
      <c r="V557" s="27"/>
      <c r="W557" s="27"/>
      <c r="X557" s="27"/>
      <c r="Y557" s="27"/>
      <c r="Z557" s="27" t="s">
        <v>1403</v>
      </c>
      <c r="AA557" s="29">
        <v>20</v>
      </c>
      <c r="AB557" s="30">
        <f>IF(OR(G557="ALK",G557="PEM",G557="SOEC",G557="Other Electrolysis"),
AA557/VLOOKUP(G557,ElectrolysisConvF,3,FALSE),
AC557*10^6/(H2dens*HoursInYear))</f>
        <v>4444.4444444444443</v>
      </c>
      <c r="AC557" s="30">
        <f>AB557*H2dens*HoursInYear/10^6</f>
        <v>3.4650666666666665</v>
      </c>
      <c r="AD557" s="30"/>
      <c r="AE557" s="30">
        <f>IF(AND(G557&lt;&gt;"NG w CCUS",G557&lt;&gt;"Oil w CCUS",G557&lt;&gt;"Coal w CCUS"),AB557,AD557*10^3/(HoursInYear*IF(G557="NG w CCUS",0.9105,1.9075)))</f>
        <v>4444.4444444444443</v>
      </c>
      <c r="AF557" s="28" t="s">
        <v>2574</v>
      </c>
      <c r="AG557" s="74" t="s">
        <v>4064</v>
      </c>
    </row>
    <row r="558" spans="1:33" ht="32.25" customHeight="1" x14ac:dyDescent="0.2">
      <c r="A558" s="27">
        <v>879</v>
      </c>
      <c r="B558" s="27" t="s">
        <v>2575</v>
      </c>
      <c r="C558" s="27" t="s">
        <v>980</v>
      </c>
      <c r="D558" s="27">
        <v>2030</v>
      </c>
      <c r="E558" s="27"/>
      <c r="F558" s="27" t="s">
        <v>832</v>
      </c>
      <c r="G558" s="27" t="s">
        <v>758</v>
      </c>
      <c r="H558" s="27" t="s">
        <v>1406</v>
      </c>
      <c r="I558" s="27" t="s">
        <v>866</v>
      </c>
      <c r="J558" s="27" t="str">
        <f>IF(I558&lt;&gt;"Dedicated renewable","N/A",)</f>
        <v>N/A</v>
      </c>
      <c r="K558" s="27" t="s">
        <v>377</v>
      </c>
      <c r="L558" s="27"/>
      <c r="M558" s="27"/>
      <c r="N558" s="27"/>
      <c r="O558" s="27"/>
      <c r="P558" s="27"/>
      <c r="Q558" s="27">
        <v>1</v>
      </c>
      <c r="R558" s="27">
        <v>1</v>
      </c>
      <c r="S558" s="27">
        <v>1</v>
      </c>
      <c r="T558" s="27"/>
      <c r="U558" s="27"/>
      <c r="V558" s="27"/>
      <c r="W558" s="27"/>
      <c r="X558" s="27"/>
      <c r="Y558" s="27"/>
      <c r="Z558" s="27" t="s">
        <v>2075</v>
      </c>
      <c r="AA558" s="29">
        <v>180</v>
      </c>
      <c r="AB558" s="30">
        <f>IF(OR(G558="ALK",G558="PEM",G558="SOEC",G558="Other Electrolysis"),
AA558/VLOOKUP(G558,ElectrolysisConvF,3,FALSE),
AC558*10^6/(H2dens*HoursInYear))</f>
        <v>40000</v>
      </c>
      <c r="AC558" s="30">
        <f>AB558*H2dens*HoursInYear/10^6</f>
        <v>31.185600000000001</v>
      </c>
      <c r="AD558" s="30"/>
      <c r="AE558" s="30">
        <f>IF(AND(G558&lt;&gt;"NG w CCUS",G558&lt;&gt;"Oil w CCUS",G558&lt;&gt;"Coal w CCUS"),AB558,AD558*10^3/(HoursInYear*IF(G558="NG w CCUS",0.9105,1.9075)))</f>
        <v>40000</v>
      </c>
      <c r="AF558" s="28" t="s">
        <v>2574</v>
      </c>
      <c r="AG558" s="74" t="s">
        <v>4064</v>
      </c>
    </row>
    <row r="559" spans="1:33" ht="32.25" customHeight="1" x14ac:dyDescent="0.2">
      <c r="A559" s="27">
        <v>880</v>
      </c>
      <c r="B559" s="27" t="s">
        <v>2787</v>
      </c>
      <c r="C559" s="27" t="s">
        <v>336</v>
      </c>
      <c r="D559" s="27">
        <v>2021</v>
      </c>
      <c r="E559" s="27"/>
      <c r="F559" s="27" t="s">
        <v>836</v>
      </c>
      <c r="G559" s="27" t="s">
        <v>266</v>
      </c>
      <c r="H559" s="27"/>
      <c r="I559" s="27" t="s">
        <v>768</v>
      </c>
      <c r="J559" s="27" t="s">
        <v>865</v>
      </c>
      <c r="K559" s="27" t="s">
        <v>377</v>
      </c>
      <c r="L559" s="27"/>
      <c r="M559" s="27"/>
      <c r="N559" s="27"/>
      <c r="O559" s="27"/>
      <c r="P559" s="27"/>
      <c r="Q559" s="27">
        <v>1</v>
      </c>
      <c r="R559" s="27"/>
      <c r="S559" s="27"/>
      <c r="T559" s="27"/>
      <c r="U559" s="27"/>
      <c r="V559" s="27"/>
      <c r="W559" s="27"/>
      <c r="X559" s="27"/>
      <c r="Y559" s="27"/>
      <c r="Z559" s="27" t="s">
        <v>1623</v>
      </c>
      <c r="AA559" s="29">
        <f>AB559*0.0052</f>
        <v>5.1999999999999998E-2</v>
      </c>
      <c r="AB559" s="30">
        <v>10</v>
      </c>
      <c r="AC559" s="30">
        <f>AB559*H2dens*HoursInYear/10^6</f>
        <v>7.7963999999999985E-3</v>
      </c>
      <c r="AD559" s="30"/>
      <c r="AE559" s="30">
        <f>IF(AND(G559&lt;&gt;"NG w CCUS",G559&lt;&gt;"Oil w CCUS",G559&lt;&gt;"Coal w CCUS"),AB559,AD559*10^3/(HoursInYear*IF(G559="NG w CCUS",0.9105,1.9075)))</f>
        <v>10</v>
      </c>
      <c r="AF559" s="28" t="s">
        <v>2788</v>
      </c>
      <c r="AG559" s="28"/>
    </row>
    <row r="560" spans="1:33" ht="32.25" customHeight="1" x14ac:dyDescent="0.2">
      <c r="A560" s="27">
        <v>881</v>
      </c>
      <c r="B560" s="27" t="s">
        <v>2576</v>
      </c>
      <c r="C560" s="27" t="s">
        <v>334</v>
      </c>
      <c r="D560" s="27">
        <v>2024</v>
      </c>
      <c r="E560" s="27"/>
      <c r="F560" s="27" t="s">
        <v>753</v>
      </c>
      <c r="G560" s="27" t="s">
        <v>758</v>
      </c>
      <c r="H560" s="27" t="s">
        <v>1406</v>
      </c>
      <c r="I560" s="27" t="s">
        <v>768</v>
      </c>
      <c r="J560" s="27" t="s">
        <v>865</v>
      </c>
      <c r="K560" s="27" t="s">
        <v>377</v>
      </c>
      <c r="L560" s="27"/>
      <c r="M560" s="27"/>
      <c r="N560" s="27"/>
      <c r="O560" s="27"/>
      <c r="P560" s="27"/>
      <c r="Q560" s="27"/>
      <c r="R560" s="27"/>
      <c r="S560" s="27"/>
      <c r="T560" s="27"/>
      <c r="U560" s="27"/>
      <c r="V560" s="27">
        <v>1</v>
      </c>
      <c r="W560" s="27"/>
      <c r="X560" s="27"/>
      <c r="Y560" s="27"/>
      <c r="Z560" s="27" t="s">
        <v>2577</v>
      </c>
      <c r="AA560" s="29">
        <v>88</v>
      </c>
      <c r="AB560" s="30">
        <f>IF(OR(G560="ALK",G560="PEM",G560="SOEC",G560="Other Electrolysis"),
AA560/VLOOKUP(G560,ElectrolysisConvF,3,FALSE),
AC560*10^6/(H2dens*HoursInYear))</f>
        <v>19555.555555555558</v>
      </c>
      <c r="AC560" s="30">
        <f>AB560*H2dens*HoursInYear/10^6</f>
        <v>15.246293333333334</v>
      </c>
      <c r="AD560" s="30"/>
      <c r="AE560" s="30">
        <f>IF(AND(G560&lt;&gt;"NG w CCUS",G560&lt;&gt;"Oil w CCUS",G560&lt;&gt;"Coal w CCUS"),AB560,AD560*10^3/(HoursInYear*IF(G560="NG w CCUS",0.9105,1.9075)))</f>
        <v>19555.555555555558</v>
      </c>
      <c r="AF560" s="28" t="s">
        <v>2578</v>
      </c>
      <c r="AG560" s="28"/>
    </row>
    <row r="561" spans="1:33" ht="32.25" customHeight="1" x14ac:dyDescent="0.2">
      <c r="A561" s="27">
        <v>882</v>
      </c>
      <c r="B561" s="27" t="s">
        <v>2579</v>
      </c>
      <c r="C561" s="27" t="s">
        <v>338</v>
      </c>
      <c r="D561" s="27"/>
      <c r="E561" s="27"/>
      <c r="F561" s="27" t="s">
        <v>1336</v>
      </c>
      <c r="G561" s="27" t="s">
        <v>758</v>
      </c>
      <c r="H561" s="27" t="s">
        <v>1406</v>
      </c>
      <c r="I561" s="27" t="s">
        <v>768</v>
      </c>
      <c r="J561" s="27" t="s">
        <v>865</v>
      </c>
      <c r="K561" s="27" t="s">
        <v>377</v>
      </c>
      <c r="L561" s="27"/>
      <c r="M561" s="27"/>
      <c r="N561" s="27"/>
      <c r="O561" s="27"/>
      <c r="P561" s="27"/>
      <c r="Q561" s="27"/>
      <c r="R561" s="27"/>
      <c r="S561" s="27"/>
      <c r="T561" s="27"/>
      <c r="U561" s="27"/>
      <c r="V561" s="27"/>
      <c r="W561" s="27"/>
      <c r="X561" s="27"/>
      <c r="Y561" s="27"/>
      <c r="Z561" s="27" t="s">
        <v>2580</v>
      </c>
      <c r="AA561" s="29">
        <f>AB561*0.0045</f>
        <v>2885.9473603201477</v>
      </c>
      <c r="AB561" s="30">
        <f>AC561*10^6/(H2dens*HoursInYear)</f>
        <v>641321.63562669954</v>
      </c>
      <c r="AC561" s="30">
        <v>500</v>
      </c>
      <c r="AD561" s="30"/>
      <c r="AE561" s="30">
        <f>IF(AND(G561&lt;&gt;"NG w CCUS",G561&lt;&gt;"Oil w CCUS",G561&lt;&gt;"Coal w CCUS"),AB561,AD561*10^3/(HoursInYear*IF(G561="NG w CCUS",0.9105,1.9075)))</f>
        <v>641321.63562669954</v>
      </c>
      <c r="AF561" s="28" t="s">
        <v>2581</v>
      </c>
      <c r="AG561" s="28"/>
    </row>
    <row r="562" spans="1:33" ht="32.25" customHeight="1" x14ac:dyDescent="0.2">
      <c r="A562" s="27">
        <v>883</v>
      </c>
      <c r="B562" s="27" t="s">
        <v>2582</v>
      </c>
      <c r="C562" s="27" t="s">
        <v>346</v>
      </c>
      <c r="D562" s="27">
        <v>2023</v>
      </c>
      <c r="E562" s="27"/>
      <c r="F562" s="27" t="s">
        <v>753</v>
      </c>
      <c r="G562" s="27" t="s">
        <v>758</v>
      </c>
      <c r="H562" s="27" t="s">
        <v>1406</v>
      </c>
      <c r="I562" s="27" t="s">
        <v>768</v>
      </c>
      <c r="J562" s="27" t="s">
        <v>865</v>
      </c>
      <c r="K562" s="27" t="s">
        <v>740</v>
      </c>
      <c r="L562" s="27"/>
      <c r="M562" s="27">
        <v>1</v>
      </c>
      <c r="N562" s="27"/>
      <c r="O562" s="27"/>
      <c r="P562" s="27"/>
      <c r="Q562" s="27"/>
      <c r="R562" s="27"/>
      <c r="S562" s="27"/>
      <c r="T562" s="27"/>
      <c r="U562" s="27"/>
      <c r="V562" s="27"/>
      <c r="W562" s="27"/>
      <c r="X562" s="27"/>
      <c r="Y562" s="27"/>
      <c r="Z562" s="27" t="s">
        <v>1407</v>
      </c>
      <c r="AA562" s="29">
        <v>10</v>
      </c>
      <c r="AB562" s="30">
        <f>AA562/0.0045</f>
        <v>2222.2222222222222</v>
      </c>
      <c r="AC562" s="30">
        <f>AB562*0.089*24*365/10^6</f>
        <v>1.732533333333333</v>
      </c>
      <c r="AD562" s="30"/>
      <c r="AE562" s="30">
        <f>IF(AND(G562&lt;&gt;"NG w CCUS",G562&lt;&gt;"Oil w CCUS",G562&lt;&gt;"Coal w CCUS"),AB562,AD562*10^3/(HoursInYear*IF(G562="NG w CCUS",0.9105,1.9075)))</f>
        <v>2222.2222222222222</v>
      </c>
      <c r="AF562" s="28" t="s">
        <v>3290</v>
      </c>
      <c r="AG562" s="28"/>
    </row>
    <row r="563" spans="1:33" ht="32.25" customHeight="1" x14ac:dyDescent="0.2">
      <c r="A563" s="27">
        <v>884</v>
      </c>
      <c r="B563" s="27" t="s">
        <v>2583</v>
      </c>
      <c r="C563" s="27" t="s">
        <v>349</v>
      </c>
      <c r="D563" s="27">
        <v>2025</v>
      </c>
      <c r="E563" s="27"/>
      <c r="F563" s="27" t="s">
        <v>832</v>
      </c>
      <c r="G563" s="27" t="s">
        <v>758</v>
      </c>
      <c r="H563" s="27" t="s">
        <v>1406</v>
      </c>
      <c r="I563" s="27" t="s">
        <v>768</v>
      </c>
      <c r="J563" s="27" t="s">
        <v>865</v>
      </c>
      <c r="K563" s="27" t="s">
        <v>396</v>
      </c>
      <c r="L563" s="27"/>
      <c r="M563" s="27"/>
      <c r="N563" s="27"/>
      <c r="O563" s="27"/>
      <c r="P563" s="27"/>
      <c r="Q563" s="27"/>
      <c r="R563" s="27"/>
      <c r="S563" s="27"/>
      <c r="T563" s="27"/>
      <c r="U563" s="27"/>
      <c r="V563" s="27"/>
      <c r="W563" s="27"/>
      <c r="X563" s="27">
        <v>1</v>
      </c>
      <c r="Y563" s="27"/>
      <c r="Z563" s="27" t="s">
        <v>2584</v>
      </c>
      <c r="AA563" s="29">
        <v>75</v>
      </c>
      <c r="AB563" s="30">
        <f>IF(OR(G563="ALK",G563="PEM",G563="SOEC",G563="Other Electrolysis"),
AA563/VLOOKUP(G563,ElectrolysisConvF,3,FALSE),
AC563*10^6/(H2dens*HoursInYear))</f>
        <v>16666.666666666668</v>
      </c>
      <c r="AC563" s="30">
        <f>AB563*H2dens*HoursInYear/10^6</f>
        <v>12.994</v>
      </c>
      <c r="AD563" s="30"/>
      <c r="AE563" s="30">
        <f>IF(AND(G563&lt;&gt;"NG w CCUS",G563&lt;&gt;"Oil w CCUS",G563&lt;&gt;"Coal w CCUS"),AB563,AD563*10^3/(HoursInYear*IF(G563="NG w CCUS",0.9105,1.9075)))</f>
        <v>16666.666666666668</v>
      </c>
      <c r="AF563" s="28" t="s">
        <v>2585</v>
      </c>
      <c r="AG563" s="28"/>
    </row>
    <row r="564" spans="1:33" ht="32.25" customHeight="1" x14ac:dyDescent="0.2">
      <c r="A564" s="27">
        <v>885</v>
      </c>
      <c r="B564" s="93" t="s">
        <v>4142</v>
      </c>
      <c r="C564" s="27" t="s">
        <v>804</v>
      </c>
      <c r="D564" s="27">
        <v>2023</v>
      </c>
      <c r="E564" s="27"/>
      <c r="F564" s="27" t="s">
        <v>832</v>
      </c>
      <c r="G564" s="27" t="s">
        <v>758</v>
      </c>
      <c r="H564" s="27" t="s">
        <v>1406</v>
      </c>
      <c r="I564" s="27" t="s">
        <v>768</v>
      </c>
      <c r="J564" s="27" t="s">
        <v>863</v>
      </c>
      <c r="K564" s="27" t="s">
        <v>377</v>
      </c>
      <c r="L564" s="27">
        <v>1</v>
      </c>
      <c r="M564" s="27"/>
      <c r="N564" s="27"/>
      <c r="O564" s="27"/>
      <c r="P564" s="27">
        <v>1</v>
      </c>
      <c r="Q564" s="27"/>
      <c r="R564" s="27"/>
      <c r="S564" s="27"/>
      <c r="T564" s="27"/>
      <c r="U564" s="27"/>
      <c r="V564" s="27"/>
      <c r="W564" s="27"/>
      <c r="X564" s="27"/>
      <c r="Y564" s="27"/>
      <c r="Z564" s="27" t="s">
        <v>2075</v>
      </c>
      <c r="AA564" s="29">
        <v>100</v>
      </c>
      <c r="AB564" s="30">
        <f>IF(OR(G564="ALK",G564="PEM",G564="SOEC",G564="Other Electrolysis"),
AA564/VLOOKUP(G564,ElectrolysisConvF,3,FALSE),
AC564*10^6/(H2dens*HoursInYear))</f>
        <v>22222.222222222223</v>
      </c>
      <c r="AC564" s="30">
        <f>AB564*H2dens*HoursInYear/10^6</f>
        <v>17.325333333333333</v>
      </c>
      <c r="AD564" s="30"/>
      <c r="AE564" s="30">
        <f>IF(AND(G564&lt;&gt;"NG w CCUS",G564&lt;&gt;"Oil w CCUS",G564&lt;&gt;"Coal w CCUS"),AB564,AD564*10^3/(HoursInYear*IF(G564="NG w CCUS",0.9105,1.9075)))</f>
        <v>22222.222222222223</v>
      </c>
      <c r="AF564" s="28" t="s">
        <v>2586</v>
      </c>
      <c r="AG564" s="74" t="s">
        <v>4044</v>
      </c>
    </row>
    <row r="565" spans="1:33" ht="32.25" customHeight="1" x14ac:dyDescent="0.2">
      <c r="A565" s="92">
        <v>886</v>
      </c>
      <c r="B565" s="27" t="s">
        <v>2587</v>
      </c>
      <c r="C565" s="27" t="s">
        <v>347</v>
      </c>
      <c r="D565" s="27">
        <v>2030</v>
      </c>
      <c r="E565" s="27"/>
      <c r="F565" s="27" t="s">
        <v>832</v>
      </c>
      <c r="G565" s="27" t="s">
        <v>758</v>
      </c>
      <c r="H565" s="27" t="s">
        <v>1406</v>
      </c>
      <c r="I565" s="27" t="s">
        <v>768</v>
      </c>
      <c r="J565" s="27" t="s">
        <v>863</v>
      </c>
      <c r="K565" s="27" t="s">
        <v>377</v>
      </c>
      <c r="L565" s="27">
        <v>1</v>
      </c>
      <c r="M565" s="27"/>
      <c r="N565" s="27"/>
      <c r="O565" s="27"/>
      <c r="P565" s="27">
        <v>1</v>
      </c>
      <c r="Q565" s="27"/>
      <c r="R565" s="27"/>
      <c r="S565" s="27">
        <v>1</v>
      </c>
      <c r="T565" s="27"/>
      <c r="U565" s="27"/>
      <c r="V565" s="27"/>
      <c r="W565" s="27"/>
      <c r="X565" s="27"/>
      <c r="Y565" s="27"/>
      <c r="Z565" s="92" t="s">
        <v>3909</v>
      </c>
      <c r="AA565" s="91">
        <f>3000-462</f>
        <v>2538</v>
      </c>
      <c r="AB565" s="30">
        <f>AA565/0.0045</f>
        <v>564000</v>
      </c>
      <c r="AC565" s="78">
        <f>AB565*0.089*24*365/10^6</f>
        <v>439.71695999999997</v>
      </c>
      <c r="AD565" s="30"/>
      <c r="AE565" s="30">
        <f>AB565</f>
        <v>564000</v>
      </c>
      <c r="AF565" s="28" t="s">
        <v>1417</v>
      </c>
      <c r="AG565" s="76" t="s">
        <v>3868</v>
      </c>
    </row>
    <row r="566" spans="1:33" ht="32.25" customHeight="1" x14ac:dyDescent="0.2">
      <c r="A566" s="27">
        <v>887</v>
      </c>
      <c r="B566" s="27" t="s">
        <v>2589</v>
      </c>
      <c r="C566" s="27" t="s">
        <v>347</v>
      </c>
      <c r="D566" s="27"/>
      <c r="E566" s="27"/>
      <c r="F566" s="27" t="s">
        <v>1336</v>
      </c>
      <c r="G566" s="27" t="s">
        <v>758</v>
      </c>
      <c r="H566" s="27" t="s">
        <v>1406</v>
      </c>
      <c r="I566" s="27" t="s">
        <v>768</v>
      </c>
      <c r="J566" s="27" t="s">
        <v>863</v>
      </c>
      <c r="K566" s="27" t="s">
        <v>377</v>
      </c>
      <c r="L566" s="27">
        <v>1</v>
      </c>
      <c r="M566" s="27"/>
      <c r="N566" s="27"/>
      <c r="O566" s="27"/>
      <c r="P566" s="27">
        <v>1</v>
      </c>
      <c r="Q566" s="27"/>
      <c r="R566" s="27"/>
      <c r="S566" s="27">
        <v>1</v>
      </c>
      <c r="T566" s="27"/>
      <c r="U566" s="27"/>
      <c r="V566" s="27"/>
      <c r="W566" s="27"/>
      <c r="X566" s="27"/>
      <c r="Y566" s="27"/>
      <c r="Z566" s="29" t="s">
        <v>2590</v>
      </c>
      <c r="AA566" s="29">
        <v>7000</v>
      </c>
      <c r="AB566" s="30">
        <f>AA566/0.0045</f>
        <v>1555555.5555555557</v>
      </c>
      <c r="AC566" s="50">
        <f>AB566*0.089*24*365/10^6</f>
        <v>1212.7733333333335</v>
      </c>
      <c r="AD566" s="30"/>
      <c r="AE566" s="30">
        <f>AB566</f>
        <v>1555555.5555555557</v>
      </c>
      <c r="AF566" s="28" t="s">
        <v>1417</v>
      </c>
      <c r="AG566" s="28"/>
    </row>
    <row r="567" spans="1:33" ht="32.25" customHeight="1" x14ac:dyDescent="0.2">
      <c r="A567" s="27">
        <v>888</v>
      </c>
      <c r="B567" s="27" t="s">
        <v>3250</v>
      </c>
      <c r="C567" s="27" t="s">
        <v>804</v>
      </c>
      <c r="D567" s="27">
        <v>2025</v>
      </c>
      <c r="E567" s="27"/>
      <c r="F567" s="27" t="s">
        <v>832</v>
      </c>
      <c r="G567" s="27" t="s">
        <v>758</v>
      </c>
      <c r="H567" s="27" t="s">
        <v>1406</v>
      </c>
      <c r="I567" s="27" t="s">
        <v>768</v>
      </c>
      <c r="J567" s="27" t="s">
        <v>863</v>
      </c>
      <c r="K567" s="27" t="s">
        <v>377</v>
      </c>
      <c r="L567" s="27"/>
      <c r="M567" s="27"/>
      <c r="N567" s="27"/>
      <c r="O567" s="27"/>
      <c r="P567" s="27"/>
      <c r="Q567" s="27"/>
      <c r="R567" s="27"/>
      <c r="S567" s="27"/>
      <c r="T567" s="27"/>
      <c r="U567" s="27"/>
      <c r="V567" s="27"/>
      <c r="W567" s="27"/>
      <c r="X567" s="27"/>
      <c r="Y567" s="27"/>
      <c r="Z567" s="29" t="s">
        <v>2890</v>
      </c>
      <c r="AA567" s="29">
        <v>28</v>
      </c>
      <c r="AB567" s="30">
        <f>IF(OR(G567="ALK",G567="PEM",G567="SOEC",G567="Other Electrolysis"),
AA567/VLOOKUP(G567,ElectrolysisConvF,3,FALSE),
AC567*10^6/(H2dens*HoursInYear))</f>
        <v>6222.2222222222226</v>
      </c>
      <c r="AC567" s="30">
        <f>AB567*H2dens*HoursInYear/10^6</f>
        <v>4.8510933333333339</v>
      </c>
      <c r="AD567" s="30"/>
      <c r="AE567" s="30">
        <f>IF(AND(G567&lt;&gt;"NG w CCUS",G567&lt;&gt;"Oil w CCUS",G567&lt;&gt;"Coal w CCUS"),AB567,AD567*10^3/(HoursInYear*IF(G567="NG w CCUS",0.9105,1.9075)))</f>
        <v>6222.2222222222226</v>
      </c>
      <c r="AF567" s="28" t="s">
        <v>3284</v>
      </c>
      <c r="AG567" s="74" t="s">
        <v>3861</v>
      </c>
    </row>
    <row r="568" spans="1:33" ht="32.25" customHeight="1" x14ac:dyDescent="0.2">
      <c r="A568" s="27">
        <v>889</v>
      </c>
      <c r="B568" s="27" t="s">
        <v>2591</v>
      </c>
      <c r="C568" s="27" t="s">
        <v>336</v>
      </c>
      <c r="D568" s="27">
        <v>2024</v>
      </c>
      <c r="E568" s="27"/>
      <c r="F568" s="27" t="s">
        <v>1336</v>
      </c>
      <c r="G568" s="27" t="s">
        <v>758</v>
      </c>
      <c r="H568" s="27" t="s">
        <v>1406</v>
      </c>
      <c r="I568" s="27" t="s">
        <v>768</v>
      </c>
      <c r="J568" s="27" t="s">
        <v>861</v>
      </c>
      <c r="K568" s="27" t="s">
        <v>377</v>
      </c>
      <c r="L568" s="27"/>
      <c r="M568" s="27"/>
      <c r="N568" s="27"/>
      <c r="O568" s="27"/>
      <c r="P568" s="27"/>
      <c r="Q568" s="27"/>
      <c r="R568" s="27"/>
      <c r="S568" s="27"/>
      <c r="T568" s="27"/>
      <c r="U568" s="27"/>
      <c r="V568" s="27"/>
      <c r="W568" s="27"/>
      <c r="X568" s="27"/>
      <c r="Y568" s="27"/>
      <c r="Z568" s="27" t="s">
        <v>3285</v>
      </c>
      <c r="AA568" s="29">
        <f>IF(OR(G568="ALK",G568="PEM",G568="SOEC",G568="Other Electrolysis"),
AB568*VLOOKUP(G568,ElectrolysisConvF,3,FALSE),
"")</f>
        <v>1154.3789441280589</v>
      </c>
      <c r="AB568" s="30">
        <f>AC568*10^6/(H2dens*HoursInYear)</f>
        <v>256528.6542506798</v>
      </c>
      <c r="AC568" s="30">
        <v>200</v>
      </c>
      <c r="AD568" s="30"/>
      <c r="AE568" s="30">
        <f>IF(AND(G568&lt;&gt;"NG w CCUS",G568&lt;&gt;"Oil w CCUS",G568&lt;&gt;"Coal w CCUS"),AB568,AD568*10^3/(HoursInYear*IF(G568="NG w CCUS",0.9105,1.9075)))</f>
        <v>256528.6542506798</v>
      </c>
      <c r="AF568" s="28" t="s">
        <v>2592</v>
      </c>
      <c r="AG568" s="74" t="s">
        <v>3901</v>
      </c>
    </row>
    <row r="569" spans="1:33" ht="32.25" customHeight="1" x14ac:dyDescent="0.2">
      <c r="A569" s="27">
        <v>890</v>
      </c>
      <c r="B569" s="27" t="s">
        <v>3321</v>
      </c>
      <c r="C569" s="27" t="s">
        <v>336</v>
      </c>
      <c r="D569" s="27"/>
      <c r="E569" s="27"/>
      <c r="F569" s="27" t="s">
        <v>832</v>
      </c>
      <c r="G569" s="27" t="s">
        <v>758</v>
      </c>
      <c r="H569" s="27" t="s">
        <v>1406</v>
      </c>
      <c r="I569" s="27" t="s">
        <v>768</v>
      </c>
      <c r="J569" s="27" t="s">
        <v>865</v>
      </c>
      <c r="K569" s="27" t="s">
        <v>740</v>
      </c>
      <c r="L569" s="27"/>
      <c r="M569" s="27">
        <v>1</v>
      </c>
      <c r="N569" s="27"/>
      <c r="O569" s="27"/>
      <c r="P569" s="27"/>
      <c r="Q569" s="27"/>
      <c r="R569" s="27"/>
      <c r="S569" s="27"/>
      <c r="T569" s="27"/>
      <c r="U569" s="27"/>
      <c r="V569" s="27"/>
      <c r="W569" s="27"/>
      <c r="X569" s="27"/>
      <c r="Y569" s="27"/>
      <c r="Z569" s="27" t="s">
        <v>2588</v>
      </c>
      <c r="AA569" s="29">
        <v>2850</v>
      </c>
      <c r="AB569" s="30">
        <f>IF(OR(G569="ALK",G569="PEM",G569="SOEC",G569="Other Electrolysis"),
AA569/VLOOKUP(G569,ElectrolysisConvF,3,FALSE),
AC569*10^6/(H2dens*HoursInYear))</f>
        <v>633333.33333333337</v>
      </c>
      <c r="AC569" s="30">
        <f>AB569*H2dens*HoursInYear/10^6</f>
        <v>493.77199999999999</v>
      </c>
      <c r="AD569" s="30"/>
      <c r="AE569" s="30">
        <f>IF(AND(G569&lt;&gt;"NG w CCUS",G569&lt;&gt;"Oil w CCUS",G569&lt;&gt;"Coal w CCUS"),AB569,AD569*10^3/(HoursInYear*IF(G569="NG w CCUS",0.9105,1.9075)))</f>
        <v>633333.33333333337</v>
      </c>
      <c r="AF569" s="28" t="s">
        <v>3320</v>
      </c>
      <c r="AG569" s="28"/>
    </row>
    <row r="570" spans="1:33" ht="32.25" customHeight="1" x14ac:dyDescent="0.2">
      <c r="A570" s="27">
        <v>891</v>
      </c>
      <c r="B570" s="27" t="s">
        <v>2593</v>
      </c>
      <c r="C570" s="27" t="s">
        <v>346</v>
      </c>
      <c r="D570" s="27">
        <v>2021</v>
      </c>
      <c r="E570" s="27"/>
      <c r="F570" s="27" t="s">
        <v>916</v>
      </c>
      <c r="G570" s="27" t="s">
        <v>266</v>
      </c>
      <c r="H570" s="27"/>
      <c r="I570" s="27" t="s">
        <v>768</v>
      </c>
      <c r="J570" s="27" t="s">
        <v>863</v>
      </c>
      <c r="K570" s="27" t="s">
        <v>377</v>
      </c>
      <c r="L570" s="27"/>
      <c r="M570" s="27"/>
      <c r="N570" s="27"/>
      <c r="O570" s="27"/>
      <c r="P570" s="27"/>
      <c r="Q570" s="27">
        <v>1</v>
      </c>
      <c r="R570" s="27"/>
      <c r="S570" s="27"/>
      <c r="T570" s="27"/>
      <c r="U570" s="27"/>
      <c r="V570" s="27"/>
      <c r="W570" s="27"/>
      <c r="X570" s="27"/>
      <c r="Y570" s="27"/>
      <c r="Z570" s="27" t="s">
        <v>2594</v>
      </c>
      <c r="AA570" s="29">
        <v>0.4</v>
      </c>
      <c r="AB570" s="30">
        <f>IF(OR(G570="ALK",G570="PEM",G570="SOEC",G570="Other Electrolysis"),
AA570/VLOOKUP(G570,ElectrolysisConvF,3,FALSE),
AC570*10^6/(H2dens*HoursInYear))</f>
        <v>76.923076923076934</v>
      </c>
      <c r="AC570" s="30">
        <f>AB570*H2dens*HoursInYear/10^6</f>
        <v>5.9972307692307693E-2</v>
      </c>
      <c r="AD570" s="30"/>
      <c r="AE570" s="30">
        <f>IF(AND(G570&lt;&gt;"NG w CCUS",G570&lt;&gt;"Oil w CCUS",G570&lt;&gt;"Coal w CCUS"),AB570,AD570*10^3/(HoursInYear*IF(G570="NG w CCUS",0.9105,1.9075)))</f>
        <v>76.923076923076934</v>
      </c>
      <c r="AF570" s="28" t="s">
        <v>2595</v>
      </c>
      <c r="AG570" s="28"/>
    </row>
    <row r="571" spans="1:33" ht="32.25" customHeight="1" x14ac:dyDescent="0.2">
      <c r="A571" s="27">
        <v>892</v>
      </c>
      <c r="B571" s="27" t="s">
        <v>2596</v>
      </c>
      <c r="C571" s="27" t="s">
        <v>342</v>
      </c>
      <c r="D571" s="27"/>
      <c r="E571" s="27"/>
      <c r="F571" s="27" t="s">
        <v>832</v>
      </c>
      <c r="G571" s="27" t="s">
        <v>758</v>
      </c>
      <c r="H571" s="27" t="s">
        <v>1406</v>
      </c>
      <c r="I571" s="27" t="s">
        <v>768</v>
      </c>
      <c r="J571" s="27" t="s">
        <v>865</v>
      </c>
      <c r="K571" s="27" t="s">
        <v>377</v>
      </c>
      <c r="L571" s="27"/>
      <c r="M571" s="27"/>
      <c r="N571" s="27"/>
      <c r="O571" s="27">
        <v>1</v>
      </c>
      <c r="P571" s="27"/>
      <c r="Q571" s="27"/>
      <c r="R571" s="27"/>
      <c r="S571" s="27"/>
      <c r="T571" s="27"/>
      <c r="U571" s="27"/>
      <c r="V571" s="27"/>
      <c r="W571" s="27"/>
      <c r="X571" s="27"/>
      <c r="Y571" s="27"/>
      <c r="Z571" s="27" t="s">
        <v>1403</v>
      </c>
      <c r="AA571" s="29">
        <v>20</v>
      </c>
      <c r="AB571" s="30">
        <f>IF(OR(G571="ALK",G571="PEM",G571="SOEC",G571="Other Electrolysis"),
AA571/VLOOKUP(G571,ElectrolysisConvF,3,FALSE),
AC571*10^6/(H2dens*HoursInYear))</f>
        <v>4444.4444444444443</v>
      </c>
      <c r="AC571" s="30">
        <f>AB571*H2dens*HoursInYear/10^6</f>
        <v>3.4650666666666665</v>
      </c>
      <c r="AD571" s="30"/>
      <c r="AE571" s="30">
        <f>IF(AND(G571&lt;&gt;"NG w CCUS",G571&lt;&gt;"Oil w CCUS",G571&lt;&gt;"Coal w CCUS"),AB571,AD571*10^3/(HoursInYear*IF(G571="NG w CCUS",0.9105,1.9075)))</f>
        <v>4444.4444444444443</v>
      </c>
      <c r="AF571" s="28" t="s">
        <v>2597</v>
      </c>
      <c r="AG571" s="28"/>
    </row>
    <row r="572" spans="1:33" ht="32.25" customHeight="1" x14ac:dyDescent="0.2">
      <c r="A572" s="27">
        <v>893</v>
      </c>
      <c r="B572" s="27" t="s">
        <v>2598</v>
      </c>
      <c r="C572" s="27" t="s">
        <v>331</v>
      </c>
      <c r="D572" s="27"/>
      <c r="E572" s="27"/>
      <c r="F572" s="27" t="s">
        <v>832</v>
      </c>
      <c r="G572" s="27" t="s">
        <v>758</v>
      </c>
      <c r="H572" s="27" t="s">
        <v>1406</v>
      </c>
      <c r="I572" s="27" t="s">
        <v>768</v>
      </c>
      <c r="J572" s="27" t="s">
        <v>861</v>
      </c>
      <c r="K572" s="27" t="s">
        <v>377</v>
      </c>
      <c r="L572" s="27"/>
      <c r="M572" s="27"/>
      <c r="N572" s="27"/>
      <c r="O572" s="27"/>
      <c r="P572" s="27">
        <v>1</v>
      </c>
      <c r="Q572" s="27"/>
      <c r="R572" s="27"/>
      <c r="S572" s="27"/>
      <c r="T572" s="27"/>
      <c r="U572" s="27"/>
      <c r="V572" s="27"/>
      <c r="W572" s="27"/>
      <c r="X572" s="27"/>
      <c r="Y572" s="27"/>
      <c r="Z572" s="27"/>
      <c r="AA572" s="29"/>
      <c r="AB572" s="30"/>
      <c r="AC572" s="30"/>
      <c r="AD572" s="30"/>
      <c r="AE572" s="30"/>
      <c r="AF572" s="28" t="s">
        <v>2599</v>
      </c>
      <c r="AG572" s="28"/>
    </row>
    <row r="573" spans="1:33" ht="32.25" customHeight="1" x14ac:dyDescent="0.2">
      <c r="A573" s="27">
        <v>894</v>
      </c>
      <c r="B573" s="27" t="s">
        <v>2600</v>
      </c>
      <c r="C573" s="27" t="s">
        <v>332</v>
      </c>
      <c r="D573" s="27"/>
      <c r="E573" s="27"/>
      <c r="F573" s="27" t="s">
        <v>916</v>
      </c>
      <c r="G573" s="27" t="s">
        <v>758</v>
      </c>
      <c r="H573" s="27" t="s">
        <v>1406</v>
      </c>
      <c r="I573" s="27" t="s">
        <v>768</v>
      </c>
      <c r="J573" s="27" t="s">
        <v>863</v>
      </c>
      <c r="K573" s="27" t="s">
        <v>377</v>
      </c>
      <c r="L573" s="27"/>
      <c r="M573" s="27"/>
      <c r="N573" s="27"/>
      <c r="O573" s="27"/>
      <c r="P573" s="27">
        <v>1</v>
      </c>
      <c r="Q573" s="27">
        <v>1</v>
      </c>
      <c r="R573" s="27">
        <v>1</v>
      </c>
      <c r="S573" s="27"/>
      <c r="T573" s="27"/>
      <c r="U573" s="27"/>
      <c r="V573" s="27"/>
      <c r="W573" s="27"/>
      <c r="X573" s="27"/>
      <c r="Y573" s="27"/>
      <c r="Z573" s="27"/>
      <c r="AA573" s="29"/>
      <c r="AB573" s="30"/>
      <c r="AC573" s="30"/>
      <c r="AD573" s="30"/>
      <c r="AE573" s="30"/>
      <c r="AF573" s="28" t="s">
        <v>2601</v>
      </c>
      <c r="AG573" s="28"/>
    </row>
    <row r="574" spans="1:33" ht="32.25" customHeight="1" x14ac:dyDescent="0.2">
      <c r="A574" s="27">
        <v>895</v>
      </c>
      <c r="B574" s="27" t="s">
        <v>2602</v>
      </c>
      <c r="C574" s="27" t="s">
        <v>980</v>
      </c>
      <c r="D574" s="27"/>
      <c r="E574" s="27"/>
      <c r="F574" s="27" t="s">
        <v>832</v>
      </c>
      <c r="G574" s="27" t="s">
        <v>758</v>
      </c>
      <c r="H574" s="27" t="s">
        <v>1406</v>
      </c>
      <c r="I574" s="27" t="s">
        <v>768</v>
      </c>
      <c r="J574" s="27" t="s">
        <v>865</v>
      </c>
      <c r="K574" s="27" t="s">
        <v>377</v>
      </c>
      <c r="L574" s="27"/>
      <c r="M574" s="27"/>
      <c r="N574" s="27"/>
      <c r="O574" s="27"/>
      <c r="P574" s="27">
        <v>1</v>
      </c>
      <c r="Q574" s="27"/>
      <c r="R574" s="27"/>
      <c r="S574" s="27"/>
      <c r="T574" s="27"/>
      <c r="U574" s="27"/>
      <c r="V574" s="27"/>
      <c r="W574" s="27"/>
      <c r="X574" s="27"/>
      <c r="Y574" s="27"/>
      <c r="Z574" s="27"/>
      <c r="AA574" s="29"/>
      <c r="AB574" s="30"/>
      <c r="AC574" s="30"/>
      <c r="AD574" s="30"/>
      <c r="AE574" s="30"/>
      <c r="AF574" s="28" t="s">
        <v>2603</v>
      </c>
      <c r="AG574" s="28"/>
    </row>
    <row r="575" spans="1:33" ht="32.25" customHeight="1" x14ac:dyDescent="0.2">
      <c r="A575" s="27">
        <v>896</v>
      </c>
      <c r="B575" s="27" t="s">
        <v>2604</v>
      </c>
      <c r="C575" s="27" t="s">
        <v>804</v>
      </c>
      <c r="D575" s="27">
        <v>2022</v>
      </c>
      <c r="E575" s="27"/>
      <c r="F575" s="27" t="s">
        <v>753</v>
      </c>
      <c r="G575" s="27" t="s">
        <v>266</v>
      </c>
      <c r="H575" s="27"/>
      <c r="I575" s="27" t="s">
        <v>768</v>
      </c>
      <c r="J575" s="27" t="s">
        <v>378</v>
      </c>
      <c r="K575" s="27" t="s">
        <v>377</v>
      </c>
      <c r="L575" s="27"/>
      <c r="M575" s="27"/>
      <c r="N575" s="27"/>
      <c r="O575" s="27"/>
      <c r="P575" s="27">
        <v>1</v>
      </c>
      <c r="Q575" s="27">
        <v>1</v>
      </c>
      <c r="R575" s="27"/>
      <c r="S575" s="27"/>
      <c r="T575" s="27"/>
      <c r="U575" s="27"/>
      <c r="V575" s="27"/>
      <c r="W575" s="27"/>
      <c r="X575" s="27"/>
      <c r="Y575" s="27"/>
      <c r="Z575" s="27" t="s">
        <v>2605</v>
      </c>
      <c r="AA575" s="29">
        <v>24</v>
      </c>
      <c r="AB575" s="30">
        <f>IF(OR(G575="ALK",G575="PEM",G575="SOEC",G575="Other Electrolysis"),
AA575/VLOOKUP(G575,ElectrolysisConvF,3,FALSE),
AC575*10^6/(H2dens*HoursInYear))</f>
        <v>4615.3846153846152</v>
      </c>
      <c r="AC575" s="30">
        <f>AB575*H2dens*HoursInYear/10^6</f>
        <v>3.5983384615384608</v>
      </c>
      <c r="AD575" s="30"/>
      <c r="AE575" s="30">
        <f>IF(AND(G575&lt;&gt;"NG w CCUS",G575&lt;&gt;"Oil w CCUS",G575&lt;&gt;"Coal w CCUS"),AB575,AD575*10^3/(HoursInYear*IF(G575="NG w CCUS",0.9105,1.9075)))</f>
        <v>4615.3846153846152</v>
      </c>
      <c r="AF575" s="28" t="s">
        <v>2606</v>
      </c>
      <c r="AG575" s="74" t="s">
        <v>4019</v>
      </c>
    </row>
    <row r="576" spans="1:33" ht="32.25" customHeight="1" x14ac:dyDescent="0.2">
      <c r="A576" s="27">
        <v>897</v>
      </c>
      <c r="B576" s="27" t="s">
        <v>2607</v>
      </c>
      <c r="C576" s="27" t="s">
        <v>331</v>
      </c>
      <c r="D576" s="27">
        <v>2024</v>
      </c>
      <c r="E576" s="27"/>
      <c r="F576" s="27" t="s">
        <v>753</v>
      </c>
      <c r="G576" s="27" t="s">
        <v>758</v>
      </c>
      <c r="H576" s="27" t="s">
        <v>1406</v>
      </c>
      <c r="I576" s="27" t="s">
        <v>768</v>
      </c>
      <c r="J576" s="27" t="s">
        <v>861</v>
      </c>
      <c r="K576" s="27" t="s">
        <v>377</v>
      </c>
      <c r="L576" s="27"/>
      <c r="M576" s="27"/>
      <c r="N576" s="27"/>
      <c r="O576" s="27"/>
      <c r="P576" s="27"/>
      <c r="Q576" s="27"/>
      <c r="R576" s="27"/>
      <c r="S576" s="27"/>
      <c r="T576" s="27"/>
      <c r="U576" s="27"/>
      <c r="V576" s="27">
        <v>1</v>
      </c>
      <c r="W576" s="27"/>
      <c r="X576" s="27"/>
      <c r="Y576" s="27"/>
      <c r="Z576" s="27" t="s">
        <v>2073</v>
      </c>
      <c r="AA576" s="29">
        <v>40</v>
      </c>
      <c r="AB576" s="30">
        <f>IF(OR(G576="ALK",G576="PEM",G576="SOEC",G576="Other Electrolysis"),
AA576/VLOOKUP(G576,ElectrolysisConvF,3,FALSE),
AC576*10^6/(H2dens*HoursInYear))</f>
        <v>8888.8888888888887</v>
      </c>
      <c r="AC576" s="30">
        <f>AB576*H2dens*HoursInYear/10^6</f>
        <v>6.930133333333333</v>
      </c>
      <c r="AD576" s="30"/>
      <c r="AE576" s="30">
        <f>IF(AND(G576&lt;&gt;"NG w CCUS",G576&lt;&gt;"Oil w CCUS",G576&lt;&gt;"Coal w CCUS"),AB576,AD576*10^3/(HoursInYear*IF(G576="NG w CCUS",0.9105,1.9075)))</f>
        <v>8888.8888888888887</v>
      </c>
      <c r="AF576" s="28" t="s">
        <v>2608</v>
      </c>
      <c r="AG576" s="28"/>
    </row>
    <row r="577" spans="1:33" ht="32.25" customHeight="1" x14ac:dyDescent="0.2">
      <c r="A577" s="27">
        <v>898</v>
      </c>
      <c r="B577" s="27" t="s">
        <v>2609</v>
      </c>
      <c r="C577" s="27" t="s">
        <v>336</v>
      </c>
      <c r="D577" s="27">
        <v>2022</v>
      </c>
      <c r="E577" s="27"/>
      <c r="F577" s="27" t="s">
        <v>753</v>
      </c>
      <c r="G577" s="27" t="s">
        <v>758</v>
      </c>
      <c r="H577" s="27" t="s">
        <v>1406</v>
      </c>
      <c r="I577" s="27" t="s">
        <v>768</v>
      </c>
      <c r="J577" s="27" t="s">
        <v>862</v>
      </c>
      <c r="K577" s="27" t="s">
        <v>377</v>
      </c>
      <c r="L577" s="27"/>
      <c r="M577" s="27"/>
      <c r="N577" s="27"/>
      <c r="O577" s="27"/>
      <c r="P577" s="27"/>
      <c r="Q577" s="27"/>
      <c r="R577" s="27"/>
      <c r="S577" s="27">
        <v>1</v>
      </c>
      <c r="T577" s="27"/>
      <c r="U577" s="27"/>
      <c r="V577" s="27"/>
      <c r="W577" s="27"/>
      <c r="X577" s="27"/>
      <c r="Y577" s="27"/>
      <c r="Z577" s="27" t="s">
        <v>1407</v>
      </c>
      <c r="AA577" s="29">
        <v>10</v>
      </c>
      <c r="AB577" s="30">
        <f>IF(OR(G577="ALK",G577="PEM",G577="SOEC",G577="Other Electrolysis"),
AA577/VLOOKUP(G577,ElectrolysisConvF,3,FALSE),
AC577*10^6/(H2dens*HoursInYear))</f>
        <v>2222.2222222222222</v>
      </c>
      <c r="AC577" s="30">
        <f>AB577*H2dens*HoursInYear/10^6</f>
        <v>1.7325333333333333</v>
      </c>
      <c r="AD577" s="30"/>
      <c r="AE577" s="30">
        <f>IF(AND(G577&lt;&gt;"NG w CCUS",G577&lt;&gt;"Oil w CCUS",G577&lt;&gt;"Coal w CCUS"),AB577,AD577*10^3/(HoursInYear*IF(G577="NG w CCUS",0.9105,1.9075)))</f>
        <v>2222.2222222222222</v>
      </c>
      <c r="AF577" s="28" t="s">
        <v>2610</v>
      </c>
      <c r="AG577" s="28"/>
    </row>
    <row r="578" spans="1:33" ht="32.25" customHeight="1" x14ac:dyDescent="0.2">
      <c r="A578" s="27">
        <v>899</v>
      </c>
      <c r="B578" s="27" t="s">
        <v>2611</v>
      </c>
      <c r="C578" s="27" t="s">
        <v>362</v>
      </c>
      <c r="D578" s="27">
        <v>2025</v>
      </c>
      <c r="E578" s="27"/>
      <c r="F578" s="27" t="s">
        <v>832</v>
      </c>
      <c r="G578" s="27" t="s">
        <v>758</v>
      </c>
      <c r="H578" s="27" t="s">
        <v>1406</v>
      </c>
      <c r="I578" s="27" t="s">
        <v>768</v>
      </c>
      <c r="J578" s="27" t="s">
        <v>865</v>
      </c>
      <c r="K578" s="27" t="s">
        <v>377</v>
      </c>
      <c r="L578" s="27">
        <v>1</v>
      </c>
      <c r="M578" s="27"/>
      <c r="N578" s="27"/>
      <c r="O578" s="27"/>
      <c r="P578" s="27"/>
      <c r="Q578" s="27"/>
      <c r="R578" s="27"/>
      <c r="S578" s="27"/>
      <c r="T578" s="27"/>
      <c r="U578" s="27"/>
      <c r="V578" s="27"/>
      <c r="W578" s="27"/>
      <c r="X578" s="27"/>
      <c r="Y578" s="27"/>
      <c r="Z578" s="27" t="s">
        <v>2021</v>
      </c>
      <c r="AA578" s="29">
        <v>100</v>
      </c>
      <c r="AB578" s="30">
        <f>IF(OR(G578="ALK",G578="PEM",G578="SOEC",G578="Other Electrolysis"),
AA578/VLOOKUP(G578,ElectrolysisConvF,3,FALSE),
AC578*10^6/(H2dens*HoursInYear))</f>
        <v>22222.222222222223</v>
      </c>
      <c r="AC578" s="30">
        <f>AB578*H2dens*HoursInYear/10^6</f>
        <v>17.325333333333333</v>
      </c>
      <c r="AD578" s="30"/>
      <c r="AE578" s="30">
        <f>IF(AND(G578&lt;&gt;"NG w CCUS",G578&lt;&gt;"Oil w CCUS",G578&lt;&gt;"Coal w CCUS"),AB578,AD578*10^3/(HoursInYear*IF(G578="NG w CCUS",0.9105,1.9075)))</f>
        <v>22222.222222222223</v>
      </c>
      <c r="AF578" s="28" t="s">
        <v>2612</v>
      </c>
      <c r="AG578" s="28"/>
    </row>
    <row r="579" spans="1:33" ht="32.25" customHeight="1" x14ac:dyDescent="0.2">
      <c r="A579" s="27">
        <v>900</v>
      </c>
      <c r="B579" s="27" t="s">
        <v>2613</v>
      </c>
      <c r="C579" s="27" t="s">
        <v>804</v>
      </c>
      <c r="D579" s="27">
        <v>2025</v>
      </c>
      <c r="E579" s="27"/>
      <c r="F579" s="27" t="s">
        <v>832</v>
      </c>
      <c r="G579" s="27" t="s">
        <v>758</v>
      </c>
      <c r="H579" s="27" t="s">
        <v>1406</v>
      </c>
      <c r="I579" s="27" t="s">
        <v>768</v>
      </c>
      <c r="J579" s="27" t="s">
        <v>865</v>
      </c>
      <c r="K579" s="27" t="s">
        <v>377</v>
      </c>
      <c r="L579" s="27"/>
      <c r="M579" s="27"/>
      <c r="N579" s="27"/>
      <c r="O579" s="27"/>
      <c r="P579" s="27"/>
      <c r="Q579" s="27"/>
      <c r="R579" s="27"/>
      <c r="S579" s="27"/>
      <c r="T579" s="27"/>
      <c r="U579" s="27"/>
      <c r="V579" s="27"/>
      <c r="W579" s="27"/>
      <c r="X579" s="27"/>
      <c r="Y579" s="27"/>
      <c r="Z579" s="27" t="s">
        <v>2021</v>
      </c>
      <c r="AA579" s="29">
        <v>100</v>
      </c>
      <c r="AB579" s="30">
        <f>IF(OR(G579="ALK",G579="PEM",G579="SOEC",G579="Other Electrolysis"),
AA579/VLOOKUP(G579,ElectrolysisConvF,3,FALSE),
AC579*10^6/(H2dens*HoursInYear))</f>
        <v>22222.222222222223</v>
      </c>
      <c r="AC579" s="30">
        <f>AB579*H2dens*HoursInYear/10^6</f>
        <v>17.325333333333333</v>
      </c>
      <c r="AD579" s="30"/>
      <c r="AE579" s="30">
        <f>IF(AND(G579&lt;&gt;"NG w CCUS",G579&lt;&gt;"Oil w CCUS",G579&lt;&gt;"Coal w CCUS"),AB579,AD579*10^3/(HoursInYear*IF(G579="NG w CCUS",0.9105,1.9075)))</f>
        <v>22222.222222222223</v>
      </c>
      <c r="AF579" s="28" t="s">
        <v>2614</v>
      </c>
      <c r="AG579" s="28"/>
    </row>
    <row r="580" spans="1:33" ht="32.25" customHeight="1" x14ac:dyDescent="0.2">
      <c r="A580" s="27">
        <v>901</v>
      </c>
      <c r="B580" s="27" t="s">
        <v>2615</v>
      </c>
      <c r="C580" s="27" t="s">
        <v>336</v>
      </c>
      <c r="D580" s="27">
        <v>2023</v>
      </c>
      <c r="E580" s="27"/>
      <c r="F580" s="27" t="s">
        <v>832</v>
      </c>
      <c r="G580" s="27" t="s">
        <v>758</v>
      </c>
      <c r="H580" s="27" t="s">
        <v>1406</v>
      </c>
      <c r="I580" s="27" t="s">
        <v>768</v>
      </c>
      <c r="J580" s="27" t="s">
        <v>865</v>
      </c>
      <c r="K580" s="27" t="s">
        <v>377</v>
      </c>
      <c r="L580" s="27"/>
      <c r="M580" s="27"/>
      <c r="N580" s="27"/>
      <c r="O580" s="27"/>
      <c r="P580" s="27"/>
      <c r="Q580" s="27">
        <v>1</v>
      </c>
      <c r="R580" s="27"/>
      <c r="S580" s="27"/>
      <c r="T580" s="27"/>
      <c r="U580" s="27"/>
      <c r="V580" s="27"/>
      <c r="W580" s="27"/>
      <c r="X580" s="27"/>
      <c r="Y580" s="27"/>
      <c r="Z580" s="27" t="s">
        <v>1446</v>
      </c>
      <c r="AA580" s="29">
        <v>10</v>
      </c>
      <c r="AB580" s="30">
        <f>IF(OR(G580="ALK",G580="PEM",G580="SOEC",G580="Other Electrolysis"),
AA580/VLOOKUP(G580,ElectrolysisConvF,3,FALSE),
AC580*10^6/(H2dens*HoursInYear))</f>
        <v>2222.2222222222222</v>
      </c>
      <c r="AC580" s="30">
        <f>AB580*H2dens*HoursInYear/10^6</f>
        <v>1.7325333333333333</v>
      </c>
      <c r="AD580" s="30"/>
      <c r="AE580" s="30">
        <f>IF(AND(G580&lt;&gt;"NG w CCUS",G580&lt;&gt;"Oil w CCUS",G580&lt;&gt;"Coal w CCUS"),AB580,AD580*10^3/(HoursInYear*IF(G580="NG w CCUS",0.9105,1.9075)))</f>
        <v>2222.2222222222222</v>
      </c>
      <c r="AF580" s="28" t="s">
        <v>2616</v>
      </c>
      <c r="AG580" s="28"/>
    </row>
    <row r="581" spans="1:33" ht="32.25" customHeight="1" x14ac:dyDescent="0.2">
      <c r="A581" s="27">
        <v>902</v>
      </c>
      <c r="B581" s="27" t="s">
        <v>2617</v>
      </c>
      <c r="C581" s="27" t="s">
        <v>336</v>
      </c>
      <c r="D581" s="27">
        <v>2023</v>
      </c>
      <c r="E581" s="27"/>
      <c r="F581" s="27" t="s">
        <v>832</v>
      </c>
      <c r="G581" s="27" t="s">
        <v>758</v>
      </c>
      <c r="H581" s="27" t="s">
        <v>1406</v>
      </c>
      <c r="I581" s="27" t="s">
        <v>768</v>
      </c>
      <c r="J581" s="27" t="s">
        <v>861</v>
      </c>
      <c r="K581" s="27" t="s">
        <v>377</v>
      </c>
      <c r="L581" s="27"/>
      <c r="M581" s="27"/>
      <c r="N581" s="27"/>
      <c r="O581" s="27"/>
      <c r="P581" s="27">
        <v>1</v>
      </c>
      <c r="Q581" s="27">
        <v>1</v>
      </c>
      <c r="R581" s="27"/>
      <c r="S581" s="27"/>
      <c r="T581" s="27"/>
      <c r="U581" s="27"/>
      <c r="V581" s="27"/>
      <c r="W581" s="27"/>
      <c r="X581" s="27"/>
      <c r="Y581" s="27"/>
      <c r="Z581" s="27" t="s">
        <v>2618</v>
      </c>
      <c r="AA581" s="29">
        <f>IF(OR(G581="ALK",G581="PEM",G581="SOEC",G581="Other Electrolysis"),
AB581*VLOOKUP(G581,ElectrolysisConvF,3,FALSE),
"")</f>
        <v>1.587271048176081</v>
      </c>
      <c r="AB581" s="30">
        <f>AC581*10^6/(H2dens*HoursInYear)</f>
        <v>352.72689959468471</v>
      </c>
      <c r="AC581" s="30">
        <v>0.27500000000000002</v>
      </c>
      <c r="AD581" s="30"/>
      <c r="AE581" s="30">
        <f>IF(AND(G581&lt;&gt;"NG w CCUS",G581&lt;&gt;"Oil w CCUS",G581&lt;&gt;"Coal w CCUS"),AB581,AD581*10^3/(HoursInYear*IF(G581="NG w CCUS",0.9105,1.9075)))</f>
        <v>352.72689959468471</v>
      </c>
      <c r="AF581" s="28" t="s">
        <v>2619</v>
      </c>
      <c r="AG581" s="28"/>
    </row>
    <row r="582" spans="1:33" ht="32.25" customHeight="1" x14ac:dyDescent="0.2">
      <c r="A582" s="27">
        <v>903</v>
      </c>
      <c r="B582" s="27" t="s">
        <v>2620</v>
      </c>
      <c r="C582" s="27" t="s">
        <v>434</v>
      </c>
      <c r="D582" s="27">
        <v>2023</v>
      </c>
      <c r="E582" s="27"/>
      <c r="F582" s="27" t="s">
        <v>832</v>
      </c>
      <c r="G582" s="27" t="s">
        <v>760</v>
      </c>
      <c r="H582" s="27" t="s">
        <v>2495</v>
      </c>
      <c r="I582" s="27"/>
      <c r="J582" s="27"/>
      <c r="K582" s="27" t="s">
        <v>377</v>
      </c>
      <c r="L582" s="27"/>
      <c r="M582" s="27"/>
      <c r="N582" s="27"/>
      <c r="O582" s="27"/>
      <c r="P582" s="27"/>
      <c r="Q582" s="27">
        <v>1</v>
      </c>
      <c r="R582" s="27"/>
      <c r="S582" s="27"/>
      <c r="T582" s="27"/>
      <c r="U582" s="27"/>
      <c r="V582" s="27"/>
      <c r="W582" s="27"/>
      <c r="X582" s="27"/>
      <c r="Y582" s="27"/>
      <c r="Z582" s="27" t="s">
        <v>2621</v>
      </c>
      <c r="AA582" s="29" t="str">
        <f>IF(OR(G582="ALK",G582="PEM",G582="SOEC",G582="Other Electrolysis"),
AB582*VLOOKUP(G582,ElectrolysisConvF,3,FALSE),
"")</f>
        <v/>
      </c>
      <c r="AB582" s="30">
        <f>AC582*10^6/(H2dens*HoursInYear)</f>
        <v>448.92514493868964</v>
      </c>
      <c r="AC582" s="30">
        <v>0.35</v>
      </c>
      <c r="AD582" s="30"/>
      <c r="AE582" s="30"/>
      <c r="AF582" s="28" t="s">
        <v>3125</v>
      </c>
      <c r="AG582" s="28"/>
    </row>
    <row r="583" spans="1:33" ht="32.25" customHeight="1" x14ac:dyDescent="0.2">
      <c r="A583" s="27">
        <v>904</v>
      </c>
      <c r="B583" s="27" t="s">
        <v>2622</v>
      </c>
      <c r="C583" s="27" t="s">
        <v>335</v>
      </c>
      <c r="D583" s="27"/>
      <c r="E583" s="27"/>
      <c r="F583" s="27" t="s">
        <v>832</v>
      </c>
      <c r="G583" s="27" t="s">
        <v>758</v>
      </c>
      <c r="H583" s="27" t="s">
        <v>1406</v>
      </c>
      <c r="I583" s="27" t="s">
        <v>768</v>
      </c>
      <c r="J583" s="27" t="s">
        <v>864</v>
      </c>
      <c r="K583" s="27" t="s">
        <v>377</v>
      </c>
      <c r="L583" s="27"/>
      <c r="M583" s="27"/>
      <c r="N583" s="27"/>
      <c r="O583" s="27"/>
      <c r="P583" s="27"/>
      <c r="Q583" s="27"/>
      <c r="R583" s="27"/>
      <c r="S583" s="27"/>
      <c r="T583" s="27"/>
      <c r="U583" s="27"/>
      <c r="V583" s="27"/>
      <c r="W583" s="27"/>
      <c r="X583" s="27"/>
      <c r="Y583" s="27"/>
      <c r="Z583" s="27"/>
      <c r="AA583" s="29"/>
      <c r="AB583" s="30"/>
      <c r="AC583" s="30"/>
      <c r="AD583" s="30"/>
      <c r="AE583" s="30"/>
      <c r="AF583" s="28" t="s">
        <v>2619</v>
      </c>
      <c r="AG583" s="28"/>
    </row>
    <row r="584" spans="1:33" ht="32.25" customHeight="1" x14ac:dyDescent="0.2">
      <c r="A584" s="27">
        <v>905</v>
      </c>
      <c r="B584" s="27" t="s">
        <v>2623</v>
      </c>
      <c r="C584" s="27" t="s">
        <v>980</v>
      </c>
      <c r="D584" s="27">
        <v>2025</v>
      </c>
      <c r="E584" s="27"/>
      <c r="F584" s="27" t="s">
        <v>832</v>
      </c>
      <c r="G584" s="27" t="s">
        <v>268</v>
      </c>
      <c r="H584" s="27"/>
      <c r="I584" s="27" t="s">
        <v>756</v>
      </c>
      <c r="J584" s="27" t="str">
        <f>IF(I584&lt;&gt;"Dedicated renewable","N/A",)</f>
        <v>N/A</v>
      </c>
      <c r="K584" s="27" t="s">
        <v>377</v>
      </c>
      <c r="L584" s="27">
        <v>1</v>
      </c>
      <c r="M584" s="27"/>
      <c r="N584" s="27"/>
      <c r="O584" s="27"/>
      <c r="P584" s="27">
        <v>1</v>
      </c>
      <c r="Q584" s="27"/>
      <c r="R584" s="27"/>
      <c r="S584" s="27"/>
      <c r="T584" s="27"/>
      <c r="U584" s="27"/>
      <c r="V584" s="27"/>
      <c r="W584" s="27"/>
      <c r="X584" s="27"/>
      <c r="Y584" s="27"/>
      <c r="Z584" s="27" t="s">
        <v>2021</v>
      </c>
      <c r="AA584" s="29">
        <v>100</v>
      </c>
      <c r="AB584" s="30">
        <f>IF(OR(G584="ALK",G584="PEM",G584="SOEC",G584="Other Electrolysis"),
AA584/VLOOKUP(G584,ElectrolysisConvF,3,FALSE),
AC584*10^6/(H2dens*HoursInYear))</f>
        <v>21739.130434782608</v>
      </c>
      <c r="AC584" s="30">
        <f>AB584*H2dens*HoursInYear/10^6</f>
        <v>16.94869565217391</v>
      </c>
      <c r="AD584" s="30"/>
      <c r="AE584" s="30">
        <f>IF(AND(G584&lt;&gt;"NG w CCUS",G584&lt;&gt;"Oil w CCUS",G584&lt;&gt;"Coal w CCUS"),AB584,AD584*10^3/(HoursInYear*IF(G584="NG w CCUS",0.9105,1.9075)))</f>
        <v>21739.130434782608</v>
      </c>
      <c r="AF584" s="28" t="s">
        <v>2624</v>
      </c>
      <c r="AG584" s="28"/>
    </row>
    <row r="585" spans="1:33" ht="32.25" customHeight="1" x14ac:dyDescent="0.2">
      <c r="A585" s="27">
        <v>906</v>
      </c>
      <c r="B585" s="27" t="s">
        <v>2625</v>
      </c>
      <c r="C585" s="27" t="s">
        <v>980</v>
      </c>
      <c r="D585" s="27">
        <v>2025</v>
      </c>
      <c r="E585" s="27"/>
      <c r="F585" s="27" t="s">
        <v>832</v>
      </c>
      <c r="G585" s="27" t="s">
        <v>758</v>
      </c>
      <c r="H585" s="27" t="s">
        <v>1406</v>
      </c>
      <c r="I585" s="27" t="s">
        <v>768</v>
      </c>
      <c r="J585" s="27" t="s">
        <v>862</v>
      </c>
      <c r="K585" s="27" t="s">
        <v>377</v>
      </c>
      <c r="L585" s="27"/>
      <c r="M585" s="27"/>
      <c r="N585" s="27"/>
      <c r="O585" s="27"/>
      <c r="P585" s="27"/>
      <c r="Q585" s="27"/>
      <c r="R585" s="27"/>
      <c r="S585" s="27"/>
      <c r="T585" s="27"/>
      <c r="U585" s="27"/>
      <c r="V585" s="27"/>
      <c r="W585" s="27"/>
      <c r="X585" s="27"/>
      <c r="Y585" s="27"/>
      <c r="Z585" s="27" t="s">
        <v>2021</v>
      </c>
      <c r="AA585" s="29">
        <v>100</v>
      </c>
      <c r="AB585" s="30">
        <f>IF(OR(G585="ALK",G585="PEM",G585="SOEC",G585="Other Electrolysis"),
AA585/VLOOKUP(G585,ElectrolysisConvF,3,FALSE),
AC585*10^6/(H2dens*HoursInYear))</f>
        <v>22222.222222222223</v>
      </c>
      <c r="AC585" s="30">
        <f>AB585*H2dens*HoursInYear/10^6</f>
        <v>17.325333333333333</v>
      </c>
      <c r="AD585" s="30"/>
      <c r="AE585" s="30">
        <f>IF(AND(G585&lt;&gt;"NG w CCUS",G585&lt;&gt;"Oil w CCUS",G585&lt;&gt;"Coal w CCUS"),AB585,AD585*10^3/(HoursInYear*IF(G585="NG w CCUS",0.9105,1.9075)))</f>
        <v>22222.222222222223</v>
      </c>
      <c r="AF585" s="28" t="s">
        <v>2626</v>
      </c>
      <c r="AG585" s="28"/>
    </row>
    <row r="586" spans="1:33" ht="32.25" customHeight="1" x14ac:dyDescent="0.2">
      <c r="A586" s="27">
        <v>907</v>
      </c>
      <c r="B586" s="27" t="s">
        <v>2627</v>
      </c>
      <c r="C586" s="27" t="s">
        <v>804</v>
      </c>
      <c r="D586" s="27">
        <v>2021</v>
      </c>
      <c r="E586" s="27"/>
      <c r="F586" s="27" t="s">
        <v>754</v>
      </c>
      <c r="G586" s="27" t="s">
        <v>268</v>
      </c>
      <c r="H586" s="27"/>
      <c r="I586" s="27" t="s">
        <v>866</v>
      </c>
      <c r="J586" s="27" t="str">
        <f>IF(I586&lt;&gt;"Dedicated renewable","N/A",)</f>
        <v>N/A</v>
      </c>
      <c r="K586" s="27" t="s">
        <v>377</v>
      </c>
      <c r="L586" s="27"/>
      <c r="M586" s="27"/>
      <c r="N586" s="27"/>
      <c r="O586" s="27"/>
      <c r="P586" s="27"/>
      <c r="Q586" s="27">
        <v>1</v>
      </c>
      <c r="R586" s="27"/>
      <c r="S586" s="27">
        <v>1</v>
      </c>
      <c r="T586" s="27"/>
      <c r="U586" s="27"/>
      <c r="V586" s="27"/>
      <c r="W586" s="27"/>
      <c r="X586" s="27"/>
      <c r="Y586" s="27"/>
      <c r="Z586" s="27" t="s">
        <v>2337</v>
      </c>
      <c r="AA586" s="29">
        <v>0.5</v>
      </c>
      <c r="AB586" s="30">
        <f>IF(OR(G586="ALK",G586="PEM",G586="SOEC",G586="Other Electrolysis"),
AA586/VLOOKUP(G586,ElectrolysisConvF,3,FALSE),
AC586*10^6/(H2dens*HoursInYear))</f>
        <v>108.69565217391305</v>
      </c>
      <c r="AC586" s="30">
        <f>AB586*H2dens*HoursInYear/10^6</f>
        <v>8.4743478260869559E-2</v>
      </c>
      <c r="AD586" s="30"/>
      <c r="AE586" s="30">
        <f>IF(AND(G586&lt;&gt;"NG w CCUS",G586&lt;&gt;"Oil w CCUS",G586&lt;&gt;"Coal w CCUS"),AB586,AD586*10^3/(HoursInYear*IF(G586="NG w CCUS",0.9105,1.9075)))</f>
        <v>108.69565217391305</v>
      </c>
      <c r="AF586" s="28" t="s">
        <v>2628</v>
      </c>
      <c r="AG586" s="28"/>
    </row>
    <row r="587" spans="1:33" ht="32.25" customHeight="1" x14ac:dyDescent="0.2">
      <c r="A587" s="27">
        <v>908</v>
      </c>
      <c r="B587" s="27" t="s">
        <v>2629</v>
      </c>
      <c r="C587" s="27" t="s">
        <v>980</v>
      </c>
      <c r="D587" s="71">
        <v>2023</v>
      </c>
      <c r="E587" s="27"/>
      <c r="F587" s="27" t="s">
        <v>832</v>
      </c>
      <c r="G587" s="27" t="s">
        <v>758</v>
      </c>
      <c r="H587" s="27" t="s">
        <v>1406</v>
      </c>
      <c r="I587" s="27" t="s">
        <v>768</v>
      </c>
      <c r="J587" s="27" t="s">
        <v>861</v>
      </c>
      <c r="K587" s="27" t="s">
        <v>377</v>
      </c>
      <c r="L587" s="27"/>
      <c r="M587" s="27"/>
      <c r="N587" s="27"/>
      <c r="O587" s="27"/>
      <c r="P587" s="27"/>
      <c r="Q587" s="27"/>
      <c r="R587" s="27"/>
      <c r="S587" s="27"/>
      <c r="T587" s="27"/>
      <c r="U587" s="27"/>
      <c r="V587" s="27"/>
      <c r="W587" s="27"/>
      <c r="X587" s="27"/>
      <c r="Y587" s="27"/>
      <c r="Z587" s="27" t="s">
        <v>1404</v>
      </c>
      <c r="AA587" s="29">
        <v>4</v>
      </c>
      <c r="AB587" s="30">
        <f>IF(OR(G587="ALK",G587="PEM",G587="SOEC",G587="Other Electrolysis"),
AA587/VLOOKUP(G587,ElectrolysisConvF,3,FALSE),
AC587*10^6/(H2dens*HoursInYear))</f>
        <v>888.88888888888891</v>
      </c>
      <c r="AC587" s="30">
        <f>AB587*H2dens*HoursInYear/10^6</f>
        <v>0.69301333333333337</v>
      </c>
      <c r="AD587" s="30"/>
      <c r="AE587" s="30">
        <f>IF(AND(G587&lt;&gt;"NG w CCUS",G587&lt;&gt;"Oil w CCUS",G587&lt;&gt;"Coal w CCUS"),AB587,AD587*10^3/(HoursInYear*IF(G587="NG w CCUS",0.9105,1.9075)))</f>
        <v>888.88888888888891</v>
      </c>
      <c r="AF587" s="28" t="s">
        <v>2630</v>
      </c>
      <c r="AG587" s="28"/>
    </row>
    <row r="588" spans="1:33" ht="32.25" customHeight="1" x14ac:dyDescent="0.2">
      <c r="A588" s="27">
        <v>909</v>
      </c>
      <c r="B588" s="27" t="s">
        <v>2631</v>
      </c>
      <c r="C588" s="27" t="s">
        <v>980</v>
      </c>
      <c r="D588" s="71">
        <v>2024</v>
      </c>
      <c r="E588" s="27"/>
      <c r="F588" s="27" t="s">
        <v>832</v>
      </c>
      <c r="G588" s="27" t="s">
        <v>758</v>
      </c>
      <c r="H588" s="27" t="s">
        <v>1406</v>
      </c>
      <c r="I588" s="27" t="s">
        <v>768</v>
      </c>
      <c r="J588" s="27" t="s">
        <v>861</v>
      </c>
      <c r="K588" s="27" t="s">
        <v>377</v>
      </c>
      <c r="L588" s="27"/>
      <c r="M588" s="27"/>
      <c r="N588" s="27"/>
      <c r="O588" s="27"/>
      <c r="P588" s="27"/>
      <c r="Q588" s="27"/>
      <c r="R588" s="27"/>
      <c r="S588" s="27"/>
      <c r="T588" s="27"/>
      <c r="U588" s="27"/>
      <c r="V588" s="27"/>
      <c r="W588" s="27"/>
      <c r="X588" s="27"/>
      <c r="Y588" s="27"/>
      <c r="Z588" s="27" t="s">
        <v>1404</v>
      </c>
      <c r="AA588" s="29">
        <v>4</v>
      </c>
      <c r="AB588" s="30">
        <f>IF(OR(G588="ALK",G588="PEM",G588="SOEC",G588="Other Electrolysis"),
AA588/VLOOKUP(G588,ElectrolysisConvF,3,FALSE),
AC588*10^6/(H2dens*HoursInYear))</f>
        <v>888.88888888888891</v>
      </c>
      <c r="AC588" s="30">
        <f>AB588*H2dens*HoursInYear/10^6</f>
        <v>0.69301333333333337</v>
      </c>
      <c r="AD588" s="30"/>
      <c r="AE588" s="30">
        <f>IF(AND(G588&lt;&gt;"NG w CCUS",G588&lt;&gt;"Oil w CCUS",G588&lt;&gt;"Coal w CCUS"),AB588,AD588*10^3/(HoursInYear*IF(G588="NG w CCUS",0.9105,1.9075)))</f>
        <v>888.88888888888891</v>
      </c>
      <c r="AF588" s="28" t="s">
        <v>2630</v>
      </c>
      <c r="AG588" s="28"/>
    </row>
    <row r="589" spans="1:33" ht="32.25" customHeight="1" x14ac:dyDescent="0.2">
      <c r="A589" s="27">
        <v>910</v>
      </c>
      <c r="B589" s="27" t="s">
        <v>2632</v>
      </c>
      <c r="C589" s="27" t="s">
        <v>980</v>
      </c>
      <c r="D589" s="71">
        <v>2024</v>
      </c>
      <c r="E589" s="27"/>
      <c r="F589" s="27" t="s">
        <v>832</v>
      </c>
      <c r="G589" s="27" t="s">
        <v>758</v>
      </c>
      <c r="H589" s="27" t="s">
        <v>1406</v>
      </c>
      <c r="I589" s="27" t="s">
        <v>768</v>
      </c>
      <c r="J589" s="27" t="s">
        <v>861</v>
      </c>
      <c r="K589" s="27" t="s">
        <v>377</v>
      </c>
      <c r="L589" s="27"/>
      <c r="M589" s="27"/>
      <c r="N589" s="27"/>
      <c r="O589" s="27"/>
      <c r="P589" s="27"/>
      <c r="Q589" s="27"/>
      <c r="R589" s="27"/>
      <c r="S589" s="27"/>
      <c r="T589" s="27"/>
      <c r="U589" s="27"/>
      <c r="V589" s="27"/>
      <c r="W589" s="27"/>
      <c r="X589" s="27"/>
      <c r="Y589" s="27"/>
      <c r="Z589" s="27" t="s">
        <v>2021</v>
      </c>
      <c r="AA589" s="29">
        <v>100</v>
      </c>
      <c r="AB589" s="30">
        <f>IF(OR(G589="ALK",G589="PEM",G589="SOEC",G589="Other Electrolysis"),
AA589/VLOOKUP(G589,ElectrolysisConvF,3,FALSE),
AC589*10^6/(H2dens*HoursInYear))</f>
        <v>22222.222222222223</v>
      </c>
      <c r="AC589" s="30">
        <f>AB589*H2dens*HoursInYear/10^6</f>
        <v>17.325333333333333</v>
      </c>
      <c r="AD589" s="30"/>
      <c r="AE589" s="30">
        <f>IF(AND(G589&lt;&gt;"NG w CCUS",G589&lt;&gt;"Oil w CCUS",G589&lt;&gt;"Coal w CCUS"),AB589,AD589*10^3/(HoursInYear*IF(G589="NG w CCUS",0.9105,1.9075)))</f>
        <v>22222.222222222223</v>
      </c>
      <c r="AF589" s="28" t="s">
        <v>2630</v>
      </c>
      <c r="AG589" s="28"/>
    </row>
    <row r="590" spans="1:33" ht="32.25" customHeight="1" x14ac:dyDescent="0.2">
      <c r="A590" s="27">
        <v>911</v>
      </c>
      <c r="B590" s="27" t="s">
        <v>2633</v>
      </c>
      <c r="C590" s="27" t="s">
        <v>980</v>
      </c>
      <c r="D590" s="71">
        <v>2023</v>
      </c>
      <c r="E590" s="27"/>
      <c r="F590" s="27" t="s">
        <v>832</v>
      </c>
      <c r="G590" s="27" t="s">
        <v>758</v>
      </c>
      <c r="H590" s="27" t="s">
        <v>1406</v>
      </c>
      <c r="I590" s="27" t="s">
        <v>768</v>
      </c>
      <c r="J590" s="27" t="s">
        <v>862</v>
      </c>
      <c r="K590" s="27" t="s">
        <v>377</v>
      </c>
      <c r="L590" s="27"/>
      <c r="M590" s="27"/>
      <c r="N590" s="27"/>
      <c r="O590" s="27"/>
      <c r="P590" s="27"/>
      <c r="Q590" s="27"/>
      <c r="R590" s="27"/>
      <c r="S590" s="27"/>
      <c r="T590" s="27"/>
      <c r="U590" s="27"/>
      <c r="V590" s="27"/>
      <c r="W590" s="27"/>
      <c r="X590" s="27"/>
      <c r="Y590" s="27"/>
      <c r="Z590" s="27" t="s">
        <v>2634</v>
      </c>
      <c r="AA590" s="29">
        <v>7.2</v>
      </c>
      <c r="AB590" s="30">
        <f>IF(OR(G590="ALK",G590="PEM",G590="SOEC",G590="Other Electrolysis"),
AA590/VLOOKUP(G590,ElectrolysisConvF,3,FALSE),
AC590*10^6/(H2dens*HoursInYear))</f>
        <v>1600.0000000000002</v>
      </c>
      <c r="AC590" s="30">
        <f>AB590*H2dens*HoursInYear/10^6</f>
        <v>1.2474240000000001</v>
      </c>
      <c r="AD590" s="30"/>
      <c r="AE590" s="30">
        <f>IF(AND(G590&lt;&gt;"NG w CCUS",G590&lt;&gt;"Oil w CCUS",G590&lt;&gt;"Coal w CCUS"),AB590,AD590*10^3/(HoursInYear*IF(G590="NG w CCUS",0.9105,1.9075)))</f>
        <v>1600.0000000000002</v>
      </c>
      <c r="AF590" s="28" t="s">
        <v>2630</v>
      </c>
      <c r="AG590" s="28"/>
    </row>
    <row r="591" spans="1:33" ht="32.25" customHeight="1" x14ac:dyDescent="0.2">
      <c r="A591" s="27">
        <v>912</v>
      </c>
      <c r="B591" s="27" t="s">
        <v>2635</v>
      </c>
      <c r="C591" s="27" t="s">
        <v>980</v>
      </c>
      <c r="D591" s="71">
        <v>2024</v>
      </c>
      <c r="E591" s="27"/>
      <c r="F591" s="27" t="s">
        <v>832</v>
      </c>
      <c r="G591" s="27" t="s">
        <v>758</v>
      </c>
      <c r="H591" s="27" t="s">
        <v>1406</v>
      </c>
      <c r="I591" s="27" t="s">
        <v>768</v>
      </c>
      <c r="J591" s="27" t="s">
        <v>861</v>
      </c>
      <c r="K591" s="27" t="s">
        <v>377</v>
      </c>
      <c r="L591" s="27"/>
      <c r="M591" s="27"/>
      <c r="N591" s="27"/>
      <c r="O591" s="27"/>
      <c r="P591" s="27"/>
      <c r="Q591" s="27"/>
      <c r="R591" s="27"/>
      <c r="S591" s="27"/>
      <c r="T591" s="27"/>
      <c r="U591" s="27"/>
      <c r="V591" s="27"/>
      <c r="W591" s="27"/>
      <c r="X591" s="27"/>
      <c r="Y591" s="27"/>
      <c r="Z591" s="27" t="s">
        <v>1403</v>
      </c>
      <c r="AA591" s="29">
        <v>20</v>
      </c>
      <c r="AB591" s="30">
        <f>IF(OR(G591="ALK",G591="PEM",G591="SOEC",G591="Other Electrolysis"),
AA591/VLOOKUP(G591,ElectrolysisConvF,3,FALSE),
AC591*10^6/(H2dens*HoursInYear))</f>
        <v>4444.4444444444443</v>
      </c>
      <c r="AC591" s="30">
        <f>AB591*H2dens*HoursInYear/10^6</f>
        <v>3.4650666666666665</v>
      </c>
      <c r="AD591" s="30"/>
      <c r="AE591" s="30">
        <f>IF(AND(G591&lt;&gt;"NG w CCUS",G591&lt;&gt;"Oil w CCUS",G591&lt;&gt;"Coal w CCUS"),AB591,AD591*10^3/(HoursInYear*IF(G591="NG w CCUS",0.9105,1.9075)))</f>
        <v>4444.4444444444443</v>
      </c>
      <c r="AF591" s="28" t="s">
        <v>2630</v>
      </c>
      <c r="AG591" s="28"/>
    </row>
    <row r="592" spans="1:33" ht="32.25" customHeight="1" x14ac:dyDescent="0.2">
      <c r="A592" s="27">
        <v>913</v>
      </c>
      <c r="B592" s="27" t="s">
        <v>2636</v>
      </c>
      <c r="C592" s="27" t="s">
        <v>980</v>
      </c>
      <c r="D592" s="71">
        <v>2024</v>
      </c>
      <c r="E592" s="27"/>
      <c r="F592" s="27" t="s">
        <v>832</v>
      </c>
      <c r="G592" s="27" t="s">
        <v>758</v>
      </c>
      <c r="H592" s="27" t="s">
        <v>1406</v>
      </c>
      <c r="I592" s="27" t="s">
        <v>768</v>
      </c>
      <c r="J592" s="27" t="s">
        <v>865</v>
      </c>
      <c r="K592" s="27" t="s">
        <v>377</v>
      </c>
      <c r="L592" s="27"/>
      <c r="M592" s="27"/>
      <c r="N592" s="27"/>
      <c r="O592" s="27"/>
      <c r="P592" s="27"/>
      <c r="Q592" s="27"/>
      <c r="R592" s="27"/>
      <c r="S592" s="27"/>
      <c r="T592" s="27"/>
      <c r="U592" s="27"/>
      <c r="V592" s="27"/>
      <c r="W592" s="27"/>
      <c r="X592" s="27"/>
      <c r="Y592" s="27"/>
      <c r="Z592" s="27" t="s">
        <v>2091</v>
      </c>
      <c r="AA592" s="29">
        <v>60</v>
      </c>
      <c r="AB592" s="30">
        <f>IF(OR(G592="ALK",G592="PEM",G592="SOEC",G592="Other Electrolysis"),
AA592/VLOOKUP(G592,ElectrolysisConvF,3,FALSE),
AC592*10^6/(H2dens*HoursInYear))</f>
        <v>13333.333333333334</v>
      </c>
      <c r="AC592" s="30">
        <f>AB592*H2dens*HoursInYear/10^6</f>
        <v>10.395200000000001</v>
      </c>
      <c r="AD592" s="30"/>
      <c r="AE592" s="30">
        <f>IF(AND(G592&lt;&gt;"NG w CCUS",G592&lt;&gt;"Oil w CCUS",G592&lt;&gt;"Coal w CCUS"),AB592,AD592*10^3/(HoursInYear*IF(G592="NG w CCUS",0.9105,1.9075)))</f>
        <v>13333.333333333334</v>
      </c>
      <c r="AF592" s="28" t="s">
        <v>2630</v>
      </c>
      <c r="AG592" s="28"/>
    </row>
    <row r="593" spans="1:33" ht="32.25" customHeight="1" x14ac:dyDescent="0.2">
      <c r="A593" s="27">
        <v>914</v>
      </c>
      <c r="B593" s="27" t="s">
        <v>2637</v>
      </c>
      <c r="C593" s="27" t="s">
        <v>980</v>
      </c>
      <c r="D593" s="71">
        <v>2024</v>
      </c>
      <c r="E593" s="27"/>
      <c r="F593" s="27" t="s">
        <v>832</v>
      </c>
      <c r="G593" s="27" t="s">
        <v>758</v>
      </c>
      <c r="H593" s="27" t="s">
        <v>1406</v>
      </c>
      <c r="I593" s="27" t="s">
        <v>768</v>
      </c>
      <c r="J593" s="27" t="s">
        <v>861</v>
      </c>
      <c r="K593" s="27" t="s">
        <v>377</v>
      </c>
      <c r="L593" s="27"/>
      <c r="M593" s="27"/>
      <c r="N593" s="27"/>
      <c r="O593" s="27"/>
      <c r="P593" s="27"/>
      <c r="Q593" s="27"/>
      <c r="R593" s="27"/>
      <c r="S593" s="27"/>
      <c r="T593" s="27"/>
      <c r="U593" s="27"/>
      <c r="V593" s="27"/>
      <c r="W593" s="27"/>
      <c r="X593" s="27"/>
      <c r="Y593" s="27"/>
      <c r="Z593" s="27" t="s">
        <v>1403</v>
      </c>
      <c r="AA593" s="29">
        <v>20</v>
      </c>
      <c r="AB593" s="30">
        <f>IF(OR(G593="ALK",G593="PEM",G593="SOEC",G593="Other Electrolysis"),
AA593/VLOOKUP(G593,ElectrolysisConvF,3,FALSE),
AC593*10^6/(H2dens*HoursInYear))</f>
        <v>4444.4444444444443</v>
      </c>
      <c r="AC593" s="30">
        <f>AB593*H2dens*HoursInYear/10^6</f>
        <v>3.4650666666666665</v>
      </c>
      <c r="AD593" s="30"/>
      <c r="AE593" s="30">
        <f>IF(AND(G593&lt;&gt;"NG w CCUS",G593&lt;&gt;"Oil w CCUS",G593&lt;&gt;"Coal w CCUS"),AB593,AD593*10^3/(HoursInYear*IF(G593="NG w CCUS",0.9105,1.9075)))</f>
        <v>4444.4444444444443</v>
      </c>
      <c r="AF593" s="28" t="s">
        <v>2630</v>
      </c>
      <c r="AG593" s="28"/>
    </row>
    <row r="594" spans="1:33" ht="32.25" customHeight="1" x14ac:dyDescent="0.2">
      <c r="A594" s="27">
        <v>915</v>
      </c>
      <c r="B594" s="27" t="s">
        <v>2638</v>
      </c>
      <c r="C594" s="27" t="s">
        <v>980</v>
      </c>
      <c r="D594" s="71">
        <v>2025</v>
      </c>
      <c r="E594" s="27"/>
      <c r="F594" s="27" t="s">
        <v>832</v>
      </c>
      <c r="G594" s="27" t="s">
        <v>758</v>
      </c>
      <c r="H594" s="27" t="s">
        <v>1406</v>
      </c>
      <c r="I594" s="27" t="s">
        <v>768</v>
      </c>
      <c r="J594" s="27" t="s">
        <v>861</v>
      </c>
      <c r="K594" s="27" t="s">
        <v>377</v>
      </c>
      <c r="L594" s="27"/>
      <c r="M594" s="27"/>
      <c r="N594" s="27"/>
      <c r="O594" s="27"/>
      <c r="P594" s="27"/>
      <c r="Q594" s="27"/>
      <c r="R594" s="27"/>
      <c r="S594" s="27"/>
      <c r="T594" s="27"/>
      <c r="U594" s="27"/>
      <c r="V594" s="27"/>
      <c r="W594" s="27"/>
      <c r="X594" s="27"/>
      <c r="Y594" s="27"/>
      <c r="Z594" s="27" t="s">
        <v>2639</v>
      </c>
      <c r="AA594" s="29">
        <v>7</v>
      </c>
      <c r="AB594" s="30">
        <f>IF(OR(G594="ALK",G594="PEM",G594="SOEC",G594="Other Electrolysis"),
AA594/VLOOKUP(G594,ElectrolysisConvF,3,FALSE),
AC594*10^6/(H2dens*HoursInYear))</f>
        <v>1555.5555555555557</v>
      </c>
      <c r="AC594" s="30">
        <f>AB594*H2dens*HoursInYear/10^6</f>
        <v>1.2127733333333335</v>
      </c>
      <c r="AD594" s="30"/>
      <c r="AE594" s="30">
        <f>IF(AND(G594&lt;&gt;"NG w CCUS",G594&lt;&gt;"Oil w CCUS",G594&lt;&gt;"Coal w CCUS"),AB594,AD594*10^3/(HoursInYear*IF(G594="NG w CCUS",0.9105,1.9075)))</f>
        <v>1555.5555555555557</v>
      </c>
      <c r="AF594" s="28" t="s">
        <v>2630</v>
      </c>
      <c r="AG594" s="28"/>
    </row>
    <row r="595" spans="1:33" ht="32.25" customHeight="1" x14ac:dyDescent="0.2">
      <c r="A595" s="27">
        <v>916</v>
      </c>
      <c r="B595" s="27" t="s">
        <v>2640</v>
      </c>
      <c r="C595" s="27" t="s">
        <v>980</v>
      </c>
      <c r="D595" s="71">
        <v>2025</v>
      </c>
      <c r="E595" s="27"/>
      <c r="F595" s="27" t="s">
        <v>832</v>
      </c>
      <c r="G595" s="27" t="s">
        <v>758</v>
      </c>
      <c r="H595" s="27" t="s">
        <v>1406</v>
      </c>
      <c r="I595" s="27" t="s">
        <v>768</v>
      </c>
      <c r="J595" s="27" t="s">
        <v>865</v>
      </c>
      <c r="K595" s="27" t="s">
        <v>377</v>
      </c>
      <c r="L595" s="27"/>
      <c r="M595" s="27"/>
      <c r="N595" s="27"/>
      <c r="O595" s="27"/>
      <c r="P595" s="27"/>
      <c r="Q595" s="27"/>
      <c r="R595" s="27"/>
      <c r="S595" s="27"/>
      <c r="T595" s="27"/>
      <c r="U595" s="27"/>
      <c r="V595" s="27"/>
      <c r="W595" s="27"/>
      <c r="X595" s="27"/>
      <c r="Y595" s="27"/>
      <c r="Z595" s="27" t="s">
        <v>1407</v>
      </c>
      <c r="AA595" s="29">
        <v>10</v>
      </c>
      <c r="AB595" s="30">
        <f>IF(OR(G595="ALK",G595="PEM",G595="SOEC",G595="Other Electrolysis"),
AA595/VLOOKUP(G595,ElectrolysisConvF,3,FALSE),
AC595*10^6/(H2dens*HoursInYear))</f>
        <v>2222.2222222222222</v>
      </c>
      <c r="AC595" s="30">
        <f>AB595*H2dens*HoursInYear/10^6</f>
        <v>1.7325333333333333</v>
      </c>
      <c r="AD595" s="30"/>
      <c r="AE595" s="30">
        <f>IF(AND(G595&lt;&gt;"NG w CCUS",G595&lt;&gt;"Oil w CCUS",G595&lt;&gt;"Coal w CCUS"),AB595,AD595*10^3/(HoursInYear*IF(G595="NG w CCUS",0.9105,1.9075)))</f>
        <v>2222.2222222222222</v>
      </c>
      <c r="AF595" s="28" t="s">
        <v>2630</v>
      </c>
      <c r="AG595" s="28"/>
    </row>
    <row r="596" spans="1:33" ht="32.25" customHeight="1" x14ac:dyDescent="0.2">
      <c r="A596" s="27">
        <v>917</v>
      </c>
      <c r="B596" s="27" t="s">
        <v>2641</v>
      </c>
      <c r="C596" s="27" t="s">
        <v>980</v>
      </c>
      <c r="D596" s="71">
        <v>2024</v>
      </c>
      <c r="E596" s="27"/>
      <c r="F596" s="27" t="s">
        <v>832</v>
      </c>
      <c r="G596" s="27" t="s">
        <v>758</v>
      </c>
      <c r="H596" s="27" t="s">
        <v>1406</v>
      </c>
      <c r="I596" s="27" t="s">
        <v>768</v>
      </c>
      <c r="J596" s="27" t="s">
        <v>861</v>
      </c>
      <c r="K596" s="27" t="s">
        <v>377</v>
      </c>
      <c r="L596" s="27"/>
      <c r="M596" s="27"/>
      <c r="N596" s="27"/>
      <c r="O596" s="27"/>
      <c r="P596" s="27"/>
      <c r="Q596" s="27"/>
      <c r="R596" s="27"/>
      <c r="S596" s="27"/>
      <c r="T596" s="27"/>
      <c r="U596" s="27"/>
      <c r="V596" s="27"/>
      <c r="W596" s="27"/>
      <c r="X596" s="27"/>
      <c r="Y596" s="27"/>
      <c r="Z596" s="27" t="s">
        <v>2642</v>
      </c>
      <c r="AA596" s="29">
        <v>8</v>
      </c>
      <c r="AB596" s="30">
        <f>IF(OR(G596="ALK",G596="PEM",G596="SOEC",G596="Other Electrolysis"),
AA596/VLOOKUP(G596,ElectrolysisConvF,3,FALSE),
AC596*10^6/(H2dens*HoursInYear))</f>
        <v>1777.7777777777778</v>
      </c>
      <c r="AC596" s="30">
        <f>AB596*H2dens*HoursInYear/10^6</f>
        <v>1.3860266666666667</v>
      </c>
      <c r="AD596" s="30"/>
      <c r="AE596" s="30">
        <f>IF(AND(G596&lt;&gt;"NG w CCUS",G596&lt;&gt;"Oil w CCUS",G596&lt;&gt;"Coal w CCUS"),AB596,AD596*10^3/(HoursInYear*IF(G596="NG w CCUS",0.9105,1.9075)))</f>
        <v>1777.7777777777778</v>
      </c>
      <c r="AF596" s="28" t="s">
        <v>2630</v>
      </c>
      <c r="AG596" s="28"/>
    </row>
    <row r="597" spans="1:33" ht="32.25" customHeight="1" x14ac:dyDescent="0.2">
      <c r="A597" s="27">
        <v>918</v>
      </c>
      <c r="B597" s="27" t="s">
        <v>2643</v>
      </c>
      <c r="C597" s="27" t="s">
        <v>980</v>
      </c>
      <c r="D597" s="71"/>
      <c r="E597" s="27"/>
      <c r="F597" s="27" t="s">
        <v>832</v>
      </c>
      <c r="G597" s="27" t="s">
        <v>758</v>
      </c>
      <c r="H597" s="27" t="s">
        <v>1406</v>
      </c>
      <c r="I597" s="27" t="s">
        <v>768</v>
      </c>
      <c r="J597" s="27" t="s">
        <v>863</v>
      </c>
      <c r="K597" s="27" t="s">
        <v>377</v>
      </c>
      <c r="L597" s="27"/>
      <c r="M597" s="27"/>
      <c r="N597" s="27"/>
      <c r="O597" s="27"/>
      <c r="P597" s="27">
        <v>1</v>
      </c>
      <c r="Q597" s="27"/>
      <c r="R597" s="27"/>
      <c r="S597" s="27"/>
      <c r="T597" s="27"/>
      <c r="U597" s="27"/>
      <c r="V597" s="27"/>
      <c r="W597" s="27"/>
      <c r="X597" s="27"/>
      <c r="Y597" s="27"/>
      <c r="Z597" s="27" t="s">
        <v>1977</v>
      </c>
      <c r="AA597" s="29">
        <v>5</v>
      </c>
      <c r="AB597" s="30">
        <f>AA597/0.0045</f>
        <v>1111.1111111111111</v>
      </c>
      <c r="AC597" s="30">
        <f>AB597*0.089*24*365/10^6</f>
        <v>0.86626666666666652</v>
      </c>
      <c r="AD597" s="30"/>
      <c r="AE597" s="30">
        <f>AB597</f>
        <v>1111.1111111111111</v>
      </c>
      <c r="AF597" s="28" t="s">
        <v>2644</v>
      </c>
      <c r="AG597" s="28"/>
    </row>
    <row r="598" spans="1:33" ht="32.25" customHeight="1" x14ac:dyDescent="0.2">
      <c r="A598" s="27">
        <v>919</v>
      </c>
      <c r="B598" s="27" t="s">
        <v>2643</v>
      </c>
      <c r="C598" s="27" t="s">
        <v>980</v>
      </c>
      <c r="D598" s="27"/>
      <c r="E598" s="27"/>
      <c r="F598" s="27" t="s">
        <v>832</v>
      </c>
      <c r="G598" s="27" t="s">
        <v>758</v>
      </c>
      <c r="H598" s="27" t="s">
        <v>1406</v>
      </c>
      <c r="I598" s="27" t="s">
        <v>768</v>
      </c>
      <c r="J598" s="27" t="s">
        <v>863</v>
      </c>
      <c r="K598" s="27" t="s">
        <v>377</v>
      </c>
      <c r="L598" s="27"/>
      <c r="M598" s="27"/>
      <c r="N598" s="27"/>
      <c r="O598" s="27"/>
      <c r="P598" s="27">
        <v>1</v>
      </c>
      <c r="Q598" s="27"/>
      <c r="R598" s="27"/>
      <c r="S598" s="27"/>
      <c r="T598" s="27"/>
      <c r="U598" s="27"/>
      <c r="V598" s="27"/>
      <c r="W598" s="27"/>
      <c r="X598" s="27"/>
      <c r="Y598" s="27"/>
      <c r="Z598" s="27" t="s">
        <v>2021</v>
      </c>
      <c r="AA598" s="29">
        <v>100</v>
      </c>
      <c r="AB598" s="30">
        <f>AA598/0.0045</f>
        <v>22222.222222222223</v>
      </c>
      <c r="AC598" s="30">
        <f>AB598*0.089*24*365/10^6</f>
        <v>17.325333333333337</v>
      </c>
      <c r="AD598" s="30"/>
      <c r="AE598" s="30">
        <f>AB598</f>
        <v>22222.222222222223</v>
      </c>
      <c r="AF598" s="28" t="s">
        <v>2644</v>
      </c>
      <c r="AG598" s="28"/>
    </row>
    <row r="599" spans="1:33" ht="32.25" customHeight="1" x14ac:dyDescent="0.2">
      <c r="A599" s="27">
        <v>920</v>
      </c>
      <c r="B599" s="27" t="s">
        <v>2645</v>
      </c>
      <c r="C599" s="27" t="s">
        <v>343</v>
      </c>
      <c r="D599" s="27">
        <v>2030</v>
      </c>
      <c r="E599" s="27"/>
      <c r="F599" s="27" t="s">
        <v>832</v>
      </c>
      <c r="G599" s="27" t="s">
        <v>760</v>
      </c>
      <c r="H599" s="27" t="s">
        <v>1437</v>
      </c>
      <c r="I599" s="27"/>
      <c r="J599" s="27"/>
      <c r="K599" s="27" t="s">
        <v>377</v>
      </c>
      <c r="L599" s="27">
        <v>1</v>
      </c>
      <c r="M599" s="27"/>
      <c r="N599" s="27"/>
      <c r="O599" s="27"/>
      <c r="P599" s="27">
        <v>1</v>
      </c>
      <c r="Q599" s="27">
        <v>1</v>
      </c>
      <c r="R599" s="27">
        <v>1</v>
      </c>
      <c r="S599" s="27">
        <v>1</v>
      </c>
      <c r="T599" s="27"/>
      <c r="U599" s="27"/>
      <c r="V599" s="27"/>
      <c r="W599" s="27"/>
      <c r="X599" s="27"/>
      <c r="Y599" s="27"/>
      <c r="Z599" s="27" t="s">
        <v>2646</v>
      </c>
      <c r="AA599" s="29"/>
      <c r="AB599" s="30">
        <f>AC599/365/24/0.089*10^6</f>
        <v>1038941.0497152532</v>
      </c>
      <c r="AC599" s="30">
        <f>(30-3)*3.6/0.12</f>
        <v>810</v>
      </c>
      <c r="AD599" s="30">
        <f>0.854*AB599*0.9*365*24/1000</f>
        <v>6995123.5955056176</v>
      </c>
      <c r="AE599" s="64">
        <f>AD599*1000/(365*24*0.9105)</f>
        <v>877023.71313689568</v>
      </c>
      <c r="AF599" s="28" t="s">
        <v>1625</v>
      </c>
      <c r="AG599" s="28"/>
    </row>
    <row r="600" spans="1:33" ht="32.25" customHeight="1" x14ac:dyDescent="0.2">
      <c r="A600" s="27">
        <v>921</v>
      </c>
      <c r="B600" s="27" t="s">
        <v>2647</v>
      </c>
      <c r="C600" s="27" t="s">
        <v>331</v>
      </c>
      <c r="D600" s="27">
        <v>2023</v>
      </c>
      <c r="E600" s="27"/>
      <c r="F600" s="27" t="s">
        <v>753</v>
      </c>
      <c r="G600" s="27" t="s">
        <v>758</v>
      </c>
      <c r="H600" s="27" t="s">
        <v>1406</v>
      </c>
      <c r="I600" s="27" t="s">
        <v>768</v>
      </c>
      <c r="J600" s="27" t="s">
        <v>865</v>
      </c>
      <c r="K600" s="27" t="s">
        <v>377</v>
      </c>
      <c r="L600" s="27"/>
      <c r="M600" s="27"/>
      <c r="N600" s="27"/>
      <c r="O600" s="27"/>
      <c r="P600" s="27"/>
      <c r="Q600" s="27">
        <v>1</v>
      </c>
      <c r="R600" s="27"/>
      <c r="S600" s="27"/>
      <c r="T600" s="27"/>
      <c r="U600" s="27"/>
      <c r="V600" s="27"/>
      <c r="W600" s="27"/>
      <c r="X600" s="27"/>
      <c r="Y600" s="27"/>
      <c r="Z600" s="27"/>
      <c r="AA600" s="29"/>
      <c r="AB600" s="30"/>
      <c r="AC600" s="30"/>
      <c r="AD600" s="30"/>
      <c r="AE600" s="30"/>
      <c r="AF600" s="28" t="s">
        <v>2891</v>
      </c>
      <c r="AG600" s="28"/>
    </row>
    <row r="601" spans="1:33" ht="32.25" customHeight="1" x14ac:dyDescent="0.2">
      <c r="A601" s="27">
        <v>922</v>
      </c>
      <c r="B601" s="27" t="s">
        <v>2648</v>
      </c>
      <c r="C601" s="27" t="s">
        <v>980</v>
      </c>
      <c r="D601" s="27"/>
      <c r="E601" s="27"/>
      <c r="F601" s="27" t="s">
        <v>832</v>
      </c>
      <c r="G601" s="27" t="s">
        <v>266</v>
      </c>
      <c r="H601" s="27"/>
      <c r="I601" s="27" t="s">
        <v>768</v>
      </c>
      <c r="J601" s="27" t="s">
        <v>865</v>
      </c>
      <c r="K601" s="27" t="s">
        <v>767</v>
      </c>
      <c r="L601" s="27"/>
      <c r="M601" s="27"/>
      <c r="N601" s="27"/>
      <c r="O601" s="27"/>
      <c r="P601" s="27"/>
      <c r="Q601" s="27"/>
      <c r="R601" s="27"/>
      <c r="S601" s="27"/>
      <c r="T601" s="27"/>
      <c r="U601" s="27"/>
      <c r="V601" s="27"/>
      <c r="W601" s="27"/>
      <c r="X601" s="27"/>
      <c r="Y601" s="27"/>
      <c r="Z601" s="27"/>
      <c r="AA601" s="29"/>
      <c r="AB601" s="30"/>
      <c r="AC601" s="30"/>
      <c r="AD601" s="30"/>
      <c r="AE601" s="30"/>
      <c r="AF601" s="28" t="s">
        <v>2649</v>
      </c>
      <c r="AG601" s="28"/>
    </row>
    <row r="602" spans="1:33" ht="32.25" customHeight="1" x14ac:dyDescent="0.2">
      <c r="A602" s="27">
        <v>923</v>
      </c>
      <c r="B602" s="27" t="s">
        <v>3114</v>
      </c>
      <c r="C602" s="27" t="s">
        <v>336</v>
      </c>
      <c r="D602" s="27"/>
      <c r="E602" s="27"/>
      <c r="F602" s="27" t="s">
        <v>1336</v>
      </c>
      <c r="G602" s="27" t="s">
        <v>760</v>
      </c>
      <c r="H602" s="27" t="s">
        <v>3256</v>
      </c>
      <c r="I602" s="27"/>
      <c r="J602" s="27"/>
      <c r="K602" s="27" t="s">
        <v>377</v>
      </c>
      <c r="L602" s="27"/>
      <c r="M602" s="27"/>
      <c r="N602" s="27"/>
      <c r="O602" s="27"/>
      <c r="P602" s="27"/>
      <c r="Q602" s="27">
        <v>1</v>
      </c>
      <c r="R602" s="27"/>
      <c r="S602" s="27"/>
      <c r="T602" s="27"/>
      <c r="U602" s="27"/>
      <c r="V602" s="27"/>
      <c r="W602" s="27"/>
      <c r="X602" s="27"/>
      <c r="Y602" s="27"/>
      <c r="Z602" s="27" t="s">
        <v>3115</v>
      </c>
      <c r="AA602" s="29" t="str">
        <f>IF(OR(G602="ALK",G602="PEM",G602="SOEC",G602="Other Electrolysis"),
AB602*VLOOKUP(G602,ElectrolysisConvF,3,FALSE),
"")</f>
        <v/>
      </c>
      <c r="AB602" s="30">
        <f>IF(OR(G602="ALK",G602="PEM",G602="SOEC",G602="Other Electrolysis"),
AA602/VLOOKUP(G602,ElectrolysisConvF,3,FALSE),
AC602*10^6/(H2dens*HoursInYear))</f>
        <v>93632.958801498127</v>
      </c>
      <c r="AC602" s="30">
        <f>20*365/100</f>
        <v>73</v>
      </c>
      <c r="AD602" s="30"/>
      <c r="AE602" s="30">
        <f>AB602</f>
        <v>93632.958801498127</v>
      </c>
      <c r="AF602" s="28" t="s">
        <v>3116</v>
      </c>
      <c r="AG602" s="28"/>
    </row>
    <row r="603" spans="1:33" ht="32.25" customHeight="1" x14ac:dyDescent="0.2">
      <c r="A603" s="27">
        <v>924</v>
      </c>
      <c r="B603" s="27" t="s">
        <v>2650</v>
      </c>
      <c r="C603" s="27" t="s">
        <v>336</v>
      </c>
      <c r="D603" s="27"/>
      <c r="E603" s="27"/>
      <c r="F603" s="27" t="s">
        <v>832</v>
      </c>
      <c r="G603" s="27" t="s">
        <v>758</v>
      </c>
      <c r="H603" s="27" t="s">
        <v>1406</v>
      </c>
      <c r="I603" s="27" t="s">
        <v>768</v>
      </c>
      <c r="J603" s="27" t="s">
        <v>865</v>
      </c>
      <c r="K603" s="27" t="s">
        <v>377</v>
      </c>
      <c r="L603" s="27"/>
      <c r="M603" s="27"/>
      <c r="N603" s="27"/>
      <c r="O603" s="27"/>
      <c r="P603" s="27"/>
      <c r="Q603" s="27"/>
      <c r="R603" s="27"/>
      <c r="S603" s="27"/>
      <c r="T603" s="27"/>
      <c r="U603" s="27"/>
      <c r="V603" s="27"/>
      <c r="W603" s="27"/>
      <c r="X603" s="27"/>
      <c r="Y603" s="27"/>
      <c r="Z603" s="27"/>
      <c r="AA603" s="29"/>
      <c r="AB603" s="30"/>
      <c r="AC603" s="30"/>
      <c r="AD603" s="30"/>
      <c r="AE603" s="30"/>
      <c r="AF603" s="28" t="s">
        <v>2651</v>
      </c>
      <c r="AG603" s="28"/>
    </row>
    <row r="604" spans="1:33" ht="32.25" customHeight="1" x14ac:dyDescent="0.2">
      <c r="A604" s="27">
        <v>925</v>
      </c>
      <c r="B604" s="27" t="s">
        <v>2652</v>
      </c>
      <c r="C604" s="27" t="s">
        <v>344</v>
      </c>
      <c r="D604" s="27">
        <v>2022</v>
      </c>
      <c r="E604" s="27"/>
      <c r="F604" s="27" t="s">
        <v>753</v>
      </c>
      <c r="G604" s="27" t="s">
        <v>758</v>
      </c>
      <c r="H604" s="27" t="s">
        <v>1406</v>
      </c>
      <c r="I604" s="27" t="s">
        <v>768</v>
      </c>
      <c r="J604" s="27" t="s">
        <v>865</v>
      </c>
      <c r="K604" s="27" t="s">
        <v>767</v>
      </c>
      <c r="L604" s="27"/>
      <c r="M604" s="27"/>
      <c r="N604" s="27"/>
      <c r="O604" s="27"/>
      <c r="P604" s="27"/>
      <c r="Q604" s="27">
        <v>1</v>
      </c>
      <c r="R604" s="27"/>
      <c r="S604" s="27"/>
      <c r="T604" s="27"/>
      <c r="U604" s="27"/>
      <c r="V604" s="27"/>
      <c r="W604" s="27">
        <v>1</v>
      </c>
      <c r="X604" s="27"/>
      <c r="Y604" s="27"/>
      <c r="Z604" s="27" t="s">
        <v>3112</v>
      </c>
      <c r="AA604" s="29">
        <f>IF(OR(G604="ALK",G604="PEM",G604="SOEC",G604="Other Electrolysis"),
AB604*VLOOKUP(G604,ElectrolysisConvF,3,FALSE),
"")</f>
        <v>5.7718947206402955</v>
      </c>
      <c r="AB604" s="30">
        <f>AC604/(0.089*24*365/10^6)</f>
        <v>1282.643271253399</v>
      </c>
      <c r="AC604" s="30">
        <v>1</v>
      </c>
      <c r="AD604" s="30"/>
      <c r="AE604" s="30">
        <f>IF(AND(G604&lt;&gt;"NG w CCUS",G604&lt;&gt;"Oil w CCUS",G604&lt;&gt;"Coal w CCUS"),AB604,AD604*10^3/(HoursInYear*IF(G604="NG w CCUS",0.9105,1.9075)))</f>
        <v>1282.643271253399</v>
      </c>
      <c r="AF604" s="28" t="s">
        <v>3113</v>
      </c>
      <c r="AG604" s="28"/>
    </row>
    <row r="605" spans="1:33" ht="32.25" customHeight="1" x14ac:dyDescent="0.2">
      <c r="A605" s="27">
        <v>926</v>
      </c>
      <c r="B605" s="27" t="s">
        <v>3298</v>
      </c>
      <c r="C605" s="27" t="s">
        <v>360</v>
      </c>
      <c r="D605" s="27"/>
      <c r="E605" s="27"/>
      <c r="F605" s="27" t="s">
        <v>832</v>
      </c>
      <c r="G605" s="27" t="s">
        <v>758</v>
      </c>
      <c r="H605" s="27" t="s">
        <v>1406</v>
      </c>
      <c r="I605" s="27" t="s">
        <v>768</v>
      </c>
      <c r="J605" s="27" t="s">
        <v>865</v>
      </c>
      <c r="K605" s="27" t="s">
        <v>377</v>
      </c>
      <c r="L605" s="27"/>
      <c r="M605" s="27"/>
      <c r="N605" s="27"/>
      <c r="O605" s="27"/>
      <c r="P605" s="27"/>
      <c r="Q605" s="27"/>
      <c r="R605" s="27"/>
      <c r="S605" s="27"/>
      <c r="T605" s="27"/>
      <c r="U605" s="27"/>
      <c r="V605" s="27">
        <v>1</v>
      </c>
      <c r="W605" s="27"/>
      <c r="X605" s="27"/>
      <c r="Y605" s="27"/>
      <c r="Z605" s="27" t="s">
        <v>1902</v>
      </c>
      <c r="AA605" s="29">
        <v>50</v>
      </c>
      <c r="AB605" s="30">
        <f>IF(OR(G605="ALK",G605="PEM",G605="SOEC",G605="Other Electrolysis"),
AA605/VLOOKUP(G605,ElectrolysisConvF,3,FALSE),
AC605*10^6/(H2dens*HoursInYear))</f>
        <v>11111.111111111111</v>
      </c>
      <c r="AC605" s="30">
        <f>AB605*H2dens*HoursInYear/10^6</f>
        <v>8.6626666666666665</v>
      </c>
      <c r="AD605" s="30"/>
      <c r="AE605" s="30">
        <f>IF(AND(G605&lt;&gt;"NG w CCUS",G605&lt;&gt;"Oil w CCUS",G605&lt;&gt;"Coal w CCUS"),AB605,AD605*10^3/(HoursInYear*IF(G605="NG w CCUS",0.9105,1.9075)))</f>
        <v>11111.111111111111</v>
      </c>
      <c r="AF605" s="28"/>
      <c r="AG605" s="28"/>
    </row>
    <row r="606" spans="1:33" ht="32.25" customHeight="1" x14ac:dyDescent="0.2">
      <c r="A606" s="27">
        <v>927</v>
      </c>
      <c r="B606" s="27" t="s">
        <v>2653</v>
      </c>
      <c r="C606" s="27" t="s">
        <v>347</v>
      </c>
      <c r="D606" s="27">
        <v>2025</v>
      </c>
      <c r="E606" s="27"/>
      <c r="F606" s="27" t="s">
        <v>832</v>
      </c>
      <c r="G606" s="27" t="s">
        <v>758</v>
      </c>
      <c r="H606" s="27" t="s">
        <v>1406</v>
      </c>
      <c r="I606" s="27" t="s">
        <v>768</v>
      </c>
      <c r="J606" s="27" t="s">
        <v>863</v>
      </c>
      <c r="K606" s="27" t="s">
        <v>377</v>
      </c>
      <c r="L606" s="27"/>
      <c r="M606" s="27"/>
      <c r="N606" s="27"/>
      <c r="O606" s="27"/>
      <c r="P606" s="27"/>
      <c r="Q606" s="27"/>
      <c r="R606" s="27"/>
      <c r="S606" s="27"/>
      <c r="T606" s="27"/>
      <c r="U606" s="27"/>
      <c r="V606" s="27"/>
      <c r="W606" s="27"/>
      <c r="X606" s="27"/>
      <c r="Y606" s="27"/>
      <c r="Z606" s="27" t="s">
        <v>2021</v>
      </c>
      <c r="AA606" s="29">
        <v>100</v>
      </c>
      <c r="AB606" s="30">
        <f>IF(OR(G606="ALK",G606="PEM",G606="SOEC",G606="Other Electrolysis"),
AA606/VLOOKUP(G606,ElectrolysisConvF,3,FALSE),
AC606*10^6/(H2dens*HoursInYear))</f>
        <v>22222.222222222223</v>
      </c>
      <c r="AC606" s="30">
        <f>AB606*H2dens*HoursInYear/10^6</f>
        <v>17.325333333333333</v>
      </c>
      <c r="AD606" s="30"/>
      <c r="AE606" s="30">
        <f>IF(AND(G606&lt;&gt;"NG w CCUS",G606&lt;&gt;"Oil w CCUS",G606&lt;&gt;"Coal w CCUS"),AB606,AD606*10^3/(HoursInYear*IF(G606="NG w CCUS",0.9105,1.9075)))</f>
        <v>22222.222222222223</v>
      </c>
      <c r="AF606" s="28" t="s">
        <v>2654</v>
      </c>
      <c r="AG606" s="28"/>
    </row>
    <row r="607" spans="1:33" ht="32.25" customHeight="1" x14ac:dyDescent="0.2">
      <c r="A607" s="27">
        <v>928</v>
      </c>
      <c r="B607" s="27" t="s">
        <v>2655</v>
      </c>
      <c r="C607" s="27" t="s">
        <v>347</v>
      </c>
      <c r="D607" s="27"/>
      <c r="E607" s="27"/>
      <c r="F607" s="27" t="s">
        <v>832</v>
      </c>
      <c r="G607" s="27" t="s">
        <v>758</v>
      </c>
      <c r="H607" s="27" t="s">
        <v>1406</v>
      </c>
      <c r="I607" s="27" t="s">
        <v>768</v>
      </c>
      <c r="J607" s="27" t="s">
        <v>863</v>
      </c>
      <c r="K607" s="27" t="s">
        <v>377</v>
      </c>
      <c r="L607" s="27"/>
      <c r="M607" s="27"/>
      <c r="N607" s="27"/>
      <c r="O607" s="27"/>
      <c r="P607" s="27"/>
      <c r="Q607" s="27"/>
      <c r="R607" s="27"/>
      <c r="S607" s="27"/>
      <c r="T607" s="27"/>
      <c r="U607" s="27"/>
      <c r="V607" s="27"/>
      <c r="W607" s="27"/>
      <c r="X607" s="27"/>
      <c r="Y607" s="27"/>
      <c r="Z607" s="27" t="s">
        <v>2568</v>
      </c>
      <c r="AA607" s="29">
        <v>400</v>
      </c>
      <c r="AB607" s="30">
        <f>IF(OR(G607="ALK",G607="PEM",G607="SOEC",G607="Other Electrolysis"),
AA607/VLOOKUP(G607,ElectrolysisConvF,3,FALSE),
AC607*10^6/(H2dens*HoursInYear))</f>
        <v>88888.888888888891</v>
      </c>
      <c r="AC607" s="30">
        <f>AB607*H2dens*HoursInYear/10^6</f>
        <v>69.301333333333332</v>
      </c>
      <c r="AD607" s="30"/>
      <c r="AE607" s="30">
        <f>IF(AND(G607&lt;&gt;"NG w CCUS",G607&lt;&gt;"Oil w CCUS",G607&lt;&gt;"Coal w CCUS"),AB607,AD607*10^3/(HoursInYear*IF(G607="NG w CCUS",0.9105,1.9075)))</f>
        <v>88888.888888888891</v>
      </c>
      <c r="AF607" s="28" t="s">
        <v>2654</v>
      </c>
      <c r="AG607" s="28"/>
    </row>
    <row r="608" spans="1:33" ht="32.25" customHeight="1" x14ac:dyDescent="0.2">
      <c r="A608" s="27">
        <v>929</v>
      </c>
      <c r="B608" s="27" t="s">
        <v>3118</v>
      </c>
      <c r="C608" s="27" t="s">
        <v>336</v>
      </c>
      <c r="D608" s="27">
        <v>2023</v>
      </c>
      <c r="E608" s="27"/>
      <c r="F608" s="27" t="s">
        <v>832</v>
      </c>
      <c r="G608" s="27" t="s">
        <v>758</v>
      </c>
      <c r="H608" s="27" t="s">
        <v>1406</v>
      </c>
      <c r="I608" s="27" t="s">
        <v>768</v>
      </c>
      <c r="J608" s="27" t="s">
        <v>865</v>
      </c>
      <c r="K608" s="27" t="s">
        <v>377</v>
      </c>
      <c r="L608" s="27"/>
      <c r="M608" s="27"/>
      <c r="N608" s="27"/>
      <c r="O608" s="27"/>
      <c r="P608" s="27"/>
      <c r="Q608" s="27"/>
      <c r="R608" s="27"/>
      <c r="S608" s="27"/>
      <c r="T608" s="27"/>
      <c r="U608" s="27"/>
      <c r="V608" s="27"/>
      <c r="W608" s="27"/>
      <c r="X608" s="27"/>
      <c r="Y608" s="27"/>
      <c r="Z608" s="27" t="s">
        <v>1407</v>
      </c>
      <c r="AA608" s="29">
        <v>10</v>
      </c>
      <c r="AB608" s="30">
        <f>IF(OR(G608="ALK",G608="PEM",G608="SOEC",G608="Other Electrolysis"),
AA608/VLOOKUP(G608,ElectrolysisConvF,3,FALSE),
AC608*10^6/(H2dens*HoursInYear))</f>
        <v>2222.2222222222222</v>
      </c>
      <c r="AC608" s="30">
        <f>AB608*H2dens*HoursInYear/10^6</f>
        <v>1.7325333333333333</v>
      </c>
      <c r="AD608" s="30"/>
      <c r="AE608" s="30">
        <f>IF(AND(G608&lt;&gt;"NG w CCUS",G608&lt;&gt;"Oil w CCUS",G608&lt;&gt;"Coal w CCUS"),AB608,AD608*10^3/(HoursInYear*IF(G608="NG w CCUS",0.9105,1.9075)))</f>
        <v>2222.2222222222222</v>
      </c>
      <c r="AF608" s="28" t="s">
        <v>3119</v>
      </c>
      <c r="AG608" s="28"/>
    </row>
    <row r="609" spans="1:33" ht="32.25" customHeight="1" x14ac:dyDescent="0.2">
      <c r="A609" s="27">
        <v>930</v>
      </c>
      <c r="B609" s="27" t="s">
        <v>2657</v>
      </c>
      <c r="C609" s="27" t="s">
        <v>336</v>
      </c>
      <c r="D609" s="27">
        <v>2023</v>
      </c>
      <c r="E609" s="27"/>
      <c r="F609" s="27" t="s">
        <v>832</v>
      </c>
      <c r="G609" s="27" t="s">
        <v>758</v>
      </c>
      <c r="H609" s="27" t="s">
        <v>1406</v>
      </c>
      <c r="I609" s="27" t="s">
        <v>768</v>
      </c>
      <c r="J609" s="27" t="s">
        <v>865</v>
      </c>
      <c r="K609" s="27" t="s">
        <v>377</v>
      </c>
      <c r="L609" s="27"/>
      <c r="M609" s="27"/>
      <c r="N609" s="27"/>
      <c r="O609" s="27"/>
      <c r="P609" s="27"/>
      <c r="Q609" s="27"/>
      <c r="R609" s="27"/>
      <c r="S609" s="27"/>
      <c r="T609" s="27"/>
      <c r="U609" s="27"/>
      <c r="V609" s="27"/>
      <c r="W609" s="27"/>
      <c r="X609" s="27"/>
      <c r="Y609" s="27"/>
      <c r="Z609" s="27" t="s">
        <v>1407</v>
      </c>
      <c r="AA609" s="29">
        <v>10</v>
      </c>
      <c r="AB609" s="30">
        <f>IF(OR(G609="ALK",G609="PEM",G609="SOEC",G609="Other Electrolysis"),
AA609/VLOOKUP(G609,ElectrolysisConvF,3,FALSE),
AC609*10^6/(H2dens*HoursInYear))</f>
        <v>2222.2222222222222</v>
      </c>
      <c r="AC609" s="30">
        <f>AB609*H2dens*HoursInYear/10^6</f>
        <v>1.7325333333333333</v>
      </c>
      <c r="AD609" s="30"/>
      <c r="AE609" s="30">
        <f>IF(AND(G609&lt;&gt;"NG w CCUS",G609&lt;&gt;"Oil w CCUS",G609&lt;&gt;"Coal w CCUS"),AB609,AD609*10^3/(HoursInYear*IF(G609="NG w CCUS",0.9105,1.9075)))</f>
        <v>2222.2222222222222</v>
      </c>
      <c r="AF609" s="28" t="s">
        <v>2656</v>
      </c>
      <c r="AG609" s="28"/>
    </row>
    <row r="610" spans="1:33" ht="32.25" customHeight="1" x14ac:dyDescent="0.2">
      <c r="A610" s="27">
        <v>931</v>
      </c>
      <c r="B610" s="27" t="s">
        <v>2658</v>
      </c>
      <c r="C610" s="27" t="s">
        <v>980</v>
      </c>
      <c r="D610" s="27">
        <v>2024</v>
      </c>
      <c r="E610" s="27"/>
      <c r="F610" s="27" t="s">
        <v>832</v>
      </c>
      <c r="G610" s="27" t="s">
        <v>268</v>
      </c>
      <c r="H610" s="27"/>
      <c r="I610" s="27" t="s">
        <v>768</v>
      </c>
      <c r="J610" s="27" t="s">
        <v>865</v>
      </c>
      <c r="K610" s="27" t="s">
        <v>377</v>
      </c>
      <c r="L610" s="27"/>
      <c r="M610" s="27"/>
      <c r="N610" s="27"/>
      <c r="O610" s="27"/>
      <c r="P610" s="27">
        <v>1</v>
      </c>
      <c r="Q610" s="27"/>
      <c r="R610" s="27"/>
      <c r="S610" s="27"/>
      <c r="T610" s="27"/>
      <c r="U610" s="27"/>
      <c r="V610" s="27"/>
      <c r="W610" s="27"/>
      <c r="X610" s="27"/>
      <c r="Y610" s="27"/>
      <c r="Z610" s="27" t="s">
        <v>2021</v>
      </c>
      <c r="AA610" s="29">
        <v>100</v>
      </c>
      <c r="AB610" s="30">
        <f>IF(OR(G610="ALK",G610="PEM",G610="SOEC",G610="Other Electrolysis"),
AA610/VLOOKUP(G610,ElectrolysisConvF,3,FALSE),
AC610*10^6/(H2dens*HoursInYear))</f>
        <v>21739.130434782608</v>
      </c>
      <c r="AC610" s="30">
        <f>AB610*H2dens*HoursInYear/10^6</f>
        <v>16.94869565217391</v>
      </c>
      <c r="AD610" s="30"/>
      <c r="AE610" s="30">
        <f>IF(AND(G610&lt;&gt;"NG w CCUS",G610&lt;&gt;"Oil w CCUS",G610&lt;&gt;"Coal w CCUS"),AB610,AD610*10^3/(HoursInYear*IF(G610="NG w CCUS",0.9105,1.9075)))</f>
        <v>21739.130434782608</v>
      </c>
      <c r="AF610" s="28" t="s">
        <v>2659</v>
      </c>
      <c r="AG610" s="28"/>
    </row>
    <row r="611" spans="1:33" ht="32.25" customHeight="1" x14ac:dyDescent="0.2">
      <c r="A611" s="27">
        <v>932</v>
      </c>
      <c r="B611" s="27" t="s">
        <v>2660</v>
      </c>
      <c r="C611" s="27" t="s">
        <v>342</v>
      </c>
      <c r="D611" s="27">
        <v>2024</v>
      </c>
      <c r="E611" s="27"/>
      <c r="F611" s="27" t="s">
        <v>832</v>
      </c>
      <c r="G611" s="27" t="s">
        <v>758</v>
      </c>
      <c r="H611" s="27" t="s">
        <v>1406</v>
      </c>
      <c r="I611" s="27" t="s">
        <v>768</v>
      </c>
      <c r="J611" s="27" t="s">
        <v>865</v>
      </c>
      <c r="K611" s="27" t="s">
        <v>377</v>
      </c>
      <c r="L611" s="27">
        <v>1</v>
      </c>
      <c r="M611" s="27"/>
      <c r="N611" s="27"/>
      <c r="O611" s="27"/>
      <c r="P611" s="27"/>
      <c r="Q611" s="27"/>
      <c r="R611" s="27"/>
      <c r="S611" s="27"/>
      <c r="T611" s="27"/>
      <c r="U611" s="27"/>
      <c r="V611" s="27"/>
      <c r="W611" s="27"/>
      <c r="X611" s="27"/>
      <c r="Y611" s="27"/>
      <c r="Z611" s="27" t="s">
        <v>1403</v>
      </c>
      <c r="AA611" s="29">
        <v>20</v>
      </c>
      <c r="AB611" s="30">
        <f>IF(OR(G611="ALK",G611="PEM",G611="SOEC",G611="Other Electrolysis"),
AA611/VLOOKUP(G611,ElectrolysisConvF,3,FALSE),
AC611*10^6/(H2dens*HoursInYear))</f>
        <v>4444.4444444444443</v>
      </c>
      <c r="AC611" s="30">
        <f>AB611*H2dens*HoursInYear/10^6</f>
        <v>3.4650666666666665</v>
      </c>
      <c r="AD611" s="30"/>
      <c r="AE611" s="30">
        <f>IF(AND(G611&lt;&gt;"NG w CCUS",G611&lt;&gt;"Oil w CCUS",G611&lt;&gt;"Coal w CCUS"),AB611,AD611*10^3/(HoursInYear*IF(G611="NG w CCUS",0.9105,1.9075)))</f>
        <v>4444.4444444444443</v>
      </c>
      <c r="AF611" s="28" t="s">
        <v>2661</v>
      </c>
      <c r="AG611" s="28"/>
    </row>
    <row r="612" spans="1:33" ht="32.25" customHeight="1" x14ac:dyDescent="0.2">
      <c r="A612" s="27">
        <v>933</v>
      </c>
      <c r="B612" s="27" t="s">
        <v>2662</v>
      </c>
      <c r="C612" s="27" t="s">
        <v>331</v>
      </c>
      <c r="D612" s="27">
        <v>2022</v>
      </c>
      <c r="E612" s="27"/>
      <c r="F612" s="27" t="s">
        <v>753</v>
      </c>
      <c r="G612" s="27" t="s">
        <v>758</v>
      </c>
      <c r="H612" s="27" t="s">
        <v>1406</v>
      </c>
      <c r="I612" s="27" t="s">
        <v>768</v>
      </c>
      <c r="J612" s="27" t="s">
        <v>865</v>
      </c>
      <c r="K612" s="27" t="s">
        <v>377</v>
      </c>
      <c r="L612" s="27"/>
      <c r="M612" s="27"/>
      <c r="N612" s="27"/>
      <c r="O612" s="27"/>
      <c r="P612" s="27"/>
      <c r="Q612" s="27"/>
      <c r="R612" s="27"/>
      <c r="S612" s="27"/>
      <c r="T612" s="27"/>
      <c r="U612" s="27"/>
      <c r="V612" s="27"/>
      <c r="W612" s="27"/>
      <c r="X612" s="27"/>
      <c r="Y612" s="27"/>
      <c r="Z612" s="27" t="s">
        <v>2663</v>
      </c>
      <c r="AA612" s="29">
        <f>IF(OR(G612="ALK",G612="PEM",G612="SOEC",G612="Other Electrolysis"),
AB612*VLOOKUP(G612,ElectrolysisConvF,3,FALSE),
"")</f>
        <v>1.0389410497152531</v>
      </c>
      <c r="AB612" s="30">
        <f>AC612/(H2dens*HoursInYear/10^6)</f>
        <v>230.87578882561183</v>
      </c>
      <c r="AC612" s="30">
        <v>0.18</v>
      </c>
      <c r="AD612" s="30"/>
      <c r="AE612" s="30">
        <f>IF(AND(G612&lt;&gt;"NG w CCUS",G612&lt;&gt;"Oil w CCUS",G612&lt;&gt;"Coal w CCUS"),AB612,AD612*10^3/(HoursInYear*IF(G612="NG w CCUS",0.9105,1.9075)))</f>
        <v>230.87578882561183</v>
      </c>
      <c r="AF612" s="28" t="s">
        <v>2664</v>
      </c>
      <c r="AG612" s="28"/>
    </row>
    <row r="613" spans="1:33" ht="32.25" customHeight="1" x14ac:dyDescent="0.2">
      <c r="A613" s="27">
        <v>934</v>
      </c>
      <c r="B613" s="27" t="s">
        <v>2665</v>
      </c>
      <c r="C613" s="27" t="s">
        <v>337</v>
      </c>
      <c r="D613" s="27">
        <v>2018</v>
      </c>
      <c r="E613" s="27"/>
      <c r="F613" s="27" t="s">
        <v>836</v>
      </c>
      <c r="G613" s="27" t="s">
        <v>266</v>
      </c>
      <c r="H613" s="27"/>
      <c r="I613" s="27" t="s">
        <v>756</v>
      </c>
      <c r="J613" s="27" t="str">
        <f>IF(I613&lt;&gt;"Dedicated renewable","N/A",)</f>
        <v>N/A</v>
      </c>
      <c r="K613" s="27" t="s">
        <v>377</v>
      </c>
      <c r="L613" s="27"/>
      <c r="M613" s="27"/>
      <c r="N613" s="27"/>
      <c r="O613" s="27"/>
      <c r="P613" s="27"/>
      <c r="Q613" s="27">
        <v>1</v>
      </c>
      <c r="R613" s="27"/>
      <c r="S613" s="27"/>
      <c r="T613" s="27"/>
      <c r="U613" s="27"/>
      <c r="V613" s="27"/>
      <c r="W613" s="27"/>
      <c r="X613" s="27"/>
      <c r="Y613" s="27"/>
      <c r="Z613" s="27" t="s">
        <v>1938</v>
      </c>
      <c r="AA613" s="29">
        <v>2</v>
      </c>
      <c r="AB613" s="30">
        <f>IF(OR(G613="ALK",G613="PEM",G613="SOEC",G613="Other Electrolysis"),
AA613/VLOOKUP(G613,ElectrolysisConvF,3,FALSE),
AC613*10^6/(H2dens*HoursInYear))</f>
        <v>384.61538461538464</v>
      </c>
      <c r="AC613" s="30">
        <f>AB613*H2dens*HoursInYear/10^6</f>
        <v>0.29986153846153851</v>
      </c>
      <c r="AD613" s="30"/>
      <c r="AE613" s="30">
        <f>IF(AND(G613&lt;&gt;"NG w CCUS",G613&lt;&gt;"Oil w CCUS",G613&lt;&gt;"Coal w CCUS"),AB613,AD613*10^3/(HoursInYear*IF(G613="NG w CCUS",0.9105,1.9075)))</f>
        <v>384.61538461538464</v>
      </c>
      <c r="AF613" s="28" t="s">
        <v>2666</v>
      </c>
      <c r="AG613" s="28"/>
    </row>
    <row r="614" spans="1:33" ht="32.25" customHeight="1" x14ac:dyDescent="0.2">
      <c r="A614" s="27">
        <v>935</v>
      </c>
      <c r="B614" s="27" t="s">
        <v>2667</v>
      </c>
      <c r="C614" s="27" t="s">
        <v>337</v>
      </c>
      <c r="D614" s="27">
        <v>2021</v>
      </c>
      <c r="E614" s="27"/>
      <c r="F614" s="27" t="s">
        <v>753</v>
      </c>
      <c r="G614" s="27" t="s">
        <v>266</v>
      </c>
      <c r="H614" s="27"/>
      <c r="I614" s="27" t="s">
        <v>756</v>
      </c>
      <c r="J614" s="27"/>
      <c r="K614" s="27" t="s">
        <v>377</v>
      </c>
      <c r="L614" s="27"/>
      <c r="M614" s="27"/>
      <c r="N614" s="27"/>
      <c r="O614" s="27"/>
      <c r="P614" s="27"/>
      <c r="Q614" s="27"/>
      <c r="R614" s="27"/>
      <c r="S614" s="27"/>
      <c r="T614" s="27"/>
      <c r="U614" s="27"/>
      <c r="V614" s="27"/>
      <c r="W614" s="27"/>
      <c r="X614" s="27"/>
      <c r="Y614" s="27"/>
      <c r="Z614" s="27" t="s">
        <v>1566</v>
      </c>
      <c r="AA614" s="29">
        <v>1.5</v>
      </c>
      <c r="AB614" s="30">
        <f>IF(OR(G614="ALK",G614="PEM",G614="SOEC",G614="Other Electrolysis"),
AA614/VLOOKUP(G614,ElectrolysisConvF,3,FALSE),
AC614*10^6/(H2dens*HoursInYear))</f>
        <v>288.46153846153845</v>
      </c>
      <c r="AC614" s="30">
        <f>AB614*H2dens*HoursInYear/10^6</f>
        <v>0.2248961538461538</v>
      </c>
      <c r="AD614" s="30"/>
      <c r="AE614" s="30">
        <f>IF(AND(G614&lt;&gt;"NG w CCUS",G614&lt;&gt;"Oil w CCUS",G614&lt;&gt;"Coal w CCUS"),AB614,AD614*10^3/(HoursInYear*IF(G614="NG w CCUS",0.9105,1.9075)))</f>
        <v>288.46153846153845</v>
      </c>
      <c r="AF614" s="28" t="s">
        <v>2668</v>
      </c>
      <c r="AG614" s="28"/>
    </row>
    <row r="615" spans="1:33" ht="32.25" customHeight="1" x14ac:dyDescent="0.2">
      <c r="A615" s="27">
        <v>936</v>
      </c>
      <c r="B615" s="27" t="s">
        <v>2669</v>
      </c>
      <c r="C615" s="27" t="s">
        <v>360</v>
      </c>
      <c r="D615" s="27">
        <v>2030</v>
      </c>
      <c r="E615" s="27"/>
      <c r="F615" s="27" t="s">
        <v>832</v>
      </c>
      <c r="G615" s="27" t="s">
        <v>758</v>
      </c>
      <c r="H615" s="27" t="s">
        <v>1406</v>
      </c>
      <c r="I615" s="27" t="s">
        <v>768</v>
      </c>
      <c r="J615" s="27" t="s">
        <v>865</v>
      </c>
      <c r="K615" s="27" t="s">
        <v>377</v>
      </c>
      <c r="L615" s="27"/>
      <c r="M615" s="27"/>
      <c r="N615" s="27"/>
      <c r="O615" s="27">
        <v>1</v>
      </c>
      <c r="P615" s="27"/>
      <c r="Q615" s="27"/>
      <c r="R615" s="27"/>
      <c r="S615" s="27"/>
      <c r="T615" s="27"/>
      <c r="U615" s="27"/>
      <c r="V615" s="27"/>
      <c r="W615" s="27"/>
      <c r="X615" s="27"/>
      <c r="Y615" s="27"/>
      <c r="Z615" s="27" t="s">
        <v>2670</v>
      </c>
      <c r="AA615" s="29">
        <f>IF(OR(G615="ALK",G615="PEM",G615="SOEC",G615="Other Electrolysis"),
AB615*VLOOKUP(G615,ElectrolysisConvF,3,FALSE),
"")</f>
        <v>1581.7877481914729</v>
      </c>
      <c r="AB615" s="30">
        <f>AC615/(H2dens*HoursInYear/10^6)</f>
        <v>351508.38848699402</v>
      </c>
      <c r="AC615" s="30">
        <f>5000*0.945*0.058</f>
        <v>274.05</v>
      </c>
      <c r="AD615" s="30"/>
      <c r="AE615" s="30">
        <f>IF(AND(G615&lt;&gt;"NG w CCUS",G615&lt;&gt;"Oil w CCUS",G615&lt;&gt;"Coal w CCUS"),AB615,AD615*10^3/(HoursInYear*IF(G615="NG w CCUS",0.9105,1.9075)))</f>
        <v>351508.38848699402</v>
      </c>
      <c r="AF615" s="28" t="s">
        <v>2671</v>
      </c>
      <c r="AG615" s="74" t="s">
        <v>3883</v>
      </c>
    </row>
    <row r="616" spans="1:33" ht="32.25" customHeight="1" x14ac:dyDescent="0.2">
      <c r="A616" s="27">
        <v>937</v>
      </c>
      <c r="B616" s="27" t="s">
        <v>2672</v>
      </c>
      <c r="C616" s="27" t="s">
        <v>337</v>
      </c>
      <c r="D616" s="27">
        <v>2025</v>
      </c>
      <c r="E616" s="27"/>
      <c r="F616" s="27" t="s">
        <v>753</v>
      </c>
      <c r="G616" s="27" t="s">
        <v>266</v>
      </c>
      <c r="H616" s="27"/>
      <c r="I616" s="27" t="s">
        <v>768</v>
      </c>
      <c r="J616" s="27" t="s">
        <v>864</v>
      </c>
      <c r="K616" s="27" t="s">
        <v>377</v>
      </c>
      <c r="L616" s="27"/>
      <c r="M616" s="27"/>
      <c r="N616" s="27"/>
      <c r="O616" s="27"/>
      <c r="P616" s="27"/>
      <c r="Q616" s="27"/>
      <c r="R616" s="27">
        <v>1</v>
      </c>
      <c r="S616" s="27"/>
      <c r="T616" s="27"/>
      <c r="U616" s="27"/>
      <c r="V616" s="27"/>
      <c r="W616" s="27"/>
      <c r="X616" s="27"/>
      <c r="Y616" s="27"/>
      <c r="Z616" s="27" t="s">
        <v>1650</v>
      </c>
      <c r="AA616" s="29">
        <v>120</v>
      </c>
      <c r="AB616" s="30">
        <f>IF(OR(G616="ALK",G616="PEM",G616="SOEC",G616="Other Electrolysis"),
AA616/VLOOKUP(G616,ElectrolysisConvF,3,FALSE),
AC616*10^6/(H2dens*HoursInYear))</f>
        <v>23076.923076923078</v>
      </c>
      <c r="AC616" s="30">
        <f>AB616*H2dens*HoursInYear/10^6</f>
        <v>17.991692307692308</v>
      </c>
      <c r="AD616" s="30"/>
      <c r="AE616" s="30">
        <f>IF(AND(G616&lt;&gt;"NG w CCUS",G616&lt;&gt;"Oil w CCUS",G616&lt;&gt;"Coal w CCUS"),AB616,AD616*10^3/(HoursInYear*IF(G616="NG w CCUS",0.9105,1.9075)))</f>
        <v>23076.923076923078</v>
      </c>
      <c r="AF616" s="28" t="s">
        <v>3299</v>
      </c>
      <c r="AG616" s="28"/>
    </row>
    <row r="617" spans="1:33" ht="32.25" customHeight="1" x14ac:dyDescent="0.2">
      <c r="A617" s="27">
        <v>938</v>
      </c>
      <c r="B617" s="27" t="s">
        <v>2673</v>
      </c>
      <c r="C617" s="27" t="s">
        <v>980</v>
      </c>
      <c r="D617" s="27">
        <v>2022</v>
      </c>
      <c r="E617" s="27"/>
      <c r="F617" s="27" t="s">
        <v>753</v>
      </c>
      <c r="G617" s="27" t="s">
        <v>758</v>
      </c>
      <c r="H617" s="27" t="s">
        <v>1406</v>
      </c>
      <c r="I617" s="27" t="s">
        <v>768</v>
      </c>
      <c r="J617" s="27" t="s">
        <v>378</v>
      </c>
      <c r="K617" s="27" t="s">
        <v>377</v>
      </c>
      <c r="L617" s="27"/>
      <c r="M617" s="27"/>
      <c r="N617" s="27"/>
      <c r="O617" s="27"/>
      <c r="P617" s="27"/>
      <c r="Q617" s="27"/>
      <c r="R617" s="27"/>
      <c r="S617" s="27"/>
      <c r="T617" s="27"/>
      <c r="U617" s="27"/>
      <c r="V617" s="27"/>
      <c r="W617" s="27"/>
      <c r="X617" s="27"/>
      <c r="Y617" s="27"/>
      <c r="Z617" s="27" t="s">
        <v>1938</v>
      </c>
      <c r="AA617" s="29">
        <v>2</v>
      </c>
      <c r="AB617" s="30">
        <f>IF(OR(G617="ALK",G617="PEM",G617="SOEC",G617="Other Electrolysis"),
AA617/VLOOKUP(G617,ElectrolysisConvF,3,FALSE),
AC617*10^6/(H2dens*HoursInYear))</f>
        <v>444.44444444444446</v>
      </c>
      <c r="AC617" s="30">
        <f>AB617*H2dens*HoursInYear/10^6</f>
        <v>0.34650666666666669</v>
      </c>
      <c r="AD617" s="30"/>
      <c r="AE617" s="30">
        <f>IF(AND(G617&lt;&gt;"NG w CCUS",G617&lt;&gt;"Oil w CCUS",G617&lt;&gt;"Coal w CCUS"),AB617,AD617*10^3/(HoursInYear*IF(G617="NG w CCUS",0.9105,1.9075)))</f>
        <v>444.44444444444446</v>
      </c>
      <c r="AF617" s="28" t="s">
        <v>2674</v>
      </c>
      <c r="AG617" s="28"/>
    </row>
    <row r="618" spans="1:33" ht="32.25" customHeight="1" x14ac:dyDescent="0.2">
      <c r="A618" s="27">
        <v>939</v>
      </c>
      <c r="B618" s="55" t="s">
        <v>3153</v>
      </c>
      <c r="C618" s="56" t="s">
        <v>2675</v>
      </c>
      <c r="D618" s="55">
        <v>2030</v>
      </c>
      <c r="E618" s="55"/>
      <c r="F618" s="55" t="s">
        <v>1336</v>
      </c>
      <c r="G618" s="55" t="s">
        <v>758</v>
      </c>
      <c r="H618" s="55" t="s">
        <v>1406</v>
      </c>
      <c r="I618" s="55" t="s">
        <v>768</v>
      </c>
      <c r="J618" s="55" t="s">
        <v>865</v>
      </c>
      <c r="K618" s="55" t="s">
        <v>377</v>
      </c>
      <c r="L618" s="55"/>
      <c r="M618" s="55"/>
      <c r="N618" s="55"/>
      <c r="O618" s="55"/>
      <c r="P618" s="55"/>
      <c r="Q618" s="55"/>
      <c r="R618" s="55"/>
      <c r="S618" s="55"/>
      <c r="T618" s="55"/>
      <c r="U618" s="55"/>
      <c r="V618" s="55"/>
      <c r="W618" s="55"/>
      <c r="X618" s="55"/>
      <c r="Y618" s="55"/>
      <c r="Z618" s="55" t="s">
        <v>2676</v>
      </c>
      <c r="AA618" s="57">
        <v>67000</v>
      </c>
      <c r="AB618" s="58">
        <f>IF(OR(G618="ALK",G618="PEM",G618="SOEC",G618="Other Electrolysis"),
AA618/VLOOKUP(G618,ElectrolysisConvF,3,FALSE),
AC618*10^6/(H2dens*HoursInYear))</f>
        <v>14888888.88888889</v>
      </c>
      <c r="AC618" s="58">
        <f>AB618*H2dens*HoursInYear/10^6</f>
        <v>11607.973333333333</v>
      </c>
      <c r="AD618" s="58"/>
      <c r="AE618" s="58">
        <f>IF(AND(G618&lt;&gt;"NG w CCUS",G618&lt;&gt;"Oil w CCUS",G618&lt;&gt;"Coal w CCUS"),AB618,AD618*10^3/(HoursInYear*IF(G618="NG w CCUS",0.9105,1.9075)))</f>
        <v>14888888.88888889</v>
      </c>
      <c r="AF618" s="56" t="s">
        <v>2677</v>
      </c>
      <c r="AG618" s="74" t="s">
        <v>1716</v>
      </c>
    </row>
    <row r="619" spans="1:33" ht="32.25" customHeight="1" x14ac:dyDescent="0.2">
      <c r="A619" s="27">
        <v>940</v>
      </c>
      <c r="B619" s="27" t="s">
        <v>2678</v>
      </c>
      <c r="C619" s="27" t="s">
        <v>565</v>
      </c>
      <c r="D619" s="27">
        <v>2025</v>
      </c>
      <c r="E619" s="27"/>
      <c r="F619" s="27" t="s">
        <v>832</v>
      </c>
      <c r="G619" s="27" t="s">
        <v>760</v>
      </c>
      <c r="H619" s="27"/>
      <c r="I619" s="27" t="str">
        <f>IF(AND(G619&lt;&gt;"ALK",G619&lt;&gt;"PEM",G619&lt;&gt;"SOEC",G619&lt;&gt;"Other electrolysis"),"N/A","")</f>
        <v>N/A</v>
      </c>
      <c r="J619" s="27" t="str">
        <f>IF(I619&lt;&gt;"Dedicated renewable","N/A",)</f>
        <v>N/A</v>
      </c>
      <c r="K619" s="27" t="s">
        <v>377</v>
      </c>
      <c r="L619" s="27"/>
      <c r="M619" s="27"/>
      <c r="N619" s="27"/>
      <c r="O619" s="27"/>
      <c r="P619" s="27"/>
      <c r="Q619" s="27"/>
      <c r="R619" s="27"/>
      <c r="S619" s="27"/>
      <c r="T619" s="27"/>
      <c r="U619" s="27"/>
      <c r="V619" s="27"/>
      <c r="W619" s="27"/>
      <c r="X619" s="27"/>
      <c r="Y619" s="27"/>
      <c r="Z619" s="27" t="s">
        <v>2679</v>
      </c>
      <c r="AA619" s="29" t="str">
        <f>IF(OR(G619="ALK",G619="PEM",G619="SOEC",G619="Other Electrolysis"),
AB619*VLOOKUP(G619,ElectrolysisConvF,3,FALSE),
"")</f>
        <v/>
      </c>
      <c r="AB619" s="30">
        <f>IF(OR(G619="ALK",G619="PEM",G619="SOEC",G619="Other Electrolysis"),
AA619/VLOOKUP(G619,ElectrolysisConvF,3,FALSE),
AC619*10^6/(H2dens*HoursInYear))</f>
        <v>320660.81781334977</v>
      </c>
      <c r="AC619" s="30">
        <v>250</v>
      </c>
      <c r="AD619" s="30">
        <v>1200000</v>
      </c>
      <c r="AE619" s="64">
        <f>AD619*1000/(365*24*0.9105)</f>
        <v>150451.73132329821</v>
      </c>
      <c r="AF619" s="28" t="s">
        <v>2680</v>
      </c>
      <c r="AG619" s="28"/>
    </row>
    <row r="620" spans="1:33" ht="32.25" customHeight="1" x14ac:dyDescent="0.2">
      <c r="A620" s="27">
        <v>941</v>
      </c>
      <c r="B620" s="27" t="s">
        <v>2681</v>
      </c>
      <c r="C620" s="27" t="s">
        <v>337</v>
      </c>
      <c r="D620" s="27">
        <v>2023</v>
      </c>
      <c r="E620" s="27"/>
      <c r="F620" s="27" t="s">
        <v>832</v>
      </c>
      <c r="G620" s="27" t="s">
        <v>758</v>
      </c>
      <c r="H620" s="27"/>
      <c r="I620" s="27" t="s">
        <v>768</v>
      </c>
      <c r="J620" s="27" t="s">
        <v>861</v>
      </c>
      <c r="K620" s="27" t="s">
        <v>377</v>
      </c>
      <c r="L620" s="27"/>
      <c r="M620" s="27"/>
      <c r="N620" s="27"/>
      <c r="O620" s="27"/>
      <c r="P620" s="27"/>
      <c r="Q620" s="27"/>
      <c r="R620" s="27">
        <v>1</v>
      </c>
      <c r="S620" s="27"/>
      <c r="T620" s="27"/>
      <c r="U620" s="27"/>
      <c r="V620" s="27"/>
      <c r="W620" s="27"/>
      <c r="X620" s="27"/>
      <c r="Y620" s="27"/>
      <c r="Z620" s="27" t="s">
        <v>1403</v>
      </c>
      <c r="AA620" s="29">
        <v>20</v>
      </c>
      <c r="AB620" s="30">
        <f>IF(OR(G620="ALK",G620="PEM",G620="SOEC",G620="Other Electrolysis"),
AA620/VLOOKUP(G620,ElectrolysisConvF,3,FALSE),
AC620*10^6/(H2dens*HoursInYear))</f>
        <v>4444.4444444444443</v>
      </c>
      <c r="AC620" s="30">
        <f>AB620*H2dens*HoursInYear/10^6</f>
        <v>3.4650666666666665</v>
      </c>
      <c r="AD620" s="30"/>
      <c r="AE620" s="30">
        <f>IF(AND(G620&lt;&gt;"NG w CCUS",G620&lt;&gt;"Oil w CCUS",G620&lt;&gt;"Coal w CCUS"),AB620,AD620*10^3/(HoursInYear*IF(G620="NG w CCUS",0.9105,1.9075)))</f>
        <v>4444.4444444444443</v>
      </c>
      <c r="AF620" s="28" t="s">
        <v>2682</v>
      </c>
      <c r="AG620" s="74" t="s">
        <v>4078</v>
      </c>
    </row>
    <row r="621" spans="1:33" ht="32.25" customHeight="1" x14ac:dyDescent="0.2">
      <c r="A621" s="27">
        <v>942</v>
      </c>
      <c r="B621" s="27" t="s">
        <v>2683</v>
      </c>
      <c r="C621" s="27" t="s">
        <v>804</v>
      </c>
      <c r="D621" s="27">
        <v>2025</v>
      </c>
      <c r="E621" s="27"/>
      <c r="F621" s="27" t="s">
        <v>832</v>
      </c>
      <c r="G621" s="27" t="s">
        <v>266</v>
      </c>
      <c r="H621" s="27"/>
      <c r="I621" s="27" t="s">
        <v>768</v>
      </c>
      <c r="J621" s="27" t="s">
        <v>863</v>
      </c>
      <c r="K621" s="27" t="s">
        <v>377</v>
      </c>
      <c r="L621" s="27">
        <v>1</v>
      </c>
      <c r="M621" s="27"/>
      <c r="N621" s="27"/>
      <c r="O621" s="27"/>
      <c r="P621" s="27"/>
      <c r="Q621" s="27"/>
      <c r="R621" s="27"/>
      <c r="S621" s="27"/>
      <c r="T621" s="27"/>
      <c r="U621" s="27"/>
      <c r="V621" s="27"/>
      <c r="W621" s="27"/>
      <c r="X621" s="27"/>
      <c r="Y621" s="27"/>
      <c r="Z621" s="27" t="s">
        <v>2021</v>
      </c>
      <c r="AA621" s="29">
        <v>90</v>
      </c>
      <c r="AB621" s="30">
        <f>IF(OR(G621="ALK",G621="PEM",G621="SOEC",G621="Other Electrolysis"),
AA621/VLOOKUP(G621,ElectrolysisConvF,3,FALSE),
AC621*10^6/(H2dens*HoursInYear))</f>
        <v>17307.692307692309</v>
      </c>
      <c r="AC621" s="30">
        <f>AB621*H2dens*HoursInYear/10^6</f>
        <v>13.493769230769232</v>
      </c>
      <c r="AD621" s="30"/>
      <c r="AE621" s="30">
        <f>IF(AND(G621&lt;&gt;"NG w CCUS",G621&lt;&gt;"Oil w CCUS",G621&lt;&gt;"Coal w CCUS"),AB621,AD621*10^3/(HoursInYear*IF(G621="NG w CCUS",0.9105,1.9075)))</f>
        <v>17307.692307692309</v>
      </c>
      <c r="AF621" s="28" t="s">
        <v>2684</v>
      </c>
      <c r="AG621" s="28"/>
    </row>
    <row r="622" spans="1:33" ht="32.25" customHeight="1" x14ac:dyDescent="0.2">
      <c r="A622" s="27">
        <v>943</v>
      </c>
      <c r="B622" s="27" t="s">
        <v>2685</v>
      </c>
      <c r="C622" s="27" t="s">
        <v>980</v>
      </c>
      <c r="D622" s="27">
        <v>2021</v>
      </c>
      <c r="E622" s="27"/>
      <c r="F622" s="27" t="s">
        <v>753</v>
      </c>
      <c r="G622" s="27" t="s">
        <v>266</v>
      </c>
      <c r="H622" s="27"/>
      <c r="I622" s="27" t="s">
        <v>768</v>
      </c>
      <c r="J622" s="27" t="s">
        <v>861</v>
      </c>
      <c r="K622" s="27" t="s">
        <v>377</v>
      </c>
      <c r="L622" s="27"/>
      <c r="M622" s="27"/>
      <c r="N622" s="27"/>
      <c r="O622" s="27"/>
      <c r="P622" s="27"/>
      <c r="Q622" s="27">
        <v>1</v>
      </c>
      <c r="R622" s="27"/>
      <c r="S622" s="27"/>
      <c r="T622" s="27"/>
      <c r="U622" s="27"/>
      <c r="V622" s="27"/>
      <c r="W622" s="27"/>
      <c r="X622" s="27"/>
      <c r="Y622" s="27"/>
      <c r="Z622" s="27" t="s">
        <v>2686</v>
      </c>
      <c r="AA622" s="29">
        <f>IF(OR(G622="ALK",G622="PEM",G622="SOEC",G622="Other Electrolysis"),
AB622*VLOOKUP(G622,ElectrolysisConvF,3,FALSE),
"")</f>
        <v>1.333949002103535E-2</v>
      </c>
      <c r="AB622" s="30">
        <f>AC622/(H2dens*HoursInYear/10^6)</f>
        <v>2.5652865425067981</v>
      </c>
      <c r="AC622" s="30">
        <v>2E-3</v>
      </c>
      <c r="AD622" s="30"/>
      <c r="AE622" s="30">
        <f>IF(AND(G622&lt;&gt;"NG w CCUS",G622&lt;&gt;"Oil w CCUS",G622&lt;&gt;"Coal w CCUS"),AB622,AD622*10^3/(HoursInYear*IF(G622="NG w CCUS",0.9105,1.9075)))</f>
        <v>2.5652865425067981</v>
      </c>
      <c r="AF622" s="28" t="s">
        <v>2687</v>
      </c>
      <c r="AG622" s="28"/>
    </row>
    <row r="623" spans="1:33" ht="32.25" customHeight="1" x14ac:dyDescent="0.2">
      <c r="A623" s="27">
        <v>944</v>
      </c>
      <c r="B623" s="27" t="s">
        <v>2688</v>
      </c>
      <c r="C623" s="27" t="s">
        <v>565</v>
      </c>
      <c r="D623" s="27">
        <v>2022</v>
      </c>
      <c r="E623" s="27"/>
      <c r="F623" s="27" t="s">
        <v>753</v>
      </c>
      <c r="G623" s="27" t="s">
        <v>267</v>
      </c>
      <c r="H623" s="27"/>
      <c r="I623" s="27" t="s">
        <v>768</v>
      </c>
      <c r="J623" s="27" t="s">
        <v>861</v>
      </c>
      <c r="K623" s="27" t="s">
        <v>377</v>
      </c>
      <c r="L623" s="27"/>
      <c r="M623" s="27"/>
      <c r="N623" s="27"/>
      <c r="O623" s="27"/>
      <c r="P623" s="27"/>
      <c r="Q623" s="27"/>
      <c r="R623" s="27">
        <v>1</v>
      </c>
      <c r="S623" s="27"/>
      <c r="T623" s="27"/>
      <c r="U623" s="27"/>
      <c r="V623" s="27"/>
      <c r="W623" s="27"/>
      <c r="X623" s="27"/>
      <c r="Y623" s="27"/>
      <c r="Z623" s="27"/>
      <c r="AA623" s="29"/>
      <c r="AB623" s="30"/>
      <c r="AC623" s="30"/>
      <c r="AD623" s="30"/>
      <c r="AE623" s="30"/>
      <c r="AF623" s="28" t="s">
        <v>2689</v>
      </c>
      <c r="AG623" s="28"/>
    </row>
    <row r="624" spans="1:33" ht="32.25" customHeight="1" x14ac:dyDescent="0.2">
      <c r="A624" s="27">
        <v>945</v>
      </c>
      <c r="B624" s="92" t="s">
        <v>4145</v>
      </c>
      <c r="C624" s="27" t="s">
        <v>804</v>
      </c>
      <c r="D624" s="27"/>
      <c r="E624" s="27"/>
      <c r="F624" s="27" t="s">
        <v>832</v>
      </c>
      <c r="G624" s="27" t="s">
        <v>758</v>
      </c>
      <c r="H624" s="27" t="s">
        <v>1406</v>
      </c>
      <c r="I624" s="27" t="s">
        <v>768</v>
      </c>
      <c r="J624" s="27" t="s">
        <v>378</v>
      </c>
      <c r="K624" s="27" t="s">
        <v>377</v>
      </c>
      <c r="L624" s="27"/>
      <c r="M624" s="27"/>
      <c r="N624" s="27"/>
      <c r="O624" s="27"/>
      <c r="P624" s="27">
        <v>1</v>
      </c>
      <c r="Q624" s="27"/>
      <c r="R624" s="27"/>
      <c r="S624" s="27"/>
      <c r="T624" s="27"/>
      <c r="U624" s="27"/>
      <c r="V624" s="27"/>
      <c r="W624" s="27"/>
      <c r="X624" s="27"/>
      <c r="Y624" s="27"/>
      <c r="Z624" s="92" t="s">
        <v>4146</v>
      </c>
      <c r="AA624" s="91">
        <v>70</v>
      </c>
      <c r="AB624" s="30">
        <f>IF(OR(G624="ALK",G624="PEM",G624="SOEC",G624="Other Electrolysis"),
AA624/VLOOKUP(G624,ElectrolysisConvF,3,FALSE),
AC624*10^6/(H2dens*HoursInYear))</f>
        <v>15555.555555555557</v>
      </c>
      <c r="AC624" s="30">
        <f>AB624*H2dens*HoursInYear/10^6</f>
        <v>12.127733333333333</v>
      </c>
      <c r="AD624" s="30"/>
      <c r="AE624" s="30">
        <f>IF(AND(G624&lt;&gt;"NG w CCUS",G624&lt;&gt;"Oil w CCUS",G624&lt;&gt;"Coal w CCUS"),AB624,AD624*10^3/(HoursInYear*IF(G624="NG w CCUS",0.9105,1.9075)))</f>
        <v>15555.555555555557</v>
      </c>
      <c r="AF624" s="28" t="s">
        <v>3338</v>
      </c>
      <c r="AG624" s="28"/>
    </row>
    <row r="625" spans="1:33" ht="32.25" customHeight="1" x14ac:dyDescent="0.2">
      <c r="A625" s="27">
        <v>946</v>
      </c>
      <c r="B625" s="27" t="s">
        <v>3252</v>
      </c>
      <c r="C625" s="27" t="s">
        <v>338</v>
      </c>
      <c r="D625" s="27">
        <v>2021</v>
      </c>
      <c r="E625" s="27"/>
      <c r="F625" s="27" t="s">
        <v>754</v>
      </c>
      <c r="G625" s="27" t="s">
        <v>759</v>
      </c>
      <c r="H625" s="27"/>
      <c r="I625" s="27" t="str">
        <f>IF(AND(G625&lt;&gt;"ALK",G625&lt;&gt;"PEM",G625&lt;&gt;"SOEC",G625&lt;&gt;"Other electrolysis"),"N/A","")</f>
        <v>N/A</v>
      </c>
      <c r="J625" s="27" t="str">
        <f>IF(I625&lt;&gt;"Dedicated renewable","N/A",)</f>
        <v>N/A</v>
      </c>
      <c r="K625" s="27" t="s">
        <v>377</v>
      </c>
      <c r="L625" s="27">
        <v>1</v>
      </c>
      <c r="M625" s="27"/>
      <c r="N625" s="27"/>
      <c r="O625" s="27"/>
      <c r="P625" s="27"/>
      <c r="Q625" s="27"/>
      <c r="R625" s="27"/>
      <c r="S625" s="27"/>
      <c r="T625" s="27"/>
      <c r="U625" s="27"/>
      <c r="V625" s="27"/>
      <c r="W625" s="27"/>
      <c r="X625" s="27"/>
      <c r="Y625" s="27"/>
      <c r="Z625" s="27" t="s">
        <v>3292</v>
      </c>
      <c r="AA625" s="29" t="str">
        <f>IF(OR(G625="ALK",G625="PEM",G625="SOEC",G625="Other Electrolysis"),
AB625*VLOOKUP(G625,ElectrolysisConvF,3,FALSE),
"")</f>
        <v/>
      </c>
      <c r="AB625" s="30"/>
      <c r="AC625" s="30"/>
      <c r="AD625" s="30">
        <v>700000</v>
      </c>
      <c r="AE625" s="64">
        <f>AD625*1000/(365*24*1.9075)</f>
        <v>41891.835281303669</v>
      </c>
      <c r="AF625" s="28" t="s">
        <v>3293</v>
      </c>
      <c r="AG625" s="28"/>
    </row>
    <row r="626" spans="1:33" ht="32.25" customHeight="1" x14ac:dyDescent="0.2">
      <c r="A626" s="27">
        <v>947</v>
      </c>
      <c r="B626" s="27" t="s">
        <v>2691</v>
      </c>
      <c r="C626" s="27" t="s">
        <v>338</v>
      </c>
      <c r="D626" s="27">
        <v>2015</v>
      </c>
      <c r="E626" s="27"/>
      <c r="F626" s="27" t="s">
        <v>836</v>
      </c>
      <c r="G626" s="27" t="s">
        <v>761</v>
      </c>
      <c r="H626" s="27"/>
      <c r="I626" s="27" t="str">
        <f>IF(AND(G626&lt;&gt;"ALK",G626&lt;&gt;"PEM",G626&lt;&gt;"SOEC",G626&lt;&gt;"Other electrolysis"),"N/A","")</f>
        <v>N/A</v>
      </c>
      <c r="J626" s="27" t="str">
        <f>IF(I626&lt;&gt;"Dedicated renewable","N/A",)</f>
        <v>N/A</v>
      </c>
      <c r="K626" s="27" t="s">
        <v>739</v>
      </c>
      <c r="L626" s="27"/>
      <c r="M626" s="27"/>
      <c r="N626" s="27">
        <v>1</v>
      </c>
      <c r="O626" s="27"/>
      <c r="P626" s="27"/>
      <c r="Q626" s="27"/>
      <c r="R626" s="27"/>
      <c r="S626" s="27"/>
      <c r="T626" s="27"/>
      <c r="U626" s="27"/>
      <c r="V626" s="27"/>
      <c r="W626" s="27"/>
      <c r="X626" s="27"/>
      <c r="Y626" s="27"/>
      <c r="Z626" s="27" t="s">
        <v>2692</v>
      </c>
      <c r="AA626" s="29" t="str">
        <f>IF(OR(G626="ALK",G626="PEM",G626="SOEC",G626="Other Electrolysis"),
AB626*VLOOKUP(G626,ElectrolysisConvF,3,FALSE),
"")</f>
        <v/>
      </c>
      <c r="AB626" s="30"/>
      <c r="AC626" s="30"/>
      <c r="AD626" s="30">
        <v>100000</v>
      </c>
      <c r="AE626" s="30">
        <f>AD626*1000/(24*365*1.9075)</f>
        <v>5984.5478973290956</v>
      </c>
      <c r="AF626" s="28" t="s">
        <v>2693</v>
      </c>
      <c r="AG626" s="28"/>
    </row>
    <row r="627" spans="1:33" ht="32.25" customHeight="1" x14ac:dyDescent="0.2">
      <c r="A627" s="27">
        <v>948</v>
      </c>
      <c r="B627" s="27" t="s">
        <v>2694</v>
      </c>
      <c r="C627" s="27" t="s">
        <v>337</v>
      </c>
      <c r="D627" s="27">
        <v>2000</v>
      </c>
      <c r="E627" s="27"/>
      <c r="F627" s="27" t="s">
        <v>836</v>
      </c>
      <c r="G627" s="27" t="s">
        <v>759</v>
      </c>
      <c r="H627" s="27"/>
      <c r="I627" s="27" t="str">
        <f>IF(AND(G627&lt;&gt;"ALK",G627&lt;&gt;"PEM",G627&lt;&gt;"SOEC",G627&lt;&gt;"Other electrolysis"),"N/A","")</f>
        <v>N/A</v>
      </c>
      <c r="J627" s="27" t="str">
        <f>IF(I627&lt;&gt;"Dedicated renewable","N/A",)</f>
        <v>N/A</v>
      </c>
      <c r="K627" s="27" t="s">
        <v>396</v>
      </c>
      <c r="L627" s="27"/>
      <c r="M627" s="27"/>
      <c r="N627" s="27"/>
      <c r="O627" s="27"/>
      <c r="P627" s="27"/>
      <c r="Q627" s="27"/>
      <c r="R627" s="27"/>
      <c r="S627" s="27"/>
      <c r="T627" s="27"/>
      <c r="U627" s="27"/>
      <c r="V627" s="27"/>
      <c r="W627" s="27"/>
      <c r="X627" s="27">
        <v>1</v>
      </c>
      <c r="Y627" s="27"/>
      <c r="Z627" s="27" t="s">
        <v>2695</v>
      </c>
      <c r="AA627" s="29" t="str">
        <f>IF(OR(G627="ALK",G627="PEM",G627="SOEC",G627="Other Electrolysis"),
AB627*VLOOKUP(G627,ElectrolysisConvF,3,FALSE),
"")</f>
        <v/>
      </c>
      <c r="AB627" s="30"/>
      <c r="AC627" s="30"/>
      <c r="AD627" s="30">
        <v>3000000</v>
      </c>
      <c r="AE627" s="64">
        <f>AD627*1000/(365*24*1.9075)</f>
        <v>179536.43691987288</v>
      </c>
      <c r="AF627" s="28" t="s">
        <v>2690</v>
      </c>
      <c r="AG627" s="28"/>
    </row>
    <row r="628" spans="1:33" ht="32.25" customHeight="1" x14ac:dyDescent="0.2">
      <c r="A628" s="27">
        <v>949</v>
      </c>
      <c r="B628" s="27" t="s">
        <v>2696</v>
      </c>
      <c r="C628" s="27" t="s">
        <v>344</v>
      </c>
      <c r="D628" s="27">
        <v>2016</v>
      </c>
      <c r="E628" s="27"/>
      <c r="F628" s="27" t="s">
        <v>836</v>
      </c>
      <c r="G628" s="27" t="s">
        <v>761</v>
      </c>
      <c r="H628" s="27"/>
      <c r="I628" s="27" t="str">
        <f>IF(AND(G628&lt;&gt;"ALK",G628&lt;&gt;"PEM",G628&lt;&gt;"SOEC",G628&lt;&gt;"Other electrolysis"),"N/A","")</f>
        <v>N/A</v>
      </c>
      <c r="J628" s="27" t="str">
        <f>IF(I628&lt;&gt;"Dedicated renewable","N/A",)</f>
        <v>N/A</v>
      </c>
      <c r="K628" s="27" t="s">
        <v>377</v>
      </c>
      <c r="L628" s="27"/>
      <c r="M628" s="27"/>
      <c r="N628" s="27"/>
      <c r="O628" s="27">
        <v>1</v>
      </c>
      <c r="P628" s="27"/>
      <c r="Q628" s="27"/>
      <c r="R628" s="27"/>
      <c r="S628" s="27"/>
      <c r="T628" s="27"/>
      <c r="U628" s="27"/>
      <c r="V628" s="27"/>
      <c r="W628" s="27"/>
      <c r="X628" s="27"/>
      <c r="Y628" s="27"/>
      <c r="Z628" s="27" t="s">
        <v>2697</v>
      </c>
      <c r="AA628" s="29" t="str">
        <f>IF(OR(G628="ALK",G628="PEM",G628="SOEC",G628="Other Electrolysis"),
AB628*VLOOKUP(G628,ElectrolysisConvF,3,FALSE),
"")</f>
        <v/>
      </c>
      <c r="AB628" s="30"/>
      <c r="AC628" s="30"/>
      <c r="AD628" s="30">
        <v>800000</v>
      </c>
      <c r="AE628" s="30">
        <f>AD628*1000/(24*365*1.9075)</f>
        <v>47876.383178632765</v>
      </c>
      <c r="AF628" s="28" t="s">
        <v>2698</v>
      </c>
      <c r="AG628" s="28"/>
    </row>
    <row r="629" spans="1:33" ht="32.25" customHeight="1" x14ac:dyDescent="0.2">
      <c r="A629" s="27">
        <v>950</v>
      </c>
      <c r="B629" s="27" t="s">
        <v>2699</v>
      </c>
      <c r="C629" s="27" t="s">
        <v>343</v>
      </c>
      <c r="D629" s="27">
        <v>2022</v>
      </c>
      <c r="E629" s="27"/>
      <c r="F629" s="27" t="s">
        <v>753</v>
      </c>
      <c r="G629" s="27" t="s">
        <v>266</v>
      </c>
      <c r="H629" s="27"/>
      <c r="I629" s="27" t="s">
        <v>756</v>
      </c>
      <c r="J629" s="27" t="str">
        <f>IF(I629&lt;&gt;"Dedicated renewable","N/A",)</f>
        <v>N/A</v>
      </c>
      <c r="K629" s="27" t="s">
        <v>377</v>
      </c>
      <c r="L629" s="27"/>
      <c r="M629" s="27"/>
      <c r="N629" s="27"/>
      <c r="O629" s="27"/>
      <c r="P629" s="27"/>
      <c r="Q629" s="27">
        <v>1</v>
      </c>
      <c r="R629" s="27"/>
      <c r="S629" s="27"/>
      <c r="T629" s="27"/>
      <c r="U629" s="27"/>
      <c r="V629" s="27"/>
      <c r="W629" s="27"/>
      <c r="X629" s="27"/>
      <c r="Y629" s="27"/>
      <c r="Z629" s="27"/>
      <c r="AA629" s="29"/>
      <c r="AB629" s="30"/>
      <c r="AC629" s="30"/>
      <c r="AD629" s="30"/>
      <c r="AE629" s="30"/>
      <c r="AF629" s="28" t="s">
        <v>2700</v>
      </c>
      <c r="AG629" s="28"/>
    </row>
    <row r="630" spans="1:33" ht="32.25" customHeight="1" x14ac:dyDescent="0.2">
      <c r="A630" s="27">
        <v>951</v>
      </c>
      <c r="B630" s="27" t="s">
        <v>2701</v>
      </c>
      <c r="C630" s="27" t="s">
        <v>337</v>
      </c>
      <c r="D630" s="27"/>
      <c r="E630" s="27"/>
      <c r="F630" s="27" t="s">
        <v>1336</v>
      </c>
      <c r="G630" s="27" t="s">
        <v>758</v>
      </c>
      <c r="H630" s="27" t="s">
        <v>1406</v>
      </c>
      <c r="I630" s="27" t="s">
        <v>768</v>
      </c>
      <c r="J630" s="27" t="s">
        <v>865</v>
      </c>
      <c r="K630" s="27" t="s">
        <v>396</v>
      </c>
      <c r="L630" s="27"/>
      <c r="M630" s="27"/>
      <c r="N630" s="27"/>
      <c r="O630" s="27"/>
      <c r="P630" s="27"/>
      <c r="Q630" s="27"/>
      <c r="R630" s="27"/>
      <c r="S630" s="27"/>
      <c r="T630" s="27"/>
      <c r="U630" s="27"/>
      <c r="V630" s="27"/>
      <c r="W630" s="27"/>
      <c r="X630" s="27">
        <v>1</v>
      </c>
      <c r="Y630" s="27"/>
      <c r="Z630" s="27" t="s">
        <v>2702</v>
      </c>
      <c r="AA630" s="29">
        <v>10</v>
      </c>
      <c r="AB630" s="30">
        <f>IF(OR(G630="ALK",G630="PEM",G630="SOEC",G630="Other Electrolysis"),
AA630/VLOOKUP(G630,ElectrolysisConvF,3,FALSE),
AC630*10^6/(H2dens*HoursInYear))</f>
        <v>2222.2222222222222</v>
      </c>
      <c r="AC630" s="30">
        <f>AB630*H2dens*HoursInYear/10^6</f>
        <v>1.7325333333333333</v>
      </c>
      <c r="AD630" s="30"/>
      <c r="AE630" s="30">
        <f>IF(AND(G630&lt;&gt;"NG w CCUS",G630&lt;&gt;"Oil w CCUS",G630&lt;&gt;"Coal w CCUS"),AB630,AD630*10^3/(HoursInYear*IF(G630="NG w CCUS",0.9105,1.9075)))</f>
        <v>2222.2222222222222</v>
      </c>
      <c r="AF630" s="28" t="s">
        <v>2703</v>
      </c>
      <c r="AG630" s="28"/>
    </row>
    <row r="631" spans="1:33" ht="32.25" customHeight="1" x14ac:dyDescent="0.2">
      <c r="A631" s="27">
        <v>952</v>
      </c>
      <c r="B631" s="27" t="s">
        <v>2704</v>
      </c>
      <c r="C631" s="27" t="s">
        <v>337</v>
      </c>
      <c r="D631" s="27"/>
      <c r="E631" s="27"/>
      <c r="F631" s="27" t="s">
        <v>1336</v>
      </c>
      <c r="G631" s="27" t="s">
        <v>758</v>
      </c>
      <c r="H631" s="27" t="s">
        <v>1406</v>
      </c>
      <c r="I631" s="27" t="s">
        <v>768</v>
      </c>
      <c r="J631" s="27" t="s">
        <v>865</v>
      </c>
      <c r="K631" s="27" t="s">
        <v>377</v>
      </c>
      <c r="L631" s="27"/>
      <c r="M631" s="27"/>
      <c r="N631" s="27"/>
      <c r="O631" s="27"/>
      <c r="P631" s="27"/>
      <c r="Q631" s="27"/>
      <c r="R631" s="27"/>
      <c r="S631" s="27">
        <v>1</v>
      </c>
      <c r="T631" s="27"/>
      <c r="U631" s="27"/>
      <c r="V631" s="27"/>
      <c r="W631" s="27"/>
      <c r="X631" s="27"/>
      <c r="Y631" s="27"/>
      <c r="Z631" s="27"/>
      <c r="AA631" s="29"/>
      <c r="AB631" s="30"/>
      <c r="AC631" s="30"/>
      <c r="AD631" s="30"/>
      <c r="AE631" s="30"/>
      <c r="AF631" s="28" t="s">
        <v>2705</v>
      </c>
      <c r="AG631" s="28"/>
    </row>
    <row r="632" spans="1:33" ht="32.25" customHeight="1" x14ac:dyDescent="0.2">
      <c r="A632" s="27">
        <v>953</v>
      </c>
      <c r="B632" s="27" t="s">
        <v>2706</v>
      </c>
      <c r="C632" s="27" t="s">
        <v>337</v>
      </c>
      <c r="D632" s="27">
        <v>2021</v>
      </c>
      <c r="E632" s="27"/>
      <c r="F632" s="27" t="s">
        <v>754</v>
      </c>
      <c r="G632" s="27" t="s">
        <v>758</v>
      </c>
      <c r="H632" s="27" t="s">
        <v>1406</v>
      </c>
      <c r="I632" s="27" t="s">
        <v>756</v>
      </c>
      <c r="J632" s="27" t="str">
        <f>IF(I632&lt;&gt;"Dedicated renewable","N/A",)</f>
        <v>N/A</v>
      </c>
      <c r="K632" s="27" t="s">
        <v>377</v>
      </c>
      <c r="L632" s="27"/>
      <c r="M632" s="27"/>
      <c r="N632" s="27"/>
      <c r="O632" s="27"/>
      <c r="P632" s="27"/>
      <c r="Q632" s="27"/>
      <c r="R632" s="27"/>
      <c r="S632" s="27">
        <v>1</v>
      </c>
      <c r="T632" s="27"/>
      <c r="U632" s="27"/>
      <c r="V632" s="27"/>
      <c r="W632" s="27"/>
      <c r="X632" s="27"/>
      <c r="Y632" s="27"/>
      <c r="Z632" s="27" t="s">
        <v>1902</v>
      </c>
      <c r="AA632" s="29">
        <v>50</v>
      </c>
      <c r="AB632" s="30">
        <f>IF(OR(G632="ALK",G632="PEM",G632="SOEC",G632="Other Electrolysis"),
AA632/VLOOKUP(G632,ElectrolysisConvF,3,FALSE),
AC632*10^6/(H2dens*HoursInYear))</f>
        <v>11111.111111111111</v>
      </c>
      <c r="AC632" s="30">
        <f>AB632*H2dens*HoursInYear/10^6</f>
        <v>8.6626666666666665</v>
      </c>
      <c r="AD632" s="30"/>
      <c r="AE632" s="30">
        <f>IF(AND(G632&lt;&gt;"NG w CCUS",G632&lt;&gt;"Oil w CCUS",G632&lt;&gt;"Coal w CCUS"),AB632,AD632*10^3/(HoursInYear*IF(G632="NG w CCUS",0.9105,1.9075)))</f>
        <v>11111.111111111111</v>
      </c>
      <c r="AF632" s="28" t="s">
        <v>2892</v>
      </c>
      <c r="AG632" s="28"/>
    </row>
    <row r="633" spans="1:33" ht="32.25" customHeight="1" x14ac:dyDescent="0.2">
      <c r="A633" s="27">
        <v>954</v>
      </c>
      <c r="B633" s="27" t="s">
        <v>2707</v>
      </c>
      <c r="C633" s="27" t="s">
        <v>333</v>
      </c>
      <c r="D633" s="27">
        <v>2025</v>
      </c>
      <c r="E633" s="27"/>
      <c r="F633" s="27" t="s">
        <v>753</v>
      </c>
      <c r="G633" s="27" t="s">
        <v>758</v>
      </c>
      <c r="H633" s="27" t="s">
        <v>1406</v>
      </c>
      <c r="I633" s="27" t="s">
        <v>768</v>
      </c>
      <c r="J633" s="27" t="s">
        <v>862</v>
      </c>
      <c r="K633" s="27" t="s">
        <v>396</v>
      </c>
      <c r="L633" s="27"/>
      <c r="M633" s="27"/>
      <c r="N633" s="27"/>
      <c r="O633" s="27"/>
      <c r="P633" s="27"/>
      <c r="Q633" s="27"/>
      <c r="R633" s="27"/>
      <c r="S633" s="27"/>
      <c r="T633" s="27"/>
      <c r="U633" s="27"/>
      <c r="V633" s="27"/>
      <c r="W633" s="27"/>
      <c r="X633" s="27">
        <v>1</v>
      </c>
      <c r="Y633" s="27"/>
      <c r="Z633" s="27" t="s">
        <v>1403</v>
      </c>
      <c r="AA633" s="29">
        <v>20</v>
      </c>
      <c r="AB633" s="30">
        <f>IF(OR(G633="ALK",G633="PEM",G633="SOEC",G633="Other Electrolysis"),
AA633/VLOOKUP(G633,ElectrolysisConvF,3,FALSE),
AC633*10^6/(H2dens*HoursInYear))</f>
        <v>4444.4444444444443</v>
      </c>
      <c r="AC633" s="30">
        <f>AB633*H2dens*HoursInYear/10^6</f>
        <v>3.4650666666666665</v>
      </c>
      <c r="AD633" s="30"/>
      <c r="AE633" s="30">
        <f>IF(AND(G633&lt;&gt;"NG w CCUS",G633&lt;&gt;"Oil w CCUS",G633&lt;&gt;"Coal w CCUS"),AB633,AD633*10^3/(HoursInYear*IF(G633="NG w CCUS",0.9105,1.9075)))</f>
        <v>4444.4444444444443</v>
      </c>
      <c r="AF633" s="28" t="s">
        <v>2708</v>
      </c>
      <c r="AG633" s="28"/>
    </row>
    <row r="634" spans="1:33" ht="32.25" customHeight="1" x14ac:dyDescent="0.2">
      <c r="A634" s="27">
        <v>955</v>
      </c>
      <c r="B634" s="27" t="s">
        <v>2709</v>
      </c>
      <c r="C634" s="27" t="s">
        <v>361</v>
      </c>
      <c r="D634" s="27"/>
      <c r="E634" s="27"/>
      <c r="F634" s="27" t="s">
        <v>1336</v>
      </c>
      <c r="G634" s="27" t="s">
        <v>758</v>
      </c>
      <c r="H634" s="27" t="s">
        <v>1406</v>
      </c>
      <c r="I634" s="27" t="s">
        <v>768</v>
      </c>
      <c r="J634" s="27" t="s">
        <v>378</v>
      </c>
      <c r="K634" s="27" t="s">
        <v>740</v>
      </c>
      <c r="L634" s="27"/>
      <c r="M634" s="27">
        <v>1</v>
      </c>
      <c r="N634" s="27"/>
      <c r="O634" s="27"/>
      <c r="P634" s="27"/>
      <c r="Q634" s="27"/>
      <c r="R634" s="27"/>
      <c r="S634" s="27"/>
      <c r="T634" s="27"/>
      <c r="U634" s="27"/>
      <c r="V634" s="27"/>
      <c r="W634" s="27"/>
      <c r="X634" s="27"/>
      <c r="Y634" s="27"/>
      <c r="Z634" s="27"/>
      <c r="AA634" s="29"/>
      <c r="AB634" s="30"/>
      <c r="AC634" s="30"/>
      <c r="AD634" s="30"/>
      <c r="AE634" s="30"/>
      <c r="AF634" s="28" t="s">
        <v>3263</v>
      </c>
      <c r="AG634" s="28"/>
    </row>
    <row r="635" spans="1:33" ht="32.25" customHeight="1" x14ac:dyDescent="0.2">
      <c r="A635" s="27">
        <v>956</v>
      </c>
      <c r="B635" s="27" t="s">
        <v>2710</v>
      </c>
      <c r="C635" s="27" t="s">
        <v>434</v>
      </c>
      <c r="D635" s="27"/>
      <c r="E635" s="27"/>
      <c r="F635" s="27" t="s">
        <v>832</v>
      </c>
      <c r="G635" s="27" t="s">
        <v>758</v>
      </c>
      <c r="H635" s="27" t="s">
        <v>1406</v>
      </c>
      <c r="I635" s="27" t="s">
        <v>768</v>
      </c>
      <c r="J635" s="27" t="s">
        <v>861</v>
      </c>
      <c r="K635" s="27" t="s">
        <v>377</v>
      </c>
      <c r="L635" s="27"/>
      <c r="M635" s="27"/>
      <c r="N635" s="27"/>
      <c r="O635" s="27"/>
      <c r="P635" s="27"/>
      <c r="Q635" s="27">
        <v>1</v>
      </c>
      <c r="R635" s="27"/>
      <c r="S635" s="27"/>
      <c r="T635" s="27"/>
      <c r="U635" s="27"/>
      <c r="V635" s="27"/>
      <c r="W635" s="27"/>
      <c r="X635" s="27"/>
      <c r="Y635" s="27"/>
      <c r="Z635" s="27"/>
      <c r="AA635" s="29"/>
      <c r="AB635" s="30"/>
      <c r="AC635" s="30"/>
      <c r="AD635" s="30"/>
      <c r="AE635" s="30"/>
      <c r="AF635" s="28" t="s">
        <v>2711</v>
      </c>
      <c r="AG635" s="28"/>
    </row>
    <row r="636" spans="1:33" ht="32.25" customHeight="1" x14ac:dyDescent="0.2">
      <c r="A636" s="27">
        <v>957</v>
      </c>
      <c r="B636" s="27" t="s">
        <v>2712</v>
      </c>
      <c r="C636" s="27" t="s">
        <v>434</v>
      </c>
      <c r="D636" s="27"/>
      <c r="E636" s="27"/>
      <c r="F636" s="27" t="s">
        <v>832</v>
      </c>
      <c r="G636" s="27" t="s">
        <v>758</v>
      </c>
      <c r="H636" s="27" t="s">
        <v>1406</v>
      </c>
      <c r="I636" s="27" t="s">
        <v>768</v>
      </c>
      <c r="J636" s="27" t="s">
        <v>861</v>
      </c>
      <c r="K636" s="27" t="s">
        <v>377</v>
      </c>
      <c r="L636" s="27"/>
      <c r="M636" s="27"/>
      <c r="N636" s="27"/>
      <c r="O636" s="27"/>
      <c r="P636" s="27"/>
      <c r="Q636" s="27"/>
      <c r="R636" s="27">
        <v>1</v>
      </c>
      <c r="S636" s="27"/>
      <c r="T636" s="27"/>
      <c r="U636" s="27"/>
      <c r="V636" s="27"/>
      <c r="W636" s="27"/>
      <c r="X636" s="27"/>
      <c r="Y636" s="27"/>
      <c r="Z636" s="27"/>
      <c r="AA636" s="29"/>
      <c r="AB636" s="30"/>
      <c r="AC636" s="30"/>
      <c r="AD636" s="30"/>
      <c r="AE636" s="30"/>
      <c r="AF636" s="28" t="s">
        <v>2711</v>
      </c>
      <c r="AG636" s="28"/>
    </row>
    <row r="637" spans="1:33" ht="32.25" customHeight="1" x14ac:dyDescent="0.2">
      <c r="A637" s="27">
        <v>958</v>
      </c>
      <c r="B637" s="27" t="s">
        <v>2713</v>
      </c>
      <c r="C637" s="27" t="s">
        <v>338</v>
      </c>
      <c r="D637" s="27">
        <v>2020</v>
      </c>
      <c r="E637" s="27"/>
      <c r="F637" s="27" t="s">
        <v>916</v>
      </c>
      <c r="G637" s="27" t="s">
        <v>758</v>
      </c>
      <c r="H637" s="27" t="s">
        <v>1406</v>
      </c>
      <c r="I637" s="27" t="s">
        <v>768</v>
      </c>
      <c r="J637" s="27" t="s">
        <v>862</v>
      </c>
      <c r="K637" s="27" t="s">
        <v>377</v>
      </c>
      <c r="L637" s="27"/>
      <c r="M637" s="27"/>
      <c r="N637" s="27"/>
      <c r="O637" s="27"/>
      <c r="P637" s="27"/>
      <c r="Q637" s="27"/>
      <c r="R637" s="27"/>
      <c r="S637" s="27"/>
      <c r="T637" s="27"/>
      <c r="U637" s="27"/>
      <c r="V637" s="27"/>
      <c r="W637" s="27"/>
      <c r="X637" s="27"/>
      <c r="Y637" s="27"/>
      <c r="Z637" s="27"/>
      <c r="AA637" s="29"/>
      <c r="AB637" s="30"/>
      <c r="AC637" s="30"/>
      <c r="AD637" s="30"/>
      <c r="AE637" s="30"/>
      <c r="AF637" s="28" t="s">
        <v>2714</v>
      </c>
      <c r="AG637" s="28"/>
    </row>
    <row r="638" spans="1:33" ht="32.25" customHeight="1" x14ac:dyDescent="0.2">
      <c r="A638" s="27">
        <v>959</v>
      </c>
      <c r="B638" s="27" t="s">
        <v>2715</v>
      </c>
      <c r="C638" s="27" t="s">
        <v>338</v>
      </c>
      <c r="D638" s="27">
        <v>2020</v>
      </c>
      <c r="E638" s="27"/>
      <c r="F638" s="27" t="s">
        <v>916</v>
      </c>
      <c r="G638" s="27" t="s">
        <v>758</v>
      </c>
      <c r="H638" s="27" t="s">
        <v>1406</v>
      </c>
      <c r="I638" s="27" t="s">
        <v>927</v>
      </c>
      <c r="J638" s="27" t="str">
        <f>IF(I638&lt;&gt;"Dedicated renewable","N/A",)</f>
        <v>N/A</v>
      </c>
      <c r="K638" s="27" t="s">
        <v>377</v>
      </c>
      <c r="L638" s="27"/>
      <c r="M638" s="27"/>
      <c r="N638" s="27"/>
      <c r="O638" s="27">
        <v>1</v>
      </c>
      <c r="P638" s="27"/>
      <c r="Q638" s="27"/>
      <c r="R638" s="27"/>
      <c r="S638" s="27"/>
      <c r="T638" s="27"/>
      <c r="U638" s="27"/>
      <c r="V638" s="27"/>
      <c r="W638" s="27"/>
      <c r="X638" s="27"/>
      <c r="Y638" s="27"/>
      <c r="Z638" s="27" t="s">
        <v>2716</v>
      </c>
      <c r="AA638" s="29">
        <f>IF(OR(G638="ALK",G638="PEM",G638="SOEC",G638="Other Electrolysis"),
AB638*VLOOKUP(G638,ElectrolysisConvF,3,FALSE),
"")</f>
        <v>4.4999999999999999E-4</v>
      </c>
      <c r="AB638" s="30">
        <v>0.1</v>
      </c>
      <c r="AC638" s="30">
        <f>AB638*H2dens*HoursInYear/10^6</f>
        <v>7.7964000000000001E-5</v>
      </c>
      <c r="AD638" s="30"/>
      <c r="AE638" s="30">
        <f>IF(AND(G638&lt;&gt;"NG w CCUS",G638&lt;&gt;"Oil w CCUS",G638&lt;&gt;"Coal w CCUS"),AB638,AD638*10^3/(HoursInYear*IF(G638="NG w CCUS",0.9105,1.9075)))</f>
        <v>0.1</v>
      </c>
      <c r="AF638" s="28" t="s">
        <v>2717</v>
      </c>
      <c r="AG638" s="28"/>
    </row>
    <row r="639" spans="1:33" ht="32.25" customHeight="1" x14ac:dyDescent="0.2">
      <c r="A639" s="27">
        <v>960</v>
      </c>
      <c r="B639" s="27" t="s">
        <v>2718</v>
      </c>
      <c r="C639" s="27" t="s">
        <v>338</v>
      </c>
      <c r="D639" s="27"/>
      <c r="E639" s="27"/>
      <c r="F639" s="27" t="s">
        <v>1336</v>
      </c>
      <c r="G639" s="27" t="s">
        <v>758</v>
      </c>
      <c r="H639" s="27" t="s">
        <v>1406</v>
      </c>
      <c r="I639" s="27" t="s">
        <v>927</v>
      </c>
      <c r="J639" s="27" t="str">
        <f>IF(I639&lt;&gt;"Dedicated renewable","N/A",)</f>
        <v>N/A</v>
      </c>
      <c r="K639" s="27" t="s">
        <v>377</v>
      </c>
      <c r="L639" s="27"/>
      <c r="M639" s="27"/>
      <c r="N639" s="27"/>
      <c r="O639" s="27">
        <v>1</v>
      </c>
      <c r="P639" s="27"/>
      <c r="Q639" s="27"/>
      <c r="R639" s="27"/>
      <c r="S639" s="27"/>
      <c r="T639" s="27"/>
      <c r="U639" s="27"/>
      <c r="V639" s="27"/>
      <c r="W639" s="27"/>
      <c r="X639" s="27"/>
      <c r="Y639" s="27"/>
      <c r="Z639" s="27" t="s">
        <v>2719</v>
      </c>
      <c r="AA639" s="29">
        <f>IF(OR(G639="ALK",G639="PEM",G639="SOEC",G639="Other Electrolysis"),
AB639*VLOOKUP(G639,ElectrolysisConvF,3,FALSE),
"")</f>
        <v>224.99999999999997</v>
      </c>
      <c r="AB639" s="30">
        <v>50000</v>
      </c>
      <c r="AC639" s="30">
        <f>AB639*H2dens*HoursInYear/10^6</f>
        <v>38.981999999999999</v>
      </c>
      <c r="AD639" s="30"/>
      <c r="AE639" s="30">
        <f>IF(AND(G639&lt;&gt;"NG w CCUS",G639&lt;&gt;"Oil w CCUS",G639&lt;&gt;"Coal w CCUS"),AB639,AD639*10^3/(HoursInYear*IF(G639="NG w CCUS",0.9105,1.9075)))</f>
        <v>50000</v>
      </c>
      <c r="AF639" s="28" t="s">
        <v>2717</v>
      </c>
      <c r="AG639" s="28"/>
    </row>
    <row r="640" spans="1:33" ht="32.25" customHeight="1" x14ac:dyDescent="0.2">
      <c r="A640" s="27">
        <v>961</v>
      </c>
      <c r="B640" s="27" t="s">
        <v>2893</v>
      </c>
      <c r="C640" s="27" t="s">
        <v>338</v>
      </c>
      <c r="D640" s="27"/>
      <c r="E640" s="27"/>
      <c r="F640" s="27" t="s">
        <v>753</v>
      </c>
      <c r="G640" s="27" t="s">
        <v>758</v>
      </c>
      <c r="H640" s="27" t="s">
        <v>1406</v>
      </c>
      <c r="I640" s="27" t="s">
        <v>768</v>
      </c>
      <c r="J640" s="27" t="s">
        <v>861</v>
      </c>
      <c r="K640" s="27" t="s">
        <v>377</v>
      </c>
      <c r="L640" s="27"/>
      <c r="M640" s="27"/>
      <c r="N640" s="27"/>
      <c r="O640" s="27"/>
      <c r="P640" s="27"/>
      <c r="Q640" s="27"/>
      <c r="R640" s="27"/>
      <c r="S640" s="27"/>
      <c r="T640" s="27"/>
      <c r="U640" s="27"/>
      <c r="V640" s="27"/>
      <c r="W640" s="27"/>
      <c r="X640" s="27"/>
      <c r="Y640" s="27"/>
      <c r="Z640" s="27" t="s">
        <v>1407</v>
      </c>
      <c r="AA640" s="29">
        <v>10</v>
      </c>
      <c r="AB640" s="30">
        <f>IF(OR(G640="ALK",G640="PEM",G640="SOEC",G640="Other Electrolysis"),
AA640/VLOOKUP(G640,ElectrolysisConvF,3,FALSE),
AC640*10^6/(H2dens*HoursInYear))</f>
        <v>2222.2222222222222</v>
      </c>
      <c r="AC640" s="30">
        <f>AB640*H2dens*HoursInYear/10^6</f>
        <v>1.7325333333333333</v>
      </c>
      <c r="AD640" s="30"/>
      <c r="AE640" s="30">
        <f>IF(AND(G640&lt;&gt;"NG w CCUS",G640&lt;&gt;"Oil w CCUS",G640&lt;&gt;"Coal w CCUS"),AB640,AD640*10^3/(HoursInYear*IF(G640="NG w CCUS",0.9105,1.9075)))</f>
        <v>2222.2222222222222</v>
      </c>
      <c r="AF640" s="28" t="s">
        <v>2894</v>
      </c>
      <c r="AG640" s="28"/>
    </row>
    <row r="641" spans="1:33" ht="32.25" customHeight="1" x14ac:dyDescent="0.2">
      <c r="A641" s="27">
        <v>962</v>
      </c>
      <c r="B641" s="27" t="s">
        <v>2720</v>
      </c>
      <c r="C641" s="27" t="s">
        <v>336</v>
      </c>
      <c r="D641" s="27">
        <v>2023</v>
      </c>
      <c r="E641" s="27"/>
      <c r="F641" s="27" t="s">
        <v>832</v>
      </c>
      <c r="G641" s="27" t="s">
        <v>758</v>
      </c>
      <c r="H641" s="27" t="s">
        <v>1406</v>
      </c>
      <c r="I641" s="27" t="s">
        <v>768</v>
      </c>
      <c r="J641" s="27" t="s">
        <v>861</v>
      </c>
      <c r="K641" s="27" t="s">
        <v>377</v>
      </c>
      <c r="L641" s="27"/>
      <c r="M641" s="27"/>
      <c r="N641" s="27"/>
      <c r="O641" s="27"/>
      <c r="P641" s="27"/>
      <c r="Q641" s="27"/>
      <c r="R641" s="27"/>
      <c r="S641" s="27"/>
      <c r="T641" s="27"/>
      <c r="U641" s="27"/>
      <c r="V641" s="27"/>
      <c r="W641" s="27"/>
      <c r="X641" s="27"/>
      <c r="Y641" s="27"/>
      <c r="Z641" s="27" t="s">
        <v>2721</v>
      </c>
      <c r="AA641" s="29">
        <v>200</v>
      </c>
      <c r="AB641" s="30">
        <f>IF(OR(G641="ALK",G641="PEM",G641="SOEC",G641="Other Electrolysis"),
AA641/VLOOKUP(G641,ElectrolysisConvF,3,FALSE),
AC641*10^6/(H2dens*HoursInYear))</f>
        <v>44444.444444444445</v>
      </c>
      <c r="AC641" s="30">
        <f>AB641*H2dens*HoursInYear/10^6</f>
        <v>34.650666666666666</v>
      </c>
      <c r="AD641" s="30"/>
      <c r="AE641" s="30">
        <f>IF(AND(G641&lt;&gt;"NG w CCUS",G641&lt;&gt;"Oil w CCUS",G641&lt;&gt;"Coal w CCUS"),AB641,AD641*10^3/(HoursInYear*IF(G641="NG w CCUS",0.9105,1.9075)))</f>
        <v>44444.444444444445</v>
      </c>
      <c r="AF641" s="28" t="s">
        <v>2722</v>
      </c>
      <c r="AG641" s="74" t="s">
        <v>4030</v>
      </c>
    </row>
    <row r="642" spans="1:33" ht="32.25" customHeight="1" x14ac:dyDescent="0.2">
      <c r="A642" s="27">
        <v>963</v>
      </c>
      <c r="B642" s="27" t="s">
        <v>2723</v>
      </c>
      <c r="C642" s="27" t="s">
        <v>337</v>
      </c>
      <c r="D642" s="27">
        <v>2022</v>
      </c>
      <c r="E642" s="27"/>
      <c r="F642" s="27" t="s">
        <v>753</v>
      </c>
      <c r="G642" s="27" t="s">
        <v>758</v>
      </c>
      <c r="H642" s="27" t="s">
        <v>1406</v>
      </c>
      <c r="I642" s="27" t="s">
        <v>768</v>
      </c>
      <c r="J642" s="27" t="s">
        <v>378</v>
      </c>
      <c r="K642" s="27" t="s">
        <v>377</v>
      </c>
      <c r="L642" s="27"/>
      <c r="M642" s="27"/>
      <c r="N642" s="27"/>
      <c r="O642" s="27"/>
      <c r="P642" s="27"/>
      <c r="Q642" s="27">
        <v>1</v>
      </c>
      <c r="R642" s="27">
        <v>1</v>
      </c>
      <c r="S642" s="27">
        <v>1</v>
      </c>
      <c r="T642" s="27"/>
      <c r="U642" s="27"/>
      <c r="V642" s="27"/>
      <c r="W642" s="27"/>
      <c r="X642" s="27"/>
      <c r="Y642" s="27"/>
      <c r="Z642" s="27"/>
      <c r="AA642" s="29"/>
      <c r="AB642" s="30"/>
      <c r="AC642" s="30"/>
      <c r="AD642" s="30"/>
      <c r="AE642" s="30"/>
      <c r="AF642" s="28" t="s">
        <v>2724</v>
      </c>
      <c r="AG642" s="28"/>
    </row>
    <row r="643" spans="1:33" ht="32.25" customHeight="1" x14ac:dyDescent="0.2">
      <c r="A643" s="27">
        <v>964</v>
      </c>
      <c r="B643" s="27" t="s">
        <v>2725</v>
      </c>
      <c r="C643" s="27" t="s">
        <v>980</v>
      </c>
      <c r="D643" s="27"/>
      <c r="E643" s="27"/>
      <c r="F643" s="27" t="s">
        <v>1336</v>
      </c>
      <c r="G643" s="27" t="s">
        <v>758</v>
      </c>
      <c r="H643" s="27" t="s">
        <v>1406</v>
      </c>
      <c r="I643" s="27" t="s">
        <v>768</v>
      </c>
      <c r="J643" s="27" t="s">
        <v>378</v>
      </c>
      <c r="K643" s="27" t="s">
        <v>377</v>
      </c>
      <c r="L643" s="27"/>
      <c r="M643" s="27"/>
      <c r="N643" s="27"/>
      <c r="O643" s="27"/>
      <c r="P643" s="27"/>
      <c r="Q643" s="27"/>
      <c r="R643" s="27"/>
      <c r="S643" s="27"/>
      <c r="T643" s="27"/>
      <c r="U643" s="27"/>
      <c r="V643" s="27"/>
      <c r="W643" s="27"/>
      <c r="X643" s="27"/>
      <c r="Y643" s="27"/>
      <c r="Z643" s="27"/>
      <c r="AA643" s="29"/>
      <c r="AB643" s="30"/>
      <c r="AC643" s="30"/>
      <c r="AD643" s="30"/>
      <c r="AE643" s="30"/>
      <c r="AF643" s="28" t="s">
        <v>2726</v>
      </c>
      <c r="AG643" s="28"/>
    </row>
    <row r="644" spans="1:33" ht="32.25" customHeight="1" x14ac:dyDescent="0.2">
      <c r="A644" s="27">
        <v>965</v>
      </c>
      <c r="B644" s="27" t="s">
        <v>2727</v>
      </c>
      <c r="C644" s="27" t="s">
        <v>342</v>
      </c>
      <c r="D644" s="27"/>
      <c r="E644" s="27"/>
      <c r="F644" s="27" t="s">
        <v>1336</v>
      </c>
      <c r="G644" s="27" t="s">
        <v>758</v>
      </c>
      <c r="H644" s="27" t="s">
        <v>1406</v>
      </c>
      <c r="I644" s="27" t="s">
        <v>756</v>
      </c>
      <c r="J644" s="27" t="str">
        <f>IF(I644&lt;&gt;"Dedicated renewable","N/A",)</f>
        <v>N/A</v>
      </c>
      <c r="K644" s="27" t="s">
        <v>377</v>
      </c>
      <c r="L644" s="27"/>
      <c r="M644" s="27"/>
      <c r="N644" s="27"/>
      <c r="O644" s="27"/>
      <c r="P644" s="27"/>
      <c r="Q644" s="27"/>
      <c r="R644" s="27"/>
      <c r="S644" s="27"/>
      <c r="T644" s="27"/>
      <c r="U644" s="27"/>
      <c r="V644" s="27"/>
      <c r="W644" s="27"/>
      <c r="X644" s="27"/>
      <c r="Y644" s="27"/>
      <c r="Z644" s="27"/>
      <c r="AA644" s="29"/>
      <c r="AB644" s="30"/>
      <c r="AC644" s="30"/>
      <c r="AD644" s="30"/>
      <c r="AE644" s="30"/>
      <c r="AF644" s="28" t="s">
        <v>2728</v>
      </c>
      <c r="AG644" s="28"/>
    </row>
    <row r="645" spans="1:33" ht="32.25" customHeight="1" x14ac:dyDescent="0.2">
      <c r="A645" s="27">
        <v>966</v>
      </c>
      <c r="B645" s="27" t="s">
        <v>2729</v>
      </c>
      <c r="C645" s="27" t="s">
        <v>655</v>
      </c>
      <c r="D645" s="27"/>
      <c r="E645" s="27"/>
      <c r="F645" s="27" t="s">
        <v>1336</v>
      </c>
      <c r="G645" s="27" t="s">
        <v>758</v>
      </c>
      <c r="H645" s="27" t="s">
        <v>1406</v>
      </c>
      <c r="I645" s="27" t="s">
        <v>756</v>
      </c>
      <c r="J645" s="27" t="str">
        <f>IF(I645&lt;&gt;"Dedicated renewable","N/A",)</f>
        <v>N/A</v>
      </c>
      <c r="K645" s="27" t="s">
        <v>377</v>
      </c>
      <c r="L645" s="27"/>
      <c r="M645" s="27"/>
      <c r="N645" s="27"/>
      <c r="O645" s="27"/>
      <c r="P645" s="27"/>
      <c r="Q645" s="27"/>
      <c r="R645" s="27"/>
      <c r="S645" s="27"/>
      <c r="T645" s="27"/>
      <c r="U645" s="27"/>
      <c r="V645" s="27"/>
      <c r="W645" s="27"/>
      <c r="X645" s="27"/>
      <c r="Y645" s="27"/>
      <c r="Z645" s="27"/>
      <c r="AA645" s="29"/>
      <c r="AB645" s="30"/>
      <c r="AC645" s="30"/>
      <c r="AD645" s="30"/>
      <c r="AE645" s="30"/>
      <c r="AF645" s="28" t="s">
        <v>2728</v>
      </c>
      <c r="AG645" s="28"/>
    </row>
    <row r="646" spans="1:33" ht="32.25" customHeight="1" x14ac:dyDescent="0.2">
      <c r="A646" s="27">
        <v>967</v>
      </c>
      <c r="B646" s="27" t="s">
        <v>2729</v>
      </c>
      <c r="C646" s="27" t="s">
        <v>989</v>
      </c>
      <c r="D646" s="27"/>
      <c r="E646" s="27"/>
      <c r="F646" s="27" t="s">
        <v>1336</v>
      </c>
      <c r="G646" s="27" t="s">
        <v>758</v>
      </c>
      <c r="H646" s="27" t="s">
        <v>1406</v>
      </c>
      <c r="I646" s="27" t="s">
        <v>756</v>
      </c>
      <c r="J646" s="27" t="str">
        <f>IF(I646&lt;&gt;"Dedicated renewable","N/A",)</f>
        <v>N/A</v>
      </c>
      <c r="K646" s="27" t="s">
        <v>377</v>
      </c>
      <c r="L646" s="27"/>
      <c r="M646" s="27"/>
      <c r="N646" s="27"/>
      <c r="O646" s="27"/>
      <c r="P646" s="27"/>
      <c r="Q646" s="27"/>
      <c r="R646" s="27"/>
      <c r="S646" s="27"/>
      <c r="T646" s="27"/>
      <c r="U646" s="27"/>
      <c r="V646" s="27"/>
      <c r="W646" s="27"/>
      <c r="X646" s="27"/>
      <c r="Y646" s="27"/>
      <c r="Z646" s="27"/>
      <c r="AA646" s="29"/>
      <c r="AB646" s="30"/>
      <c r="AC646" s="30"/>
      <c r="AD646" s="30"/>
      <c r="AE646" s="30"/>
      <c r="AF646" s="28" t="s">
        <v>2728</v>
      </c>
      <c r="AG646" s="28"/>
    </row>
    <row r="647" spans="1:33" ht="32.25" customHeight="1" x14ac:dyDescent="0.2">
      <c r="A647" s="27">
        <v>968</v>
      </c>
      <c r="B647" s="27" t="s">
        <v>2730</v>
      </c>
      <c r="C647" s="27" t="s">
        <v>336</v>
      </c>
      <c r="D647" s="27"/>
      <c r="E647" s="27"/>
      <c r="F647" s="27" t="s">
        <v>754</v>
      </c>
      <c r="G647" s="27" t="s">
        <v>266</v>
      </c>
      <c r="H647" s="27"/>
      <c r="I647" s="27" t="str">
        <f>IF(AND(G647&lt;&gt;"ALK",G647&lt;&gt;"PEM",G647&lt;&gt;"SOEC",G647&lt;&gt;"Other electrolysis"),"N/A","")</f>
        <v/>
      </c>
      <c r="J647" s="27" t="str">
        <f>IF(I647&lt;&gt;"Dedicated renewable","N/A",)</f>
        <v>N/A</v>
      </c>
      <c r="K647" s="27" t="s">
        <v>377</v>
      </c>
      <c r="L647" s="27"/>
      <c r="M647" s="27"/>
      <c r="N647" s="27"/>
      <c r="O647" s="27"/>
      <c r="P647" s="27"/>
      <c r="Q647" s="27"/>
      <c r="R647" s="27">
        <v>1</v>
      </c>
      <c r="S647" s="27"/>
      <c r="T647" s="27"/>
      <c r="U647" s="27"/>
      <c r="V647" s="27"/>
      <c r="W647" s="27"/>
      <c r="X647" s="27"/>
      <c r="Y647" s="27"/>
      <c r="Z647" s="27" t="s">
        <v>2731</v>
      </c>
      <c r="AA647" s="29">
        <v>0.7</v>
      </c>
      <c r="AB647" s="30">
        <f>IF(OR(G647="ALK",G647="PEM",G647="SOEC",G647="Other Electrolysis"),
AA647/VLOOKUP(G647,ElectrolysisConvF,3,FALSE),
AC647*10^6/(H2dens*HoursInYear))</f>
        <v>134.61538461538461</v>
      </c>
      <c r="AC647" s="30">
        <f>AB647*H2dens*HoursInYear/10^6</f>
        <v>0.10495153846153846</v>
      </c>
      <c r="AD647" s="30"/>
      <c r="AE647" s="30">
        <f>IF(AND(G647&lt;&gt;"NG w CCUS",G647&lt;&gt;"Oil w CCUS",G647&lt;&gt;"Coal w CCUS"),AB647,AD647*10^3/(HoursInYear*IF(G647="NG w CCUS",0.9105,1.9075)))</f>
        <v>134.61538461538461</v>
      </c>
      <c r="AF647" s="28" t="s">
        <v>2732</v>
      </c>
      <c r="AG647" s="28"/>
    </row>
    <row r="648" spans="1:33" ht="32.25" customHeight="1" x14ac:dyDescent="0.2">
      <c r="A648" s="27">
        <v>969</v>
      </c>
      <c r="B648" s="27" t="s">
        <v>2733</v>
      </c>
      <c r="C648" s="27"/>
      <c r="D648" s="27">
        <v>2022</v>
      </c>
      <c r="E648" s="27"/>
      <c r="F648" s="27" t="s">
        <v>754</v>
      </c>
      <c r="G648" s="27" t="s">
        <v>266</v>
      </c>
      <c r="H648" s="27"/>
      <c r="I648" s="27" t="str">
        <f>IF(AND(G648&lt;&gt;"ALK",G648&lt;&gt;"PEM",G648&lt;&gt;"SOEC",G648&lt;&gt;"Other electrolysis"),"N/A","")</f>
        <v/>
      </c>
      <c r="J648" s="27" t="str">
        <f>IF(I648&lt;&gt;"Dedicated renewable","N/A",)</f>
        <v>N/A</v>
      </c>
      <c r="K648" s="27" t="s">
        <v>377</v>
      </c>
      <c r="L648" s="27"/>
      <c r="M648" s="27"/>
      <c r="N648" s="27"/>
      <c r="O648" s="27"/>
      <c r="P648" s="27"/>
      <c r="Q648" s="27"/>
      <c r="R648" s="27"/>
      <c r="S648" s="27"/>
      <c r="T648" s="27"/>
      <c r="U648" s="27"/>
      <c r="V648" s="27"/>
      <c r="W648" s="27"/>
      <c r="X648" s="27"/>
      <c r="Y648" s="27"/>
      <c r="Z648" s="27" t="s">
        <v>2642</v>
      </c>
      <c r="AA648" s="29">
        <v>8</v>
      </c>
      <c r="AB648" s="30">
        <f>IF(OR(G648="ALK",G648="PEM",G648="SOEC",G648="Other Electrolysis"),
AA648/VLOOKUP(G648,ElectrolysisConvF,3,FALSE),
AC648*10^6/(H2dens*HoursInYear))</f>
        <v>1538.4615384615386</v>
      </c>
      <c r="AC648" s="30">
        <f>AB648*H2dens*HoursInYear/10^6</f>
        <v>1.1994461538461541</v>
      </c>
      <c r="AD648" s="30"/>
      <c r="AE648" s="30">
        <f>IF(AND(G648&lt;&gt;"NG w CCUS",G648&lt;&gt;"Oil w CCUS",G648&lt;&gt;"Coal w CCUS"),AB648,AD648*10^3/(HoursInYear*IF(G648="NG w CCUS",0.9105,1.9075)))</f>
        <v>1538.4615384615386</v>
      </c>
      <c r="AF648" s="28" t="s">
        <v>2734</v>
      </c>
      <c r="AG648" s="28"/>
    </row>
    <row r="649" spans="1:33" ht="32.25" customHeight="1" x14ac:dyDescent="0.2">
      <c r="A649" s="27">
        <v>970</v>
      </c>
      <c r="B649" s="27" t="s">
        <v>2735</v>
      </c>
      <c r="C649" s="27" t="s">
        <v>343</v>
      </c>
      <c r="D649" s="27"/>
      <c r="E649" s="27"/>
      <c r="F649" s="27" t="s">
        <v>1336</v>
      </c>
      <c r="G649" s="27" t="s">
        <v>266</v>
      </c>
      <c r="H649" s="27"/>
      <c r="I649" s="27" t="str">
        <f>IF(AND(G649&lt;&gt;"ALK",G649&lt;&gt;"PEM",G649&lt;&gt;"SOEC",G649&lt;&gt;"Other electrolysis"),"N/A","")</f>
        <v/>
      </c>
      <c r="J649" s="27" t="str">
        <f>IF(I649&lt;&gt;"Dedicated renewable","N/A",)</f>
        <v>N/A</v>
      </c>
      <c r="K649" s="27" t="s">
        <v>377</v>
      </c>
      <c r="L649" s="27"/>
      <c r="M649" s="27"/>
      <c r="N649" s="27"/>
      <c r="O649" s="27"/>
      <c r="P649" s="27">
        <v>1</v>
      </c>
      <c r="Q649" s="27"/>
      <c r="R649" s="27"/>
      <c r="S649" s="27"/>
      <c r="T649" s="27"/>
      <c r="U649" s="27"/>
      <c r="V649" s="27"/>
      <c r="W649" s="27"/>
      <c r="X649" s="27"/>
      <c r="Y649" s="27"/>
      <c r="Z649" s="27" t="s">
        <v>1410</v>
      </c>
      <c r="AA649" s="29">
        <v>1000</v>
      </c>
      <c r="AB649" s="30">
        <f>IF(OR(G649="ALK",G649="PEM",G649="SOEC",G649="Other Electrolysis"),
AA649/VLOOKUP(G649,ElectrolysisConvF,3,FALSE),
AC649*10^6/(H2dens*HoursInYear))</f>
        <v>192307.69230769231</v>
      </c>
      <c r="AC649" s="30">
        <f>AB649*H2dens*HoursInYear/10^6</f>
        <v>149.93076923076922</v>
      </c>
      <c r="AD649" s="30"/>
      <c r="AE649" s="30">
        <f>IF(AND(G649&lt;&gt;"NG w CCUS",G649&lt;&gt;"Oil w CCUS",G649&lt;&gt;"Coal w CCUS"),AB649,AD649*10^3/(HoursInYear*IF(G649="NG w CCUS",0.9105,1.9075)))</f>
        <v>192307.69230769231</v>
      </c>
      <c r="AF649" s="28" t="s">
        <v>2736</v>
      </c>
      <c r="AG649" s="28"/>
    </row>
    <row r="650" spans="1:33" ht="32.25" customHeight="1" x14ac:dyDescent="0.2">
      <c r="A650" s="27">
        <v>971</v>
      </c>
      <c r="B650" s="27" t="s">
        <v>2737</v>
      </c>
      <c r="C650" s="27" t="s">
        <v>343</v>
      </c>
      <c r="D650" s="27">
        <v>2019</v>
      </c>
      <c r="E650" s="27"/>
      <c r="F650" s="27" t="s">
        <v>836</v>
      </c>
      <c r="G650" s="27" t="s">
        <v>266</v>
      </c>
      <c r="H650" s="27"/>
      <c r="I650" s="27" t="s">
        <v>765</v>
      </c>
      <c r="J650" s="27" t="str">
        <f>IF(I650&lt;&gt;"Dedicated renewable","N/A",)</f>
        <v>N/A</v>
      </c>
      <c r="K650" s="27" t="s">
        <v>377</v>
      </c>
      <c r="L650" s="27"/>
      <c r="M650" s="27"/>
      <c r="N650" s="27"/>
      <c r="O650" s="27"/>
      <c r="P650" s="27"/>
      <c r="Q650" s="27">
        <v>1</v>
      </c>
      <c r="R650" s="27"/>
      <c r="S650" s="27"/>
      <c r="T650" s="27"/>
      <c r="U650" s="27"/>
      <c r="V650" s="27"/>
      <c r="W650" s="27"/>
      <c r="X650" s="27"/>
      <c r="Y650" s="27"/>
      <c r="Z650" s="27"/>
      <c r="AA650" s="29"/>
      <c r="AB650" s="30"/>
      <c r="AC650" s="30"/>
      <c r="AD650" s="30"/>
      <c r="AE650" s="30"/>
      <c r="AF650" s="28" t="s">
        <v>2738</v>
      </c>
      <c r="AG650" s="28"/>
    </row>
    <row r="651" spans="1:33" ht="32.25" customHeight="1" x14ac:dyDescent="0.2">
      <c r="A651" s="27">
        <v>972</v>
      </c>
      <c r="B651" s="27" t="s">
        <v>2739</v>
      </c>
      <c r="C651" s="27" t="s">
        <v>336</v>
      </c>
      <c r="D651" s="27">
        <v>2018</v>
      </c>
      <c r="E651" s="27"/>
      <c r="F651" s="27" t="s">
        <v>836</v>
      </c>
      <c r="G651" s="27" t="s">
        <v>266</v>
      </c>
      <c r="H651" s="27"/>
      <c r="I651" s="27" t="s">
        <v>756</v>
      </c>
      <c r="J651" s="27" t="str">
        <f>IF(I651&lt;&gt;"Dedicated renewable","N/A",)</f>
        <v>N/A</v>
      </c>
      <c r="K651" s="27" t="s">
        <v>377</v>
      </c>
      <c r="L651" s="27"/>
      <c r="M651" s="27"/>
      <c r="N651" s="27"/>
      <c r="O651" s="27"/>
      <c r="P651" s="27"/>
      <c r="Q651" s="27"/>
      <c r="R651" s="27"/>
      <c r="S651" s="27"/>
      <c r="T651" s="27"/>
      <c r="U651" s="27"/>
      <c r="V651" s="27"/>
      <c r="W651" s="27"/>
      <c r="X651" s="27"/>
      <c r="Y651" s="27"/>
      <c r="Z651" s="27" t="s">
        <v>2740</v>
      </c>
      <c r="AA651" s="29">
        <v>0.75</v>
      </c>
      <c r="AB651" s="30">
        <f>IF(OR(G651="ALK",G651="PEM",G651="SOEC",G651="Other Electrolysis"),
AA651/VLOOKUP(G651,ElectrolysisConvF,3,FALSE),
AC651*10^6/(H2dens*HoursInYear))</f>
        <v>144.23076923076923</v>
      </c>
      <c r="AC651" s="30">
        <f>AB651*H2dens*HoursInYear/10^6</f>
        <v>0.1124480769230769</v>
      </c>
      <c r="AD651" s="30"/>
      <c r="AE651" s="30">
        <f>IF(AND(G651&lt;&gt;"NG w CCUS",G651&lt;&gt;"Oil w CCUS",G651&lt;&gt;"Coal w CCUS"),AB651,AD651*10^3/(HoursInYear*IF(G651="NG w CCUS",0.9105,1.9075)))</f>
        <v>144.23076923076923</v>
      </c>
      <c r="AF651" s="28" t="s">
        <v>2741</v>
      </c>
      <c r="AG651" s="28"/>
    </row>
    <row r="652" spans="1:33" ht="32.25" customHeight="1" x14ac:dyDescent="0.2">
      <c r="A652" s="27">
        <v>973</v>
      </c>
      <c r="B652" s="27" t="s">
        <v>2742</v>
      </c>
      <c r="C652" s="27" t="s">
        <v>343</v>
      </c>
      <c r="D652" s="27">
        <v>2018</v>
      </c>
      <c r="E652" s="27"/>
      <c r="F652" s="27" t="s">
        <v>836</v>
      </c>
      <c r="G652" s="27" t="s">
        <v>266</v>
      </c>
      <c r="H652" s="27"/>
      <c r="I652" s="27" t="s">
        <v>765</v>
      </c>
      <c r="J652" s="27" t="str">
        <f>IF(I652&lt;&gt;"Dedicated renewable","N/A",)</f>
        <v>N/A</v>
      </c>
      <c r="K652" s="27" t="s">
        <v>377</v>
      </c>
      <c r="L652" s="27"/>
      <c r="M652" s="27"/>
      <c r="N652" s="27"/>
      <c r="O652" s="27"/>
      <c r="P652" s="27"/>
      <c r="Q652" s="27">
        <v>1</v>
      </c>
      <c r="R652" s="27"/>
      <c r="S652" s="27"/>
      <c r="T652" s="27"/>
      <c r="U652" s="27"/>
      <c r="V652" s="27"/>
      <c r="W652" s="27"/>
      <c r="X652" s="27"/>
      <c r="Y652" s="27"/>
      <c r="Z652" s="27"/>
      <c r="AA652" s="29"/>
      <c r="AB652" s="30"/>
      <c r="AC652" s="30"/>
      <c r="AD652" s="30"/>
      <c r="AE652" s="30"/>
      <c r="AF652" s="28" t="s">
        <v>2743</v>
      </c>
      <c r="AG652" s="28"/>
    </row>
    <row r="653" spans="1:33" ht="32.25" customHeight="1" x14ac:dyDescent="0.2">
      <c r="A653" s="27">
        <v>974</v>
      </c>
      <c r="B653" s="27" t="s">
        <v>2744</v>
      </c>
      <c r="C653" s="27" t="s">
        <v>343</v>
      </c>
      <c r="D653" s="27">
        <v>2018</v>
      </c>
      <c r="E653" s="27"/>
      <c r="F653" s="27" t="s">
        <v>836</v>
      </c>
      <c r="G653" s="27" t="s">
        <v>266</v>
      </c>
      <c r="H653" s="27"/>
      <c r="I653" s="27" t="s">
        <v>765</v>
      </c>
      <c r="J653" s="27" t="str">
        <f>IF(I653&lt;&gt;"Dedicated renewable","N/A",)</f>
        <v>N/A</v>
      </c>
      <c r="K653" s="27" t="s">
        <v>377</v>
      </c>
      <c r="L653" s="27"/>
      <c r="M653" s="27"/>
      <c r="N653" s="27"/>
      <c r="O653" s="27"/>
      <c r="P653" s="27"/>
      <c r="Q653" s="27">
        <v>1</v>
      </c>
      <c r="R653" s="27"/>
      <c r="S653" s="27"/>
      <c r="T653" s="27"/>
      <c r="U653" s="27"/>
      <c r="V653" s="27"/>
      <c r="W653" s="27"/>
      <c r="X653" s="27"/>
      <c r="Y653" s="27"/>
      <c r="Z653" s="27"/>
      <c r="AA653" s="29"/>
      <c r="AB653" s="30"/>
      <c r="AC653" s="30"/>
      <c r="AD653" s="30"/>
      <c r="AE653" s="30"/>
      <c r="AF653" s="28" t="s">
        <v>2745</v>
      </c>
      <c r="AG653" s="28"/>
    </row>
    <row r="654" spans="1:33" ht="32.25" customHeight="1" x14ac:dyDescent="0.2">
      <c r="A654" s="27">
        <v>975</v>
      </c>
      <c r="B654" s="27" t="s">
        <v>2746</v>
      </c>
      <c r="C654" s="27" t="s">
        <v>336</v>
      </c>
      <c r="D654" s="27"/>
      <c r="E654" s="27"/>
      <c r="F654" s="27" t="s">
        <v>1336</v>
      </c>
      <c r="G654" s="27" t="s">
        <v>758</v>
      </c>
      <c r="H654" s="27" t="s">
        <v>1406</v>
      </c>
      <c r="I654" s="27" t="s">
        <v>768</v>
      </c>
      <c r="J654" s="27" t="s">
        <v>861</v>
      </c>
      <c r="K654" s="27" t="s">
        <v>377</v>
      </c>
      <c r="L654" s="27">
        <v>1</v>
      </c>
      <c r="M654" s="27"/>
      <c r="N654" s="27"/>
      <c r="O654" s="27"/>
      <c r="P654" s="27"/>
      <c r="Q654" s="27"/>
      <c r="R654" s="27"/>
      <c r="S654" s="27"/>
      <c r="T654" s="27"/>
      <c r="U654" s="27"/>
      <c r="V654" s="27"/>
      <c r="W654" s="27"/>
      <c r="X654" s="27"/>
      <c r="Y654" s="27"/>
      <c r="Z654" s="27"/>
      <c r="AA654" s="29"/>
      <c r="AB654" s="30"/>
      <c r="AC654" s="30"/>
      <c r="AD654" s="30"/>
      <c r="AE654" s="30"/>
      <c r="AF654" s="28" t="s">
        <v>2747</v>
      </c>
      <c r="AG654" s="28"/>
    </row>
    <row r="655" spans="1:33" ht="32.25" customHeight="1" x14ac:dyDescent="0.2">
      <c r="A655" s="27">
        <v>976</v>
      </c>
      <c r="B655" s="27" t="s">
        <v>2748</v>
      </c>
      <c r="C655" s="27" t="s">
        <v>332</v>
      </c>
      <c r="D655" s="27"/>
      <c r="E655" s="27"/>
      <c r="F655" s="27" t="s">
        <v>1336</v>
      </c>
      <c r="G655" s="27" t="s">
        <v>758</v>
      </c>
      <c r="H655" s="27" t="s">
        <v>1406</v>
      </c>
      <c r="I655" s="27" t="s">
        <v>768</v>
      </c>
      <c r="J655" s="27" t="s">
        <v>378</v>
      </c>
      <c r="K655" s="27" t="s">
        <v>377</v>
      </c>
      <c r="L655" s="27"/>
      <c r="M655" s="27"/>
      <c r="N655" s="27"/>
      <c r="O655" s="27"/>
      <c r="P655" s="27"/>
      <c r="Q655" s="27">
        <v>1</v>
      </c>
      <c r="R655" s="27"/>
      <c r="S655" s="27"/>
      <c r="T655" s="27"/>
      <c r="U655" s="27"/>
      <c r="V655" s="27"/>
      <c r="W655" s="27"/>
      <c r="X655" s="27"/>
      <c r="Y655" s="27"/>
      <c r="Z655" s="27" t="s">
        <v>1428</v>
      </c>
      <c r="AA655" s="29">
        <v>20</v>
      </c>
      <c r="AB655" s="30">
        <f>IF(OR(G655="ALK",G655="PEM",G655="SOEC",G655="Other Electrolysis"),
AA655/VLOOKUP(G655,ElectrolysisConvF,3,FALSE),
AC655*10^6/(H2dens*HoursInYear))</f>
        <v>4444.4444444444443</v>
      </c>
      <c r="AC655" s="30">
        <f>AB655*H2dens*HoursInYear/10^6</f>
        <v>3.4650666666666665</v>
      </c>
      <c r="AD655" s="30"/>
      <c r="AE655" s="30">
        <f>IF(AND(G655&lt;&gt;"NG w CCUS",G655&lt;&gt;"Oil w CCUS",G655&lt;&gt;"Coal w CCUS"),AB655,AD655*10^3/(HoursInYear*IF(G655="NG w CCUS",0.9105,1.9075)))</f>
        <v>4444.4444444444443</v>
      </c>
      <c r="AF655" s="28" t="s">
        <v>2749</v>
      </c>
      <c r="AG655" s="28"/>
    </row>
    <row r="656" spans="1:33" ht="32.25" customHeight="1" x14ac:dyDescent="0.2">
      <c r="A656" s="27">
        <v>977</v>
      </c>
      <c r="B656" s="27" t="s">
        <v>2750</v>
      </c>
      <c r="C656" s="27" t="s">
        <v>347</v>
      </c>
      <c r="D656" s="27"/>
      <c r="E656" s="27"/>
      <c r="F656" s="27" t="s">
        <v>1336</v>
      </c>
      <c r="G656" s="27" t="s">
        <v>758</v>
      </c>
      <c r="H656" s="27" t="s">
        <v>1406</v>
      </c>
      <c r="I656" s="27" t="s">
        <v>756</v>
      </c>
      <c r="J656" s="27" t="str">
        <f>IF(I656&lt;&gt;"Dedicated renewable","N/A",)</f>
        <v>N/A</v>
      </c>
      <c r="K656" s="27" t="s">
        <v>766</v>
      </c>
      <c r="L656" s="27"/>
      <c r="M656" s="27"/>
      <c r="N656" s="27"/>
      <c r="O656" s="27"/>
      <c r="P656" s="27"/>
      <c r="Q656" s="27"/>
      <c r="R656" s="27"/>
      <c r="S656" s="27"/>
      <c r="T656" s="27"/>
      <c r="U656" s="27"/>
      <c r="V656" s="27"/>
      <c r="W656" s="27">
        <v>1</v>
      </c>
      <c r="X656" s="27"/>
      <c r="Y656" s="27"/>
      <c r="Z656" s="27" t="s">
        <v>2021</v>
      </c>
      <c r="AA656" s="29">
        <v>100</v>
      </c>
      <c r="AB656" s="30">
        <f>IF(OR(G656="ALK",G656="PEM",G656="SOEC",G656="Other Electrolysis"),
AA656/VLOOKUP(G656,ElectrolysisConvF,3,FALSE),
AC656*10^6/(H2dens*HoursInYear))</f>
        <v>22222.222222222223</v>
      </c>
      <c r="AC656" s="30">
        <f>AB656*H2dens*HoursInYear/10^6</f>
        <v>17.325333333333333</v>
      </c>
      <c r="AD656" s="30"/>
      <c r="AE656" s="30">
        <f>IF(AND(G656&lt;&gt;"NG w CCUS",G656&lt;&gt;"Oil w CCUS",G656&lt;&gt;"Coal w CCUS"),AB656,AD656*10^3/(HoursInYear*IF(G656="NG w CCUS",0.9105,1.9075)))</f>
        <v>22222.222222222223</v>
      </c>
      <c r="AF656" s="28" t="s">
        <v>2751</v>
      </c>
      <c r="AG656" s="28"/>
    </row>
    <row r="657" spans="1:33" ht="32.25" customHeight="1" x14ac:dyDescent="0.2">
      <c r="A657" s="27">
        <v>978</v>
      </c>
      <c r="B657" s="27" t="s">
        <v>2752</v>
      </c>
      <c r="C657" s="27" t="s">
        <v>347</v>
      </c>
      <c r="D657" s="27"/>
      <c r="E657" s="27"/>
      <c r="F657" s="27" t="s">
        <v>1336</v>
      </c>
      <c r="G657" s="27" t="s">
        <v>758</v>
      </c>
      <c r="H657" s="27" t="s">
        <v>1406</v>
      </c>
      <c r="I657" s="27" t="s">
        <v>756</v>
      </c>
      <c r="J657" s="27" t="str">
        <f>IF(I657&lt;&gt;"Dedicated renewable","N/A",)</f>
        <v>N/A</v>
      </c>
      <c r="K657" s="27" t="s">
        <v>766</v>
      </c>
      <c r="L657" s="27"/>
      <c r="M657" s="27"/>
      <c r="N657" s="27"/>
      <c r="O657" s="27"/>
      <c r="P657" s="27"/>
      <c r="Q657" s="27"/>
      <c r="R657" s="27"/>
      <c r="S657" s="27"/>
      <c r="T657" s="27"/>
      <c r="U657" s="27"/>
      <c r="V657" s="27"/>
      <c r="W657" s="27">
        <v>1</v>
      </c>
      <c r="X657" s="27"/>
      <c r="Y657" s="27"/>
      <c r="Z657" s="27"/>
      <c r="AA657" s="29"/>
      <c r="AB657" s="30"/>
      <c r="AC657" s="30"/>
      <c r="AD657" s="30"/>
      <c r="AE657" s="30"/>
      <c r="AF657" s="28" t="s">
        <v>2751</v>
      </c>
      <c r="AG657" s="28"/>
    </row>
    <row r="658" spans="1:33" ht="32.25" customHeight="1" x14ac:dyDescent="0.2">
      <c r="A658" s="27">
        <v>979</v>
      </c>
      <c r="B658" s="27" t="s">
        <v>2753</v>
      </c>
      <c r="C658" s="27" t="s">
        <v>343</v>
      </c>
      <c r="D658" s="27">
        <v>2027</v>
      </c>
      <c r="E658" s="27"/>
      <c r="F658" s="27" t="s">
        <v>832</v>
      </c>
      <c r="G658" s="27" t="s">
        <v>760</v>
      </c>
      <c r="H658" s="27"/>
      <c r="I658" s="27" t="str">
        <f>IF(AND(G658&lt;&gt;"ALK",G658&lt;&gt;"PEM",G658&lt;&gt;"SOEC",G658&lt;&gt;"Other electrolysis"),"N/A","")</f>
        <v>N/A</v>
      </c>
      <c r="J658" s="27" t="str">
        <f>IF(I658&lt;&gt;"Dedicated renewable","N/A",)</f>
        <v>N/A</v>
      </c>
      <c r="K658" s="27" t="s">
        <v>377</v>
      </c>
      <c r="L658" s="27"/>
      <c r="M658" s="27"/>
      <c r="N658" s="27"/>
      <c r="O658" s="27"/>
      <c r="P658" s="27"/>
      <c r="Q658" s="27"/>
      <c r="R658" s="27"/>
      <c r="S658" s="27"/>
      <c r="T658" s="27"/>
      <c r="U658" s="27"/>
      <c r="V658" s="27"/>
      <c r="W658" s="27"/>
      <c r="X658" s="27"/>
      <c r="Y658" s="27"/>
      <c r="Z658" s="27" t="s">
        <v>2754</v>
      </c>
      <c r="AA658" s="29" t="str">
        <f>IF(OR(G658="ALK",G658="PEM",G658="SOEC",G658="Other Electrolysis"),
AB658*VLOOKUP(G658,ElectrolysisConvF,3,FALSE),
"")</f>
        <v/>
      </c>
      <c r="AB658" s="30">
        <f>IF(OR(G658="ALK",G658="PEM",G658="SOEC",G658="Other Electrolysis"),
AA658/VLOOKUP(G658,ElectrolysisConvF,3,FALSE),
AC658*10^6/(H2dens*HoursInYear))</f>
        <v>160112.35955056181</v>
      </c>
      <c r="AC658" s="30">
        <f>500*365*24*0.95*3.6/120/1000</f>
        <v>124.83</v>
      </c>
      <c r="AD658" s="30">
        <v>1000000</v>
      </c>
      <c r="AE658" s="64">
        <f>AD658*1000/(365*24*0.9105)</f>
        <v>125376.44276941518</v>
      </c>
      <c r="AF658" s="28" t="s">
        <v>2755</v>
      </c>
      <c r="AG658" s="28"/>
    </row>
    <row r="659" spans="1:33" ht="32.25" customHeight="1" x14ac:dyDescent="0.2">
      <c r="A659" s="27">
        <v>980</v>
      </c>
      <c r="B659" s="27" t="s">
        <v>2756</v>
      </c>
      <c r="C659" s="27" t="s">
        <v>343</v>
      </c>
      <c r="D659" s="27">
        <v>2030</v>
      </c>
      <c r="E659" s="27"/>
      <c r="F659" s="27" t="s">
        <v>832</v>
      </c>
      <c r="G659" s="27" t="s">
        <v>760</v>
      </c>
      <c r="H659" s="27"/>
      <c r="I659" s="27" t="str">
        <f>IF(AND(G659&lt;&gt;"ALK",G659&lt;&gt;"PEM",G659&lt;&gt;"SOEC",G659&lt;&gt;"Other electrolysis"),"N/A","")</f>
        <v>N/A</v>
      </c>
      <c r="J659" s="27" t="str">
        <f>IF(I659&lt;&gt;"Dedicated renewable","N/A",)</f>
        <v>N/A</v>
      </c>
      <c r="K659" s="27" t="s">
        <v>377</v>
      </c>
      <c r="L659" s="27"/>
      <c r="M659" s="27"/>
      <c r="N659" s="27"/>
      <c r="O659" s="27"/>
      <c r="P659" s="27"/>
      <c r="Q659" s="27"/>
      <c r="R659" s="27"/>
      <c r="S659" s="27"/>
      <c r="T659" s="27"/>
      <c r="U659" s="27"/>
      <c r="V659" s="27"/>
      <c r="W659" s="27"/>
      <c r="X659" s="27"/>
      <c r="Y659" s="27"/>
      <c r="Z659" s="27" t="s">
        <v>2757</v>
      </c>
      <c r="AA659" s="29" t="str">
        <f>IF(OR(G659="ALK",G659="PEM",G659="SOEC",G659="Other Electrolysis"),
AB659*VLOOKUP(G659,ElectrolysisConvF,3,FALSE),
"")</f>
        <v/>
      </c>
      <c r="AB659" s="30">
        <f>IF(OR(G659="ALK",G659="PEM",G659="SOEC",G659="Other Electrolysis"),
AA659/VLOOKUP(G659,ElectrolysisConvF,3,FALSE),
AC659*10^6/(H2dens*HoursInYear))</f>
        <v>160112.35955056181</v>
      </c>
      <c r="AC659" s="30">
        <f>500*365*24*0.95*3.6/120/1000</f>
        <v>124.83</v>
      </c>
      <c r="AD659" s="30">
        <v>1000000</v>
      </c>
      <c r="AE659" s="64">
        <f>AD659*1000/(365*24*0.9105)</f>
        <v>125376.44276941518</v>
      </c>
      <c r="AF659" s="28" t="s">
        <v>2755</v>
      </c>
      <c r="AG659" s="28"/>
    </row>
    <row r="660" spans="1:33" ht="32.25" customHeight="1" x14ac:dyDescent="0.2">
      <c r="A660" s="27">
        <v>981</v>
      </c>
      <c r="B660" s="27" t="s">
        <v>2758</v>
      </c>
      <c r="C660" s="27" t="s">
        <v>339</v>
      </c>
      <c r="D660" s="27">
        <v>2021</v>
      </c>
      <c r="E660" s="27"/>
      <c r="F660" s="27" t="s">
        <v>754</v>
      </c>
      <c r="G660" s="27" t="s">
        <v>266</v>
      </c>
      <c r="H660" s="27"/>
      <c r="I660" s="27" t="s">
        <v>756</v>
      </c>
      <c r="J660" s="27" t="str">
        <f>IF(I660&lt;&gt;"Dedicated renewable","N/A",)</f>
        <v>N/A</v>
      </c>
      <c r="K660" s="27" t="s">
        <v>377</v>
      </c>
      <c r="L660" s="27"/>
      <c r="M660" s="27"/>
      <c r="N660" s="27"/>
      <c r="O660" s="27"/>
      <c r="P660" s="27"/>
      <c r="Q660" s="27"/>
      <c r="R660" s="27"/>
      <c r="S660" s="27"/>
      <c r="T660" s="27"/>
      <c r="U660" s="27"/>
      <c r="V660" s="27"/>
      <c r="W660" s="27"/>
      <c r="X660" s="27"/>
      <c r="Y660" s="27"/>
      <c r="Z660" s="27" t="s">
        <v>2759</v>
      </c>
      <c r="AA660" s="29">
        <v>1.4</v>
      </c>
      <c r="AB660" s="30">
        <f>IF(OR(G660="ALK",G660="PEM",G660="SOEC",G660="Other Electrolysis"),
AA660/VLOOKUP(G660,ElectrolysisConvF,3,FALSE),
AC660*10^6/(H2dens*HoursInYear))</f>
        <v>269.23076923076923</v>
      </c>
      <c r="AC660" s="30">
        <f>AB660*H2dens*HoursInYear/10^6</f>
        <v>0.20990307692307691</v>
      </c>
      <c r="AD660" s="30"/>
      <c r="AE660" s="30">
        <f>IF(AND(G660&lt;&gt;"NG w CCUS",G660&lt;&gt;"Oil w CCUS",G660&lt;&gt;"Coal w CCUS"),AB660,AD660*10^3/(HoursInYear*IF(G660="NG w CCUS",0.9105,1.9075)))</f>
        <v>269.23076923076923</v>
      </c>
      <c r="AF660" s="28" t="s">
        <v>2760</v>
      </c>
      <c r="AG660" s="28"/>
    </row>
    <row r="661" spans="1:33" ht="32.25" customHeight="1" x14ac:dyDescent="0.2">
      <c r="A661" s="27">
        <v>982</v>
      </c>
      <c r="B661" s="27" t="s">
        <v>2761</v>
      </c>
      <c r="C661" s="27" t="s">
        <v>620</v>
      </c>
      <c r="D661" s="27"/>
      <c r="E661" s="27"/>
      <c r="F661" s="27" t="s">
        <v>832</v>
      </c>
      <c r="G661" s="27" t="s">
        <v>760</v>
      </c>
      <c r="H661" s="27"/>
      <c r="I661" s="27" t="str">
        <f>IF(AND(G661&lt;&gt;"ALK",G661&lt;&gt;"PEM",G661&lt;&gt;"SOEC",G661&lt;&gt;"Other electrolysis"),"N/A","")</f>
        <v>N/A</v>
      </c>
      <c r="J661" s="27" t="str">
        <f>IF(I661&lt;&gt;"Dedicated renewable","N/A",)</f>
        <v>N/A</v>
      </c>
      <c r="K661" s="27" t="s">
        <v>740</v>
      </c>
      <c r="L661" s="27"/>
      <c r="M661" s="27">
        <v>1</v>
      </c>
      <c r="N661" s="27"/>
      <c r="O661" s="27"/>
      <c r="P661" s="27"/>
      <c r="Q661" s="27"/>
      <c r="R661" s="27"/>
      <c r="S661" s="27"/>
      <c r="T661" s="27"/>
      <c r="U661" s="27"/>
      <c r="V661" s="27"/>
      <c r="W661" s="27"/>
      <c r="X661" s="27"/>
      <c r="Y661" s="27"/>
      <c r="Z661" s="27"/>
      <c r="AA661" s="29"/>
      <c r="AB661" s="30"/>
      <c r="AC661" s="30"/>
      <c r="AD661" s="30"/>
      <c r="AE661" s="30"/>
      <c r="AF661" s="28" t="s">
        <v>2762</v>
      </c>
      <c r="AG661" s="28"/>
    </row>
    <row r="662" spans="1:33" ht="32.25" customHeight="1" x14ac:dyDescent="0.2">
      <c r="A662" s="27">
        <v>983</v>
      </c>
      <c r="B662" s="27" t="s">
        <v>2763</v>
      </c>
      <c r="C662" s="27" t="s">
        <v>341</v>
      </c>
      <c r="D662" s="27">
        <v>2023</v>
      </c>
      <c r="E662" s="27"/>
      <c r="F662" s="27" t="s">
        <v>753</v>
      </c>
      <c r="G662" s="27" t="s">
        <v>266</v>
      </c>
      <c r="H662" s="27"/>
      <c r="I662" s="27" t="s">
        <v>768</v>
      </c>
      <c r="J662" s="27" t="s">
        <v>865</v>
      </c>
      <c r="K662" s="27" t="s">
        <v>377</v>
      </c>
      <c r="L662" s="27">
        <v>1</v>
      </c>
      <c r="M662" s="27"/>
      <c r="N662" s="27"/>
      <c r="O662" s="27"/>
      <c r="P662" s="27"/>
      <c r="Q662" s="27"/>
      <c r="R662" s="27"/>
      <c r="S662" s="27"/>
      <c r="T662" s="27"/>
      <c r="U662" s="27"/>
      <c r="V662" s="27">
        <v>1</v>
      </c>
      <c r="W662" s="27"/>
      <c r="X662" s="27"/>
      <c r="Y662" s="27"/>
      <c r="Z662" s="27" t="s">
        <v>1407</v>
      </c>
      <c r="AA662" s="29">
        <v>10</v>
      </c>
      <c r="AB662" s="30">
        <f>IF(OR(G662="ALK",G662="PEM",G662="SOEC",G662="Other Electrolysis"),
AA662/VLOOKUP(G662,ElectrolysisConvF,3,FALSE),
AC662*10^6/(H2dens*HoursInYear))</f>
        <v>1923.0769230769231</v>
      </c>
      <c r="AC662" s="30">
        <f>AB662*H2dens*HoursInYear/10^6</f>
        <v>1.4993076923076922</v>
      </c>
      <c r="AD662" s="30"/>
      <c r="AE662" s="30">
        <f>IF(AND(G662&lt;&gt;"NG w CCUS",G662&lt;&gt;"Oil w CCUS",G662&lt;&gt;"Coal w CCUS"),AB662,AD662*10^3/(HoursInYear*IF(G662="NG w CCUS",0.9105,1.9075)))</f>
        <v>1923.0769230769231</v>
      </c>
      <c r="AF662" s="28" t="s">
        <v>2764</v>
      </c>
      <c r="AG662" s="28"/>
    </row>
    <row r="663" spans="1:33" ht="32.25" customHeight="1" x14ac:dyDescent="0.2">
      <c r="A663" s="27">
        <v>984</v>
      </c>
      <c r="B663" s="27" t="s">
        <v>2765</v>
      </c>
      <c r="C663" s="27" t="s">
        <v>332</v>
      </c>
      <c r="D663" s="27">
        <v>2025</v>
      </c>
      <c r="E663" s="27"/>
      <c r="F663" s="27" t="s">
        <v>832</v>
      </c>
      <c r="G663" s="27" t="s">
        <v>760</v>
      </c>
      <c r="H663" s="27"/>
      <c r="I663" s="27" t="str">
        <f>IF(AND(G663&lt;&gt;"ALK",G663&lt;&gt;"PEM",G663&lt;&gt;"SOEC",G663&lt;&gt;"Other electrolysis"),"N/A","")</f>
        <v>N/A</v>
      </c>
      <c r="J663" s="27" t="str">
        <f>IF(I663&lt;&gt;"Dedicated renewable","N/A",)</f>
        <v>N/A</v>
      </c>
      <c r="K663" s="27" t="s">
        <v>740</v>
      </c>
      <c r="L663" s="27"/>
      <c r="M663" s="27">
        <v>1</v>
      </c>
      <c r="N663" s="27"/>
      <c r="O663" s="27"/>
      <c r="P663" s="27"/>
      <c r="Q663" s="27"/>
      <c r="R663" s="27"/>
      <c r="S663" s="27"/>
      <c r="T663" s="27"/>
      <c r="U663" s="27"/>
      <c r="V663" s="27"/>
      <c r="W663" s="27"/>
      <c r="X663" s="27"/>
      <c r="Y663" s="27"/>
      <c r="Z663" s="27" t="s">
        <v>3339</v>
      </c>
      <c r="AA663" s="29"/>
      <c r="AB663" s="30">
        <f>AC663/(H2dens*HoursInYear/10^6)</f>
        <v>230968.17609605024</v>
      </c>
      <c r="AC663" s="30">
        <f>1000*3/17/0.98</f>
        <v>180.0720288115246</v>
      </c>
      <c r="AD663" s="30"/>
      <c r="AE663" s="30"/>
      <c r="AF663" s="28" t="s">
        <v>3240</v>
      </c>
      <c r="AG663" s="28"/>
    </row>
    <row r="664" spans="1:33" ht="32.25" customHeight="1" x14ac:dyDescent="0.2">
      <c r="A664" s="92">
        <v>985</v>
      </c>
      <c r="B664" s="27" t="s">
        <v>2766</v>
      </c>
      <c r="C664" s="27" t="s">
        <v>980</v>
      </c>
      <c r="D664" s="27"/>
      <c r="E664" s="27"/>
      <c r="F664" s="27" t="s">
        <v>1336</v>
      </c>
      <c r="G664" s="27" t="s">
        <v>758</v>
      </c>
      <c r="H664" s="27" t="s">
        <v>1406</v>
      </c>
      <c r="I664" s="27" t="s">
        <v>768</v>
      </c>
      <c r="J664" s="27" t="s">
        <v>865</v>
      </c>
      <c r="K664" s="27" t="s">
        <v>377</v>
      </c>
      <c r="L664" s="27"/>
      <c r="M664" s="27"/>
      <c r="N664" s="27"/>
      <c r="O664" s="27"/>
      <c r="P664" s="27">
        <v>1</v>
      </c>
      <c r="Q664" s="27">
        <v>1</v>
      </c>
      <c r="R664" s="27"/>
      <c r="S664" s="27"/>
      <c r="T664" s="27"/>
      <c r="U664" s="27"/>
      <c r="V664" s="27"/>
      <c r="W664" s="27"/>
      <c r="X664" s="27"/>
      <c r="Y664" s="27"/>
      <c r="Z664" s="92" t="s">
        <v>2075</v>
      </c>
      <c r="AA664" s="91">
        <v>180</v>
      </c>
      <c r="AB664" s="30">
        <f>AA664/0.0045</f>
        <v>40000</v>
      </c>
      <c r="AC664" s="30">
        <f>AB664*0.089*24*365/10^6</f>
        <v>31.185600000000001</v>
      </c>
      <c r="AD664" s="30"/>
      <c r="AE664" s="30">
        <f>AB664</f>
        <v>40000</v>
      </c>
      <c r="AF664" s="28" t="s">
        <v>2074</v>
      </c>
      <c r="AG664" s="28"/>
    </row>
    <row r="665" spans="1:33" ht="32.25" customHeight="1" x14ac:dyDescent="0.2">
      <c r="A665" s="27">
        <v>987</v>
      </c>
      <c r="B665" s="27" t="s">
        <v>2895</v>
      </c>
      <c r="C665" s="27" t="s">
        <v>1110</v>
      </c>
      <c r="D665" s="27">
        <v>2022</v>
      </c>
      <c r="E665" s="27"/>
      <c r="F665" s="27" t="s">
        <v>754</v>
      </c>
      <c r="G665" s="27" t="s">
        <v>268</v>
      </c>
      <c r="H665" s="27"/>
      <c r="I665" s="27" t="s">
        <v>768</v>
      </c>
      <c r="J665" s="27" t="s">
        <v>861</v>
      </c>
      <c r="K665" s="27" t="s">
        <v>377</v>
      </c>
      <c r="L665" s="27"/>
      <c r="M665" s="27"/>
      <c r="N665" s="27"/>
      <c r="O665" s="27"/>
      <c r="P665" s="27"/>
      <c r="Q665" s="27"/>
      <c r="R665" s="27">
        <v>1</v>
      </c>
      <c r="S665" s="27"/>
      <c r="T665" s="27"/>
      <c r="U665" s="27"/>
      <c r="V665" s="27"/>
      <c r="W665" s="27"/>
      <c r="X665" s="27"/>
      <c r="Y665" s="27"/>
      <c r="Z665" s="27" t="s">
        <v>2102</v>
      </c>
      <c r="AA665" s="29">
        <v>15</v>
      </c>
      <c r="AB665" s="30">
        <f>IF(OR(G665="ALK",G665="PEM",G665="SOEC",G665="Other Electrolysis"),
AA665/VLOOKUP(G665,ElectrolysisConvF,3,FALSE),
AC665*10^6/(H2dens*HoursInYear))</f>
        <v>3260.8695652173915</v>
      </c>
      <c r="AC665" s="30">
        <f>AB665*H2dens*HoursInYear/10^6</f>
        <v>2.5423043478260867</v>
      </c>
      <c r="AD665" s="30"/>
      <c r="AE665" s="30">
        <f>IF(AND(G665&lt;&gt;"NG w CCUS",G665&lt;&gt;"Oil w CCUS",G665&lt;&gt;"Coal w CCUS"),AB665,AD665*10^3/(HoursInYear*IF(G665="NG w CCUS",0.9105,1.9075)))</f>
        <v>3260.8695652173915</v>
      </c>
      <c r="AF665" s="28" t="s">
        <v>2896</v>
      </c>
      <c r="AG665" s="28"/>
    </row>
    <row r="666" spans="1:33" ht="32.25" customHeight="1" x14ac:dyDescent="0.2">
      <c r="A666" s="65">
        <v>988</v>
      </c>
      <c r="B666" s="27" t="s">
        <v>2767</v>
      </c>
      <c r="C666" s="27" t="s">
        <v>1086</v>
      </c>
      <c r="D666" s="27">
        <v>2024</v>
      </c>
      <c r="E666" s="27"/>
      <c r="F666" s="27" t="s">
        <v>832</v>
      </c>
      <c r="G666" s="27" t="s">
        <v>758</v>
      </c>
      <c r="H666" s="27" t="s">
        <v>1406</v>
      </c>
      <c r="I666" s="27" t="s">
        <v>756</v>
      </c>
      <c r="J666" s="27" t="str">
        <f>IF(I666&lt;&gt;"Dedicated renewable","N/A",)</f>
        <v>N/A</v>
      </c>
      <c r="K666" s="27" t="s">
        <v>740</v>
      </c>
      <c r="L666" s="27"/>
      <c r="M666" s="27">
        <v>1</v>
      </c>
      <c r="N666" s="27"/>
      <c r="O666" s="27"/>
      <c r="P666" s="27"/>
      <c r="Q666" s="27"/>
      <c r="R666" s="27"/>
      <c r="S666" s="27"/>
      <c r="T666" s="27"/>
      <c r="U666" s="27"/>
      <c r="V666" s="27"/>
      <c r="W666" s="27"/>
      <c r="X666" s="27"/>
      <c r="Y666" s="27"/>
      <c r="Z666" s="27" t="s">
        <v>2768</v>
      </c>
      <c r="AA666" s="29">
        <v>170</v>
      </c>
      <c r="AB666" s="30">
        <f>IF(OR(G666="ALK",G666="PEM",G666="SOEC",G666="Other Electrolysis"),
AA666/VLOOKUP(G666,ElectrolysisConvF,3,FALSE),
AC666*10^6/(H2dens*HoursInYear))</f>
        <v>37777.777777777781</v>
      </c>
      <c r="AC666" s="30">
        <f>AB666*H2dens*HoursInYear/10^6</f>
        <v>29.453066666666668</v>
      </c>
      <c r="AD666" s="30"/>
      <c r="AE666" s="30">
        <f>IF(AND(G666&lt;&gt;"NG w CCUS",G666&lt;&gt;"Oil w CCUS",G666&lt;&gt;"Coal w CCUS"),AB666,AD666*10^3/(HoursInYear*IF(G666="NG w CCUS",0.9105,1.9075)))</f>
        <v>37777.777777777781</v>
      </c>
      <c r="AF666" s="28" t="s">
        <v>2769</v>
      </c>
      <c r="AG666" s="28"/>
    </row>
    <row r="667" spans="1:33" ht="32.25" customHeight="1" x14ac:dyDescent="0.2">
      <c r="A667" s="65">
        <v>989</v>
      </c>
      <c r="B667" s="27" t="s">
        <v>2770</v>
      </c>
      <c r="C667" s="27" t="s">
        <v>334</v>
      </c>
      <c r="D667" s="27">
        <v>2025</v>
      </c>
      <c r="E667" s="27"/>
      <c r="F667" s="27" t="s">
        <v>1336</v>
      </c>
      <c r="G667" s="27" t="s">
        <v>760</v>
      </c>
      <c r="H667" s="27"/>
      <c r="I667" s="27" t="str">
        <f>IF(AND(G667&lt;&gt;"ALK",G667&lt;&gt;"PEM",G667&lt;&gt;"SOEC",G667&lt;&gt;"Other electrolysis"),"N/A","")</f>
        <v>N/A</v>
      </c>
      <c r="J667" s="27" t="str">
        <f>IF(I667&lt;&gt;"Dedicated renewable","N/A",)</f>
        <v>N/A</v>
      </c>
      <c r="K667" s="27" t="s">
        <v>739</v>
      </c>
      <c r="L667" s="27"/>
      <c r="M667" s="27"/>
      <c r="N667" s="27">
        <v>1</v>
      </c>
      <c r="O667" s="27"/>
      <c r="P667" s="27"/>
      <c r="Q667" s="27"/>
      <c r="R667" s="27"/>
      <c r="S667" s="27"/>
      <c r="T667" s="27"/>
      <c r="U667" s="27"/>
      <c r="V667" s="27"/>
      <c r="W667" s="27"/>
      <c r="X667" s="27"/>
      <c r="Y667" s="27"/>
      <c r="Z667" s="27" t="s">
        <v>2771</v>
      </c>
      <c r="AA667" s="29" t="str">
        <f>IF(OR(G667="ALK",G667="PEM",G667="SOEC",G667="Other Electrolysis"),
AB667*VLOOKUP(G667,ElectrolysisConvF,3,FALSE),
"")</f>
        <v/>
      </c>
      <c r="AB667" s="30">
        <f>IF(OR(G667="ALK",G667="PEM",G667="SOEC",G667="Other Electrolysis"),
AA667/VLOOKUP(G667,ElectrolysisConvF,3,FALSE),
AC667*10^6/(H2dens*HoursInYear))</f>
        <v>556248.26843158377</v>
      </c>
      <c r="AC667" s="30">
        <f>3400*0.127551</f>
        <v>433.67340000000002</v>
      </c>
      <c r="AD667" s="30">
        <v>1000000</v>
      </c>
      <c r="AE667" s="64">
        <f>AD667*1000/(365*24*0.9105)</f>
        <v>125376.44276941518</v>
      </c>
      <c r="AF667" s="28" t="s">
        <v>2772</v>
      </c>
      <c r="AG667" s="28"/>
    </row>
    <row r="668" spans="1:33" ht="32.25" customHeight="1" x14ac:dyDescent="0.2">
      <c r="A668" s="65">
        <v>990</v>
      </c>
      <c r="B668" s="27" t="s">
        <v>2773</v>
      </c>
      <c r="C668" s="27" t="s">
        <v>334</v>
      </c>
      <c r="D668" s="27"/>
      <c r="E668" s="27"/>
      <c r="F668" s="27" t="s">
        <v>753</v>
      </c>
      <c r="G668" s="27" t="s">
        <v>758</v>
      </c>
      <c r="H668" s="27" t="s">
        <v>1406</v>
      </c>
      <c r="I668" s="27" t="s">
        <v>768</v>
      </c>
      <c r="J668" s="27" t="s">
        <v>864</v>
      </c>
      <c r="K668" s="27" t="s">
        <v>377</v>
      </c>
      <c r="L668" s="27"/>
      <c r="M668" s="27"/>
      <c r="N668" s="27"/>
      <c r="O668" s="27"/>
      <c r="P668" s="27"/>
      <c r="Q668" s="27"/>
      <c r="R668" s="27"/>
      <c r="S668" s="27">
        <v>1</v>
      </c>
      <c r="T668" s="27"/>
      <c r="U668" s="27"/>
      <c r="V668" s="27"/>
      <c r="W668" s="27"/>
      <c r="X668" s="27"/>
      <c r="Y668" s="27"/>
      <c r="Z668" s="27" t="s">
        <v>1403</v>
      </c>
      <c r="AA668" s="29">
        <v>20</v>
      </c>
      <c r="AB668" s="30">
        <f>IF(OR(G668="ALK",G668="PEM",G668="SOEC",G668="Other Electrolysis"),
AA668/VLOOKUP(G668,ElectrolysisConvF,3,FALSE),
AC668*10^6/(H2dens*HoursInYear))</f>
        <v>4444.4444444444443</v>
      </c>
      <c r="AC668" s="30">
        <f>AB668*H2dens*HoursInYear/10^6</f>
        <v>3.4650666666666665</v>
      </c>
      <c r="AD668" s="30"/>
      <c r="AE668" s="30">
        <f>IF(AND(G668&lt;&gt;"NG w CCUS",G668&lt;&gt;"Oil w CCUS",G668&lt;&gt;"Coal w CCUS"),AB668,AD668*10^3/(HoursInYear*IF(G668="NG w CCUS",0.9105,1.9075)))</f>
        <v>4444.4444444444443</v>
      </c>
      <c r="AF668" s="28" t="s">
        <v>2774</v>
      </c>
      <c r="AG668" s="28"/>
    </row>
    <row r="669" spans="1:33" ht="32.25" customHeight="1" x14ac:dyDescent="0.2">
      <c r="A669" s="65">
        <v>991</v>
      </c>
      <c r="B669" s="27" t="s">
        <v>2775</v>
      </c>
      <c r="C669" s="27" t="s">
        <v>1022</v>
      </c>
      <c r="D669" s="27">
        <v>2020</v>
      </c>
      <c r="E669" s="27"/>
      <c r="F669" s="27" t="s">
        <v>916</v>
      </c>
      <c r="G669" s="27" t="s">
        <v>762</v>
      </c>
      <c r="H669" s="27"/>
      <c r="I669" s="27" t="str">
        <f>IF(AND(G669&lt;&gt;"ALK",G669&lt;&gt;"PEM",G669&lt;&gt;"SOEC",G669&lt;&gt;"Other electrolysis"),"N/A","")</f>
        <v>N/A</v>
      </c>
      <c r="J669" s="27" t="str">
        <f>IF(I669&lt;&gt;"Dedicated renewable","N/A",)</f>
        <v>N/A</v>
      </c>
      <c r="K669" s="27" t="s">
        <v>377</v>
      </c>
      <c r="L669" s="27"/>
      <c r="M669" s="27"/>
      <c r="N669" s="27"/>
      <c r="O669" s="27"/>
      <c r="P669" s="27"/>
      <c r="Q669" s="27"/>
      <c r="R669" s="27"/>
      <c r="S669" s="27"/>
      <c r="T669" s="27"/>
      <c r="U669" s="27"/>
      <c r="V669" s="27"/>
      <c r="W669" s="27"/>
      <c r="X669" s="27"/>
      <c r="Y669" s="27"/>
      <c r="Z669" s="27"/>
      <c r="AA669" s="29"/>
      <c r="AB669" s="30"/>
      <c r="AC669" s="30"/>
      <c r="AD669" s="30"/>
      <c r="AE669" s="30"/>
      <c r="AF669" s="28" t="s">
        <v>2776</v>
      </c>
      <c r="AG669" s="28"/>
    </row>
    <row r="670" spans="1:33" ht="32.25" customHeight="1" x14ac:dyDescent="0.2">
      <c r="A670" s="65">
        <v>992</v>
      </c>
      <c r="B670" s="27" t="s">
        <v>3286</v>
      </c>
      <c r="C670" s="27" t="s">
        <v>610</v>
      </c>
      <c r="D670" s="27">
        <v>2025</v>
      </c>
      <c r="E670" s="27"/>
      <c r="F670" s="27" t="s">
        <v>832</v>
      </c>
      <c r="G670" s="27" t="s">
        <v>758</v>
      </c>
      <c r="H670" s="27" t="s">
        <v>1406</v>
      </c>
      <c r="I670" s="27" t="s">
        <v>768</v>
      </c>
      <c r="J670" s="27" t="s">
        <v>864</v>
      </c>
      <c r="K670" s="27" t="s">
        <v>377</v>
      </c>
      <c r="L670" s="27"/>
      <c r="M670" s="27"/>
      <c r="N670" s="27"/>
      <c r="O670" s="27"/>
      <c r="P670" s="27"/>
      <c r="Q670" s="27"/>
      <c r="R670" s="27"/>
      <c r="S670" s="27"/>
      <c r="T670" s="27"/>
      <c r="U670" s="27"/>
      <c r="V670" s="27"/>
      <c r="W670" s="27"/>
      <c r="X670" s="27"/>
      <c r="Y670" s="27"/>
      <c r="Z670" s="27" t="s">
        <v>2777</v>
      </c>
      <c r="AA670" s="29">
        <f>IF(OR(G670="ALK",G670="PEM",G670="SOEC",G670="Other Electrolysis"),
AB670*VLOOKUP(G670,ElectrolysisConvF,3,FALSE),
"")</f>
        <v>3463.1368323841771</v>
      </c>
      <c r="AB670" s="30">
        <f>AC670/(H2dens*HoursInYear/10^6)</f>
        <v>769585.96275203943</v>
      </c>
      <c r="AC670" s="30">
        <v>600</v>
      </c>
      <c r="AD670" s="30"/>
      <c r="AE670" s="30">
        <f>IF(AND(G670&lt;&gt;"NG w CCUS",G670&lt;&gt;"Oil w CCUS",G670&lt;&gt;"Coal w CCUS"),AB670,AD670*10^3/(HoursInYear*IF(G670="NG w CCUS",0.9105,1.9075)))</f>
        <v>769585.96275203943</v>
      </c>
      <c r="AF670" s="28" t="s">
        <v>2778</v>
      </c>
      <c r="AG670" s="74" t="s">
        <v>3865</v>
      </c>
    </row>
    <row r="671" spans="1:33" ht="32.25" customHeight="1" x14ac:dyDescent="0.2">
      <c r="A671" s="65">
        <v>993</v>
      </c>
      <c r="B671" s="27" t="s">
        <v>2779</v>
      </c>
      <c r="C671" s="27" t="s">
        <v>970</v>
      </c>
      <c r="D671" s="27">
        <v>2023</v>
      </c>
      <c r="E671" s="27"/>
      <c r="F671" s="27" t="s">
        <v>753</v>
      </c>
      <c r="G671" s="27" t="s">
        <v>758</v>
      </c>
      <c r="H671" s="27" t="s">
        <v>1406</v>
      </c>
      <c r="I671" s="27" t="s">
        <v>768</v>
      </c>
      <c r="J671" s="27" t="s">
        <v>865</v>
      </c>
      <c r="K671" s="27" t="s">
        <v>377</v>
      </c>
      <c r="L671" s="27"/>
      <c r="M671" s="27"/>
      <c r="N671" s="27"/>
      <c r="O671" s="27"/>
      <c r="P671" s="27"/>
      <c r="Q671" s="27"/>
      <c r="R671" s="27">
        <v>1</v>
      </c>
      <c r="S671" s="27"/>
      <c r="T671" s="27"/>
      <c r="U671" s="27"/>
      <c r="V671" s="27"/>
      <c r="W671" s="27"/>
      <c r="X671" s="27"/>
      <c r="Y671" s="27"/>
      <c r="Z671" s="27" t="s">
        <v>1412</v>
      </c>
      <c r="AA671" s="29">
        <v>2.5</v>
      </c>
      <c r="AB671" s="30">
        <f>IF(OR(G671="ALK",G671="PEM",G671="SOEC",G671="Other Electrolysis"),
AA671/VLOOKUP(G671,ElectrolysisConvF,3,FALSE),
AC671*10^6/(H2dens*HoursInYear))</f>
        <v>555.55555555555554</v>
      </c>
      <c r="AC671" s="30">
        <f>AB671*H2dens*HoursInYear/10^6</f>
        <v>0.43313333333333331</v>
      </c>
      <c r="AD671" s="30"/>
      <c r="AE671" s="30">
        <f>IF(AND(G671&lt;&gt;"NG w CCUS",G671&lt;&gt;"Oil w CCUS",G671&lt;&gt;"Coal w CCUS"),AB671,AD671*10^3/(HoursInYear*IF(G671="NG w CCUS",0.9105,1.9075)))</f>
        <v>555.55555555555554</v>
      </c>
      <c r="AF671" s="28" t="s">
        <v>2780</v>
      </c>
      <c r="AG671" s="28"/>
    </row>
    <row r="672" spans="1:33" ht="32.25" customHeight="1" x14ac:dyDescent="0.2">
      <c r="A672" s="27">
        <v>994</v>
      </c>
      <c r="B672" s="27" t="s">
        <v>3248</v>
      </c>
      <c r="C672" s="27" t="s">
        <v>804</v>
      </c>
      <c r="D672" s="27">
        <v>2026</v>
      </c>
      <c r="E672" s="27"/>
      <c r="F672" s="27" t="s">
        <v>832</v>
      </c>
      <c r="G672" s="27" t="s">
        <v>758</v>
      </c>
      <c r="H672" s="27" t="s">
        <v>1406</v>
      </c>
      <c r="I672" s="27" t="s">
        <v>768</v>
      </c>
      <c r="J672" s="27" t="s">
        <v>863</v>
      </c>
      <c r="K672" s="27" t="s">
        <v>377</v>
      </c>
      <c r="L672" s="27"/>
      <c r="M672" s="27"/>
      <c r="N672" s="27"/>
      <c r="O672" s="27">
        <v>1</v>
      </c>
      <c r="P672" s="27">
        <v>1</v>
      </c>
      <c r="Q672" s="27">
        <v>1</v>
      </c>
      <c r="R672" s="27"/>
      <c r="S672" s="27"/>
      <c r="T672" s="27"/>
      <c r="U672" s="27"/>
      <c r="V672" s="27"/>
      <c r="W672" s="27"/>
      <c r="X672" s="27"/>
      <c r="Y672" s="27"/>
      <c r="Z672" s="27" t="s">
        <v>2781</v>
      </c>
      <c r="AA672" s="29">
        <v>400</v>
      </c>
      <c r="AB672" s="30">
        <f>IF(OR(G672="ALK",G672="PEM",G672="SOEC",G672="Other Electrolysis"),
AA672/VLOOKUP(G672,ElectrolysisConvF,3,FALSE),
AC672*10^6/(H2dens*HoursInYear))</f>
        <v>88888.888888888891</v>
      </c>
      <c r="AC672" s="30">
        <f>AB672*H2dens*HoursInYear/10^6</f>
        <v>69.301333333333332</v>
      </c>
      <c r="AD672" s="30"/>
      <c r="AE672" s="30">
        <f>IF(AND(G672&lt;&gt;"NG w CCUS",G672&lt;&gt;"Oil w CCUS",G672&lt;&gt;"Coal w CCUS"),AB672,AD672*10^3/(HoursInYear*IF(G672="NG w CCUS",0.9105,1.9075)))</f>
        <v>88888.888888888891</v>
      </c>
      <c r="AF672" s="28" t="s">
        <v>3249</v>
      </c>
      <c r="AG672" s="28"/>
    </row>
    <row r="673" spans="1:33" ht="32.25" customHeight="1" x14ac:dyDescent="0.2">
      <c r="A673" s="65">
        <v>995</v>
      </c>
      <c r="B673" s="27" t="s">
        <v>2782</v>
      </c>
      <c r="C673" s="27" t="s">
        <v>804</v>
      </c>
      <c r="D673" s="27">
        <v>2024</v>
      </c>
      <c r="E673" s="27"/>
      <c r="F673" s="27" t="s">
        <v>753</v>
      </c>
      <c r="G673" s="27" t="s">
        <v>758</v>
      </c>
      <c r="H673" s="27" t="s">
        <v>1406</v>
      </c>
      <c r="I673" s="27" t="s">
        <v>756</v>
      </c>
      <c r="J673" s="27" t="str">
        <f>IF(I673&lt;&gt;"Dedicated renewable","N/A",)</f>
        <v>N/A</v>
      </c>
      <c r="K673" s="27" t="s">
        <v>377</v>
      </c>
      <c r="L673" s="27"/>
      <c r="M673" s="27"/>
      <c r="N673" s="27"/>
      <c r="O673" s="27"/>
      <c r="P673" s="27"/>
      <c r="Q673" s="27"/>
      <c r="R673" s="27"/>
      <c r="S673" s="27"/>
      <c r="T673" s="27"/>
      <c r="U673" s="27"/>
      <c r="V673" s="27"/>
      <c r="W673" s="27"/>
      <c r="X673" s="27"/>
      <c r="Y673" s="27"/>
      <c r="Z673" s="27" t="s">
        <v>2061</v>
      </c>
      <c r="AA673" s="29">
        <v>17</v>
      </c>
      <c r="AB673" s="30">
        <f>IF(OR(G673="ALK",G673="PEM",G673="SOEC",G673="Other Electrolysis"),
AA673/VLOOKUP(G673,ElectrolysisConvF,3,FALSE),
AC673*10^6/(H2dens*HoursInYear))</f>
        <v>3777.7777777777783</v>
      </c>
      <c r="AC673" s="30">
        <f>AB673*H2dens*HoursInYear/10^6</f>
        <v>2.9453066666666663</v>
      </c>
      <c r="AD673" s="30"/>
      <c r="AE673" s="30">
        <f>IF(AND(G673&lt;&gt;"NG w CCUS",G673&lt;&gt;"Oil w CCUS",G673&lt;&gt;"Coal w CCUS"),AB673,AD673*10^3/(HoursInYear*IF(G673="NG w CCUS",0.9105,1.9075)))</f>
        <v>3777.7777777777783</v>
      </c>
      <c r="AF673" s="28" t="s">
        <v>2783</v>
      </c>
      <c r="AG673" s="28"/>
    </row>
    <row r="674" spans="1:33" ht="32.25" customHeight="1" x14ac:dyDescent="0.2">
      <c r="A674" s="65">
        <v>996</v>
      </c>
      <c r="B674" s="27" t="s">
        <v>2784</v>
      </c>
      <c r="C674" s="27" t="s">
        <v>434</v>
      </c>
      <c r="D674" s="75">
        <v>2026</v>
      </c>
      <c r="E674" s="27"/>
      <c r="F674" s="27" t="s">
        <v>832</v>
      </c>
      <c r="G674" s="27" t="s">
        <v>758</v>
      </c>
      <c r="H674" s="27" t="s">
        <v>1406</v>
      </c>
      <c r="I674" s="27" t="s">
        <v>768</v>
      </c>
      <c r="J674" s="27" t="s">
        <v>378</v>
      </c>
      <c r="K674" s="27" t="s">
        <v>740</v>
      </c>
      <c r="L674" s="27"/>
      <c r="M674" s="27">
        <v>1</v>
      </c>
      <c r="N674" s="27"/>
      <c r="O674" s="27"/>
      <c r="P674" s="27"/>
      <c r="Q674" s="27"/>
      <c r="R674" s="27"/>
      <c r="S674" s="27"/>
      <c r="T674" s="27"/>
      <c r="U674" s="27"/>
      <c r="V674" s="27"/>
      <c r="W674" s="27"/>
      <c r="X674" s="27"/>
      <c r="Y674" s="27"/>
      <c r="Z674" s="75" t="s">
        <v>3940</v>
      </c>
      <c r="AA674" s="77">
        <v>500</v>
      </c>
      <c r="AB674" s="30">
        <f>AC674/(H2dens*HoursInYear/10^6)</f>
        <v>202328.08988764047</v>
      </c>
      <c r="AC674" s="30">
        <f>2.4*365*0.180072</f>
        <v>157.74307200000001</v>
      </c>
      <c r="AD674" s="30"/>
      <c r="AE674" s="30">
        <f>IF(AND(G674&lt;&gt;"NG w CCUS",G674&lt;&gt;"Oil w CCUS",G674&lt;&gt;"Coal w CCUS"),AB674,AD674*10^3/(HoursInYear*IF(G674="NG w CCUS",0.9105,1.9075)))</f>
        <v>202328.08988764047</v>
      </c>
      <c r="AF674" s="28" t="s">
        <v>3341</v>
      </c>
      <c r="AG674" s="76" t="s">
        <v>3939</v>
      </c>
    </row>
    <row r="675" spans="1:33" ht="32.25" customHeight="1" x14ac:dyDescent="0.2">
      <c r="A675" s="65">
        <v>997</v>
      </c>
      <c r="B675" s="27" t="s">
        <v>2797</v>
      </c>
      <c r="C675" s="27" t="s">
        <v>980</v>
      </c>
      <c r="D675" s="27"/>
      <c r="E675" s="27"/>
      <c r="F675" s="27" t="s">
        <v>832</v>
      </c>
      <c r="G675" s="27" t="s">
        <v>758</v>
      </c>
      <c r="H675" s="27" t="s">
        <v>1406</v>
      </c>
      <c r="I675" s="27" t="s">
        <v>768</v>
      </c>
      <c r="J675" s="27" t="s">
        <v>865</v>
      </c>
      <c r="K675" s="27" t="s">
        <v>377</v>
      </c>
      <c r="L675" s="27"/>
      <c r="M675" s="27"/>
      <c r="N675" s="27"/>
      <c r="O675" s="27"/>
      <c r="P675" s="27"/>
      <c r="Q675" s="27">
        <v>1</v>
      </c>
      <c r="R675" s="27"/>
      <c r="S675" s="27"/>
      <c r="T675" s="27"/>
      <c r="U675" s="27"/>
      <c r="V675" s="27"/>
      <c r="W675" s="27"/>
      <c r="X675" s="27"/>
      <c r="Y675" s="27"/>
      <c r="Z675" s="27" t="s">
        <v>1407</v>
      </c>
      <c r="AA675" s="29">
        <v>10</v>
      </c>
      <c r="AB675" s="30">
        <f>IF(OR(G675="ALK",G675="PEM",G675="SOEC",G675="Other Electrolysis"),
AA675/VLOOKUP(G675,ElectrolysisConvF,3,FALSE),
AC675*10^6/(H2dens*HoursInYear))</f>
        <v>2222.2222222222222</v>
      </c>
      <c r="AC675" s="30">
        <f>AB675*H2dens*HoursInYear/10^6</f>
        <v>1.7325333333333333</v>
      </c>
      <c r="AD675" s="30"/>
      <c r="AE675" s="30">
        <f>IF(AND(G675&lt;&gt;"NG w CCUS",G675&lt;&gt;"Oil w CCUS",G675&lt;&gt;"Coal w CCUS"),AB675,AD675*10^3/(HoursInYear*IF(G675="NG w CCUS",0.9105,1.9075)))</f>
        <v>2222.2222222222222</v>
      </c>
      <c r="AF675" s="28" t="s">
        <v>2800</v>
      </c>
      <c r="AG675" s="28"/>
    </row>
    <row r="676" spans="1:33" ht="32.25" customHeight="1" x14ac:dyDescent="0.2">
      <c r="A676" s="65">
        <v>998</v>
      </c>
      <c r="B676" s="27" t="s">
        <v>2798</v>
      </c>
      <c r="C676" s="27" t="s">
        <v>980</v>
      </c>
      <c r="D676" s="27"/>
      <c r="E676" s="27"/>
      <c r="F676" s="27" t="s">
        <v>832</v>
      </c>
      <c r="G676" s="27" t="s">
        <v>758</v>
      </c>
      <c r="H676" s="27" t="s">
        <v>1406</v>
      </c>
      <c r="I676" s="27" t="s">
        <v>768</v>
      </c>
      <c r="J676" s="27" t="s">
        <v>865</v>
      </c>
      <c r="K676" s="27" t="s">
        <v>377</v>
      </c>
      <c r="L676" s="27"/>
      <c r="M676" s="27"/>
      <c r="N676" s="27"/>
      <c r="O676" s="27"/>
      <c r="P676" s="27"/>
      <c r="Q676" s="27">
        <v>1</v>
      </c>
      <c r="R676" s="27"/>
      <c r="S676" s="27"/>
      <c r="T676" s="27"/>
      <c r="U676" s="27"/>
      <c r="V676" s="27"/>
      <c r="W676" s="27"/>
      <c r="X676" s="27"/>
      <c r="Y676" s="27"/>
      <c r="Z676" s="27" t="s">
        <v>1977</v>
      </c>
      <c r="AA676" s="29">
        <v>5</v>
      </c>
      <c r="AB676" s="30">
        <f>IF(OR(G676="ALK",G676="PEM",G676="SOEC",G676="Other Electrolysis"),
AA676/VLOOKUP(G676,ElectrolysisConvF,3,FALSE),
AC676*10^6/(H2dens*HoursInYear))</f>
        <v>1111.1111111111111</v>
      </c>
      <c r="AC676" s="30">
        <f>AB676*H2dens*HoursInYear/10^6</f>
        <v>0.86626666666666663</v>
      </c>
      <c r="AD676" s="30"/>
      <c r="AE676" s="30">
        <f>IF(AND(G676&lt;&gt;"NG w CCUS",G676&lt;&gt;"Oil w CCUS",G676&lt;&gt;"Coal w CCUS"),AB676,AD676*10^3/(HoursInYear*IF(G676="NG w CCUS",0.9105,1.9075)))</f>
        <v>1111.1111111111111</v>
      </c>
      <c r="AF676" s="28" t="s">
        <v>2801</v>
      </c>
      <c r="AG676" s="28"/>
    </row>
    <row r="677" spans="1:33" ht="32.25" customHeight="1" x14ac:dyDescent="0.2">
      <c r="A677" s="65">
        <v>999</v>
      </c>
      <c r="B677" s="27" t="s">
        <v>2799</v>
      </c>
      <c r="C677" s="27" t="s">
        <v>980</v>
      </c>
      <c r="D677" s="27"/>
      <c r="E677" s="27"/>
      <c r="F677" s="27" t="s">
        <v>832</v>
      </c>
      <c r="G677" s="27" t="s">
        <v>758</v>
      </c>
      <c r="H677" s="27" t="s">
        <v>1406</v>
      </c>
      <c r="I677" s="27" t="s">
        <v>768</v>
      </c>
      <c r="J677" s="27" t="s">
        <v>865</v>
      </c>
      <c r="K677" s="27" t="s">
        <v>377</v>
      </c>
      <c r="L677" s="27"/>
      <c r="M677" s="27"/>
      <c r="N677" s="27"/>
      <c r="O677" s="27"/>
      <c r="P677" s="27"/>
      <c r="Q677" s="27">
        <v>1</v>
      </c>
      <c r="R677" s="27"/>
      <c r="S677" s="27"/>
      <c r="T677" s="27"/>
      <c r="U677" s="27"/>
      <c r="V677" s="27"/>
      <c r="W677" s="27"/>
      <c r="X677" s="27"/>
      <c r="Y677" s="27"/>
      <c r="Z677" s="27" t="s">
        <v>1977</v>
      </c>
      <c r="AA677" s="29">
        <v>5</v>
      </c>
      <c r="AB677" s="30">
        <f>IF(OR(G677="ALK",G677="PEM",G677="SOEC",G677="Other Electrolysis"),
AA677/VLOOKUP(G677,ElectrolysisConvF,3,FALSE),
AC677*10^6/(H2dens*HoursInYear))</f>
        <v>1111.1111111111111</v>
      </c>
      <c r="AC677" s="30">
        <f>AB677*H2dens*HoursInYear/10^6</f>
        <v>0.86626666666666663</v>
      </c>
      <c r="AD677" s="30"/>
      <c r="AE677" s="30">
        <f>IF(AND(G677&lt;&gt;"NG w CCUS",G677&lt;&gt;"Oil w CCUS",G677&lt;&gt;"Coal w CCUS"),AB677,AD677*10^3/(HoursInYear*IF(G677="NG w CCUS",0.9105,1.9075)))</f>
        <v>1111.1111111111111</v>
      </c>
      <c r="AF677" s="28" t="s">
        <v>2801</v>
      </c>
      <c r="AG677" s="28"/>
    </row>
    <row r="678" spans="1:33" ht="32.25" customHeight="1" x14ac:dyDescent="0.2">
      <c r="A678" s="65">
        <v>1000</v>
      </c>
      <c r="B678" s="27" t="s">
        <v>2806</v>
      </c>
      <c r="C678" s="27" t="s">
        <v>334</v>
      </c>
      <c r="D678" s="27">
        <v>2023</v>
      </c>
      <c r="E678" s="27"/>
      <c r="F678" s="27" t="s">
        <v>753</v>
      </c>
      <c r="G678" s="27" t="s">
        <v>758</v>
      </c>
      <c r="H678" s="27" t="s">
        <v>1406</v>
      </c>
      <c r="I678" s="27" t="s">
        <v>768</v>
      </c>
      <c r="J678" s="27" t="s">
        <v>865</v>
      </c>
      <c r="K678" s="27" t="s">
        <v>377</v>
      </c>
      <c r="L678" s="27">
        <v>1</v>
      </c>
      <c r="M678" s="27"/>
      <c r="N678" s="27"/>
      <c r="O678" s="27"/>
      <c r="P678" s="27"/>
      <c r="Q678" s="27"/>
      <c r="R678" s="27"/>
      <c r="S678" s="27"/>
      <c r="T678" s="27"/>
      <c r="U678" s="27"/>
      <c r="V678" s="27"/>
      <c r="W678" s="27"/>
      <c r="X678" s="27"/>
      <c r="Y678" s="27"/>
      <c r="Z678" s="27"/>
      <c r="AA678" s="29"/>
      <c r="AB678" s="30"/>
      <c r="AC678" s="30"/>
      <c r="AD678" s="30"/>
      <c r="AE678" s="30">
        <f>IF(AND(G678&lt;&gt;"NG w CCUS",G678&lt;&gt;"Oil w CCUS",G678&lt;&gt;"Coal w CCUS"),AB678,AD678*10^3/(HoursInYear*IF(G678="NG w CCUS",0.9105,1.9075)))</f>
        <v>0</v>
      </c>
      <c r="AF678" s="28" t="s">
        <v>2807</v>
      </c>
      <c r="AG678" s="28"/>
    </row>
    <row r="679" spans="1:33" ht="32.25" customHeight="1" x14ac:dyDescent="0.2">
      <c r="A679" s="65">
        <v>1001</v>
      </c>
      <c r="B679" s="27" t="s">
        <v>2809</v>
      </c>
      <c r="C679" s="27" t="s">
        <v>1024</v>
      </c>
      <c r="D679" s="27">
        <v>2022</v>
      </c>
      <c r="E679" s="27"/>
      <c r="F679" s="27" t="s">
        <v>754</v>
      </c>
      <c r="G679" s="27" t="s">
        <v>758</v>
      </c>
      <c r="H679" s="27" t="s">
        <v>1406</v>
      </c>
      <c r="I679" s="27" t="s">
        <v>756</v>
      </c>
      <c r="J679" s="27" t="str">
        <f>IF(I679&lt;&gt;"Dedicated renewable","N/A",)</f>
        <v>N/A</v>
      </c>
      <c r="K679" s="27" t="s">
        <v>377</v>
      </c>
      <c r="L679" s="27"/>
      <c r="M679" s="27"/>
      <c r="N679" s="27"/>
      <c r="O679" s="27"/>
      <c r="P679" s="27">
        <v>1</v>
      </c>
      <c r="Q679" s="27"/>
      <c r="R679" s="27"/>
      <c r="S679" s="27"/>
      <c r="T679" s="27"/>
      <c r="U679" s="27"/>
      <c r="V679" s="27"/>
      <c r="W679" s="27"/>
      <c r="X679" s="27"/>
      <c r="Y679" s="27"/>
      <c r="Z679" s="27" t="s">
        <v>1898</v>
      </c>
      <c r="AA679" s="29">
        <v>25</v>
      </c>
      <c r="AB679" s="30">
        <f>IF(OR(G679="ALK",G679="PEM",G679="SOEC",G679="Other Electrolysis"),
AA679/VLOOKUP(G679,ElectrolysisConvF,3,FALSE),
AC679*10^6/(H2dens*HoursInYear))</f>
        <v>5555.5555555555557</v>
      </c>
      <c r="AC679" s="30">
        <f>AB679*H2dens*HoursInYear/10^6</f>
        <v>4.3313333333333333</v>
      </c>
      <c r="AD679" s="30"/>
      <c r="AE679" s="30">
        <f>IF(AND(G679&lt;&gt;"NG w CCUS",G679&lt;&gt;"Oil w CCUS",G679&lt;&gt;"Coal w CCUS"),AB679,AD679*10^3/(HoursInYear*IF(G679="NG w CCUS",0.9105,1.9075)))</f>
        <v>5555.5555555555557</v>
      </c>
      <c r="AF679" s="28" t="s">
        <v>2810</v>
      </c>
      <c r="AG679" s="74" t="s">
        <v>4018</v>
      </c>
    </row>
    <row r="680" spans="1:33" ht="32.25" customHeight="1" x14ac:dyDescent="0.2">
      <c r="A680" s="27">
        <v>1002</v>
      </c>
      <c r="B680" s="55" t="s">
        <v>2812</v>
      </c>
      <c r="C680" s="55" t="s">
        <v>347</v>
      </c>
      <c r="D680" s="55">
        <v>2030</v>
      </c>
      <c r="E680" s="55"/>
      <c r="F680" s="55" t="s">
        <v>832</v>
      </c>
      <c r="G680" s="55" t="s">
        <v>758</v>
      </c>
      <c r="H680" s="55" t="s">
        <v>1406</v>
      </c>
      <c r="I680" s="55" t="s">
        <v>768</v>
      </c>
      <c r="J680" s="55" t="s">
        <v>863</v>
      </c>
      <c r="K680" s="55" t="s">
        <v>377</v>
      </c>
      <c r="L680" s="55">
        <v>1</v>
      </c>
      <c r="M680" s="55">
        <v>1</v>
      </c>
      <c r="N680" s="55">
        <v>1</v>
      </c>
      <c r="O680" s="55">
        <v>1</v>
      </c>
      <c r="P680" s="55">
        <v>1</v>
      </c>
      <c r="Q680" s="55"/>
      <c r="R680" s="55"/>
      <c r="S680" s="55"/>
      <c r="T680" s="55"/>
      <c r="U680" s="55"/>
      <c r="V680" s="55"/>
      <c r="W680" s="55"/>
      <c r="X680" s="55"/>
      <c r="Y680" s="55"/>
      <c r="Z680" s="55" t="s">
        <v>1410</v>
      </c>
      <c r="AA680" s="57">
        <v>900</v>
      </c>
      <c r="AB680" s="58">
        <f>IF(OR(G680="ALK",G680="PEM",G680="SOEC",G680="Other Electrolysis"),
AA680/VLOOKUP(G680,ElectrolysisConvF,3,FALSE),
AC680*10^6/(H2dens*HoursInYear))</f>
        <v>200000.00000000003</v>
      </c>
      <c r="AC680" s="58">
        <f>AB680*H2dens*HoursInYear/10^6</f>
        <v>155.928</v>
      </c>
      <c r="AD680" s="58"/>
      <c r="AE680" s="58">
        <f>IF(AND(G680&lt;&gt;"NG w CCUS",G680&lt;&gt;"Oil w CCUS",G680&lt;&gt;"Coal w CCUS"),AB680,AD680*10^3/(HoursInYear*IF(G680="NG w CCUS",0.9105,1.9075)))</f>
        <v>200000.00000000003</v>
      </c>
      <c r="AF680" s="56" t="s">
        <v>2813</v>
      </c>
      <c r="AG680" s="74" t="s">
        <v>3948</v>
      </c>
    </row>
    <row r="681" spans="1:33" ht="32.25" customHeight="1" x14ac:dyDescent="0.2">
      <c r="A681" s="65">
        <v>1003</v>
      </c>
      <c r="B681" s="27" t="s">
        <v>2897</v>
      </c>
      <c r="C681" s="27" t="s">
        <v>804</v>
      </c>
      <c r="D681" s="27">
        <v>2022</v>
      </c>
      <c r="E681" s="27"/>
      <c r="F681" s="27" t="s">
        <v>754</v>
      </c>
      <c r="G681" s="27" t="s">
        <v>266</v>
      </c>
      <c r="H681" s="27"/>
      <c r="I681" s="27" t="s">
        <v>756</v>
      </c>
      <c r="J681" s="27" t="str">
        <f>IF(I681&lt;&gt;"Dedicated renewable","N/A",)</f>
        <v>N/A</v>
      </c>
      <c r="K681" s="27" t="s">
        <v>377</v>
      </c>
      <c r="L681" s="27"/>
      <c r="M681" s="27"/>
      <c r="N681" s="27"/>
      <c r="O681" s="27"/>
      <c r="P681" s="27"/>
      <c r="Q681" s="27">
        <v>1</v>
      </c>
      <c r="R681" s="27"/>
      <c r="S681" s="27"/>
      <c r="T681" s="27"/>
      <c r="U681" s="27"/>
      <c r="V681" s="27"/>
      <c r="W681" s="27"/>
      <c r="X681" s="27"/>
      <c r="Y681" s="27"/>
      <c r="Z681" s="27" t="s">
        <v>2968</v>
      </c>
      <c r="AA681" s="29">
        <f>IF(OR(G681="ALK",G681="PEM",G681="SOEC",G681="Other Electrolysis"),
AB681*VLOOKUP(G681,ElectrolysisConvF,3,FALSE),
"")</f>
        <v>3.8951310861423214</v>
      </c>
      <c r="AB681" s="30">
        <f>AC681/(H2dens*HoursInYear/10^6)</f>
        <v>749.06367041198496</v>
      </c>
      <c r="AC681" s="30">
        <f>1.6*365/1000</f>
        <v>0.58399999999999996</v>
      </c>
      <c r="AD681" s="30"/>
      <c r="AE681" s="30">
        <f>IF(AND(G681&lt;&gt;"NG w CCUS",G681&lt;&gt;"Oil w CCUS",G681&lt;&gt;"Coal w CCUS"),AB681,AD681*10^3/(HoursInYear*IF(G681="NG w CCUS",0.9105,1.9075)))</f>
        <v>749.06367041198496</v>
      </c>
      <c r="AF681" s="28" t="s">
        <v>2989</v>
      </c>
      <c r="AG681" s="28"/>
    </row>
    <row r="682" spans="1:33" ht="32.25" customHeight="1" x14ac:dyDescent="0.2">
      <c r="A682" s="65">
        <v>1004</v>
      </c>
      <c r="B682" s="27" t="s">
        <v>2898</v>
      </c>
      <c r="C682" s="27" t="s">
        <v>804</v>
      </c>
      <c r="D682" s="27"/>
      <c r="E682" s="27"/>
      <c r="F682" s="27" t="s">
        <v>832</v>
      </c>
      <c r="G682" s="27" t="s">
        <v>758</v>
      </c>
      <c r="H682" s="27" t="s">
        <v>1406</v>
      </c>
      <c r="I682" s="27" t="s">
        <v>756</v>
      </c>
      <c r="J682" s="27" t="str">
        <f>IF(I682&lt;&gt;"Dedicated renewable","N/A",)</f>
        <v>N/A</v>
      </c>
      <c r="K682" s="27" t="s">
        <v>377</v>
      </c>
      <c r="L682" s="27"/>
      <c r="M682" s="27"/>
      <c r="N682" s="27"/>
      <c r="O682" s="27">
        <v>1</v>
      </c>
      <c r="P682" s="27"/>
      <c r="Q682" s="27"/>
      <c r="R682" s="27"/>
      <c r="S682" s="27"/>
      <c r="T682" s="27"/>
      <c r="U682" s="27"/>
      <c r="V682" s="27"/>
      <c r="W682" s="27"/>
      <c r="X682" s="27"/>
      <c r="Y682" s="27"/>
      <c r="Z682" s="27"/>
      <c r="AA682" s="29"/>
      <c r="AB682" s="30"/>
      <c r="AC682" s="30"/>
      <c r="AD682" s="30"/>
      <c r="AE682" s="30">
        <f>IF(AND(G682&lt;&gt;"NG w CCUS",G682&lt;&gt;"Oil w CCUS",G682&lt;&gt;"Coal w CCUS"),AB682,AD682*10^3/(HoursInYear*IF(G682="NG w CCUS",0.9105,1.9075)))</f>
        <v>0</v>
      </c>
      <c r="AF682" s="28" t="s">
        <v>2990</v>
      </c>
      <c r="AG682" s="28"/>
    </row>
    <row r="683" spans="1:33" ht="32.25" customHeight="1" x14ac:dyDescent="0.2">
      <c r="A683" s="65">
        <v>1005</v>
      </c>
      <c r="B683" s="27" t="s">
        <v>2899</v>
      </c>
      <c r="C683" s="27" t="s">
        <v>980</v>
      </c>
      <c r="D683" s="27">
        <v>2023</v>
      </c>
      <c r="E683" s="27"/>
      <c r="F683" s="27" t="s">
        <v>832</v>
      </c>
      <c r="G683" s="27" t="s">
        <v>758</v>
      </c>
      <c r="H683" s="27" t="s">
        <v>1406</v>
      </c>
      <c r="I683" s="27" t="s">
        <v>768</v>
      </c>
      <c r="J683" s="27" t="s">
        <v>861</v>
      </c>
      <c r="K683" s="27" t="s">
        <v>377</v>
      </c>
      <c r="L683" s="27"/>
      <c r="M683" s="27"/>
      <c r="N683" s="27"/>
      <c r="O683" s="27"/>
      <c r="P683" s="27">
        <v>1</v>
      </c>
      <c r="Q683" s="27">
        <v>1</v>
      </c>
      <c r="R683" s="27"/>
      <c r="S683" s="27"/>
      <c r="T683" s="27"/>
      <c r="U683" s="27"/>
      <c r="V683" s="27"/>
      <c r="W683" s="27"/>
      <c r="X683" s="27"/>
      <c r="Y683" s="27"/>
      <c r="Z683" s="27"/>
      <c r="AA683" s="29"/>
      <c r="AB683" s="30"/>
      <c r="AC683" s="30"/>
      <c r="AD683" s="30"/>
      <c r="AE683" s="30">
        <f>IF(AND(G683&lt;&gt;"NG w CCUS",G683&lt;&gt;"Oil w CCUS",G683&lt;&gt;"Coal w CCUS"),AB683,AD683*10^3/(HoursInYear*IF(G683="NG w CCUS",0.9105,1.9075)))</f>
        <v>0</v>
      </c>
      <c r="AF683" s="28" t="s">
        <v>2991</v>
      </c>
      <c r="AG683" s="28"/>
    </row>
    <row r="684" spans="1:33" ht="32.25" customHeight="1" x14ac:dyDescent="0.2">
      <c r="A684" s="65">
        <v>1006</v>
      </c>
      <c r="B684" s="27" t="s">
        <v>2900</v>
      </c>
      <c r="C684" s="27" t="s">
        <v>337</v>
      </c>
      <c r="D684" s="27">
        <v>2022</v>
      </c>
      <c r="E684" s="27"/>
      <c r="F684" s="75" t="s">
        <v>832</v>
      </c>
      <c r="G684" s="27" t="s">
        <v>758</v>
      </c>
      <c r="H684" s="27" t="s">
        <v>1406</v>
      </c>
      <c r="I684" s="27" t="s">
        <v>756</v>
      </c>
      <c r="J684" s="27" t="str">
        <f>IF(I684&lt;&gt;"Dedicated renewable","N/A",)</f>
        <v>N/A</v>
      </c>
      <c r="K684" s="27" t="s">
        <v>377</v>
      </c>
      <c r="L684" s="27"/>
      <c r="M684" s="27"/>
      <c r="N684" s="27"/>
      <c r="O684" s="27"/>
      <c r="P684" s="27"/>
      <c r="Q684" s="27"/>
      <c r="R684" s="27"/>
      <c r="S684" s="27"/>
      <c r="T684" s="27"/>
      <c r="U684" s="27"/>
      <c r="V684" s="27"/>
      <c r="W684" s="27"/>
      <c r="X684" s="27"/>
      <c r="Y684" s="27"/>
      <c r="Z684" s="75" t="s">
        <v>3988</v>
      </c>
      <c r="AA684" s="77">
        <v>839</v>
      </c>
      <c r="AB684" s="30">
        <f>IF(OR(G684="ALK",G684="PEM",G684="SOEC",G684="Other Electrolysis"),
AA684/VLOOKUP(G684,ElectrolysisConvF,3,FALSE),
AC684*10^6/(H2dens*HoursInYear))</f>
        <v>186444.44444444447</v>
      </c>
      <c r="AC684" s="30">
        <f>AB684*H2dens*HoursInYear/10^6</f>
        <v>145.35954666666669</v>
      </c>
      <c r="AD684" s="30"/>
      <c r="AE684" s="30">
        <f>IF(AND(G684&lt;&gt;"NG w CCUS",G684&lt;&gt;"Oil w CCUS",G684&lt;&gt;"Coal w CCUS"),AB684,AD684*10^3/(HoursInYear*IF(G684="NG w CCUS",0.9105,1.9075)))</f>
        <v>186444.44444444447</v>
      </c>
      <c r="AF684" s="28" t="s">
        <v>2992</v>
      </c>
      <c r="AG684" s="76" t="s">
        <v>3987</v>
      </c>
    </row>
    <row r="685" spans="1:33" ht="32.25" customHeight="1" x14ac:dyDescent="0.2">
      <c r="A685" s="65">
        <v>1007</v>
      </c>
      <c r="B685" s="27" t="s">
        <v>2901</v>
      </c>
      <c r="C685" s="27" t="s">
        <v>625</v>
      </c>
      <c r="D685" s="27"/>
      <c r="E685" s="27"/>
      <c r="F685" s="27" t="s">
        <v>832</v>
      </c>
      <c r="G685" s="27" t="s">
        <v>266</v>
      </c>
      <c r="H685" s="27"/>
      <c r="I685" s="27" t="s">
        <v>768</v>
      </c>
      <c r="J685" s="27" t="s">
        <v>861</v>
      </c>
      <c r="K685" s="27" t="s">
        <v>377</v>
      </c>
      <c r="L685" s="27"/>
      <c r="M685" s="27"/>
      <c r="N685" s="27"/>
      <c r="O685" s="27"/>
      <c r="P685" s="27"/>
      <c r="Q685" s="27"/>
      <c r="R685" s="27">
        <v>1</v>
      </c>
      <c r="S685" s="27"/>
      <c r="T685" s="27"/>
      <c r="U685" s="27"/>
      <c r="V685" s="27"/>
      <c r="W685" s="27"/>
      <c r="X685" s="27"/>
      <c r="Y685" s="27"/>
      <c r="Z685" s="27" t="s">
        <v>1898</v>
      </c>
      <c r="AA685" s="29">
        <v>25</v>
      </c>
      <c r="AB685" s="30">
        <f>IF(OR(G685="ALK",G685="PEM",G685="SOEC",G685="Other Electrolysis"),
AA685/VLOOKUP(G685,ElectrolysisConvF,3,FALSE),
AC685*10^6/(H2dens*HoursInYear))</f>
        <v>4807.6923076923076</v>
      </c>
      <c r="AC685" s="30">
        <f>AB685*H2dens*HoursInYear/10^6</f>
        <v>3.7482692307692305</v>
      </c>
      <c r="AD685" s="30"/>
      <c r="AE685" s="30">
        <f>IF(AND(G685&lt;&gt;"NG w CCUS",G685&lt;&gt;"Oil w CCUS",G685&lt;&gt;"Coal w CCUS"),AB685,AD685*10^3/(HoursInYear*IF(G685="NG w CCUS",0.9105,1.9075)))</f>
        <v>4807.6923076923076</v>
      </c>
      <c r="AF685" s="28" t="s">
        <v>3154</v>
      </c>
      <c r="AG685" s="28"/>
    </row>
    <row r="686" spans="1:33" ht="32.25" customHeight="1" x14ac:dyDescent="0.2">
      <c r="A686" s="65">
        <v>1008</v>
      </c>
      <c r="B686" s="27" t="s">
        <v>2902</v>
      </c>
      <c r="C686" s="27" t="s">
        <v>619</v>
      </c>
      <c r="D686" s="27"/>
      <c r="E686" s="27"/>
      <c r="F686" s="27" t="s">
        <v>832</v>
      </c>
      <c r="G686" s="27" t="s">
        <v>758</v>
      </c>
      <c r="H686" s="27" t="s">
        <v>1406</v>
      </c>
      <c r="I686" s="27" t="s">
        <v>768</v>
      </c>
      <c r="J686" s="27" t="s">
        <v>863</v>
      </c>
      <c r="K686" s="27" t="s">
        <v>377</v>
      </c>
      <c r="L686" s="27"/>
      <c r="M686" s="27"/>
      <c r="N686" s="27"/>
      <c r="O686" s="27"/>
      <c r="P686" s="27"/>
      <c r="Q686" s="27"/>
      <c r="R686" s="27"/>
      <c r="S686" s="27"/>
      <c r="T686" s="27"/>
      <c r="U686" s="27"/>
      <c r="V686" s="27"/>
      <c r="W686" s="27"/>
      <c r="X686" s="27"/>
      <c r="Y686" s="27"/>
      <c r="Z686" s="27"/>
      <c r="AA686" s="29"/>
      <c r="AB686" s="30"/>
      <c r="AC686" s="30"/>
      <c r="AD686" s="30"/>
      <c r="AE686" s="30">
        <f>IF(AND(G686&lt;&gt;"NG w CCUS",G686&lt;&gt;"Oil w CCUS",G686&lt;&gt;"Coal w CCUS"),AB686,AD686*10^3/(HoursInYear*IF(G686="NG w CCUS",0.9105,1.9075)))</f>
        <v>0</v>
      </c>
      <c r="AF686" s="28" t="s">
        <v>2993</v>
      </c>
      <c r="AG686" s="28"/>
    </row>
    <row r="687" spans="1:33" ht="32.25" customHeight="1" x14ac:dyDescent="0.2">
      <c r="A687" s="65">
        <v>1009</v>
      </c>
      <c r="B687" s="27" t="s">
        <v>2903</v>
      </c>
      <c r="C687" s="27" t="s">
        <v>334</v>
      </c>
      <c r="D687" s="27"/>
      <c r="E687" s="27"/>
      <c r="F687" s="27" t="s">
        <v>753</v>
      </c>
      <c r="G687" s="27" t="s">
        <v>758</v>
      </c>
      <c r="H687" s="27" t="s">
        <v>1406</v>
      </c>
      <c r="I687" s="27" t="s">
        <v>768</v>
      </c>
      <c r="J687" s="27" t="s">
        <v>865</v>
      </c>
      <c r="K687" s="27" t="s">
        <v>377</v>
      </c>
      <c r="L687" s="27"/>
      <c r="M687" s="27"/>
      <c r="N687" s="27"/>
      <c r="O687" s="27"/>
      <c r="P687" s="27"/>
      <c r="Q687" s="27"/>
      <c r="R687" s="27"/>
      <c r="S687" s="27">
        <v>1</v>
      </c>
      <c r="T687" s="27"/>
      <c r="U687" s="27"/>
      <c r="V687" s="27"/>
      <c r="W687" s="27"/>
      <c r="X687" s="27"/>
      <c r="Y687" s="27"/>
      <c r="Z687" s="27"/>
      <c r="AA687" s="29"/>
      <c r="AB687" s="30"/>
      <c r="AC687" s="30"/>
      <c r="AD687" s="30"/>
      <c r="AE687" s="30">
        <f>IF(AND(G687&lt;&gt;"NG w CCUS",G687&lt;&gt;"Oil w CCUS",G687&lt;&gt;"Coal w CCUS"),AB687,AD687*10^3/(HoursInYear*IF(G687="NG w CCUS",0.9105,1.9075)))</f>
        <v>0</v>
      </c>
      <c r="AF687" s="28" t="s">
        <v>2994</v>
      </c>
      <c r="AG687" s="28"/>
    </row>
    <row r="688" spans="1:33" ht="32.25" customHeight="1" x14ac:dyDescent="0.2">
      <c r="A688" s="65">
        <v>1010</v>
      </c>
      <c r="B688" s="27" t="s">
        <v>2904</v>
      </c>
      <c r="C688" s="27" t="s">
        <v>334</v>
      </c>
      <c r="D688" s="27">
        <v>2022</v>
      </c>
      <c r="E688" s="27"/>
      <c r="F688" s="27" t="s">
        <v>753</v>
      </c>
      <c r="G688" s="27" t="s">
        <v>758</v>
      </c>
      <c r="H688" s="27" t="s">
        <v>1406</v>
      </c>
      <c r="I688" s="27" t="s">
        <v>768</v>
      </c>
      <c r="J688" s="27" t="s">
        <v>865</v>
      </c>
      <c r="K688" s="27" t="s">
        <v>377</v>
      </c>
      <c r="L688" s="27"/>
      <c r="M688" s="27"/>
      <c r="N688" s="27"/>
      <c r="O688" s="27"/>
      <c r="P688" s="27"/>
      <c r="Q688" s="27"/>
      <c r="R688" s="27"/>
      <c r="S688" s="27"/>
      <c r="T688" s="27"/>
      <c r="U688" s="27"/>
      <c r="V688" s="27"/>
      <c r="W688" s="27"/>
      <c r="X688" s="27"/>
      <c r="Y688" s="27"/>
      <c r="Z688" s="27"/>
      <c r="AA688" s="29"/>
      <c r="AB688" s="30"/>
      <c r="AC688" s="30"/>
      <c r="AD688" s="30"/>
      <c r="AE688" s="30">
        <f>IF(AND(G688&lt;&gt;"NG w CCUS",G688&lt;&gt;"Oil w CCUS",G688&lt;&gt;"Coal w CCUS"),AB688,AD688*10^3/(HoursInYear*IF(G688="NG w CCUS",0.9105,1.9075)))</f>
        <v>0</v>
      </c>
      <c r="AF688" s="28" t="s">
        <v>2995</v>
      </c>
      <c r="AG688" s="28"/>
    </row>
    <row r="689" spans="1:33" ht="32.25" customHeight="1" x14ac:dyDescent="0.2">
      <c r="A689" s="65">
        <v>1011</v>
      </c>
      <c r="B689" s="27" t="s">
        <v>2905</v>
      </c>
      <c r="C689" s="27" t="s">
        <v>804</v>
      </c>
      <c r="D689" s="27">
        <v>2024</v>
      </c>
      <c r="E689" s="27"/>
      <c r="F689" s="27" t="s">
        <v>832</v>
      </c>
      <c r="G689" s="27" t="s">
        <v>266</v>
      </c>
      <c r="H689" s="27"/>
      <c r="I689" s="27" t="s">
        <v>768</v>
      </c>
      <c r="J689" s="27" t="s">
        <v>862</v>
      </c>
      <c r="K689" s="27" t="s">
        <v>739</v>
      </c>
      <c r="L689" s="27"/>
      <c r="M689" s="27"/>
      <c r="N689" s="27">
        <v>1</v>
      </c>
      <c r="O689" s="27"/>
      <c r="P689" s="27"/>
      <c r="Q689" s="27"/>
      <c r="R689" s="27"/>
      <c r="S689" s="27"/>
      <c r="T689" s="27"/>
      <c r="U689" s="27"/>
      <c r="V689" s="27"/>
      <c r="W689" s="27"/>
      <c r="X689" s="27"/>
      <c r="Y689" s="27"/>
      <c r="Z689" s="27" t="s">
        <v>2969</v>
      </c>
      <c r="AA689" s="29">
        <v>20</v>
      </c>
      <c r="AB689" s="30">
        <f>IF(OR(G689="ALK",G689="PEM",G689="SOEC",G689="Other Electrolysis"),
AA689/VLOOKUP(G689,ElectrolysisConvF,3,FALSE),
AC689*10^6/(H2dens*HoursInYear))</f>
        <v>3846.1538461538462</v>
      </c>
      <c r="AC689" s="30">
        <f>AB689*H2dens*HoursInYear/10^6</f>
        <v>2.9986153846153845</v>
      </c>
      <c r="AD689" s="30"/>
      <c r="AE689" s="30">
        <f>IF(AND(G689&lt;&gt;"NG w CCUS",G689&lt;&gt;"Oil w CCUS",G689&lt;&gt;"Coal w CCUS"),AB689,AD689*10^3/(HoursInYear*IF(G689="NG w CCUS",0.9105,1.9075)))</f>
        <v>3846.1538461538462</v>
      </c>
      <c r="AF689" s="28" t="s">
        <v>2996</v>
      </c>
      <c r="AG689" s="28"/>
    </row>
    <row r="690" spans="1:33" ht="32.25" customHeight="1" x14ac:dyDescent="0.2">
      <c r="A690" s="65">
        <v>1012</v>
      </c>
      <c r="B690" s="27" t="s">
        <v>3027</v>
      </c>
      <c r="C690" s="27" t="s">
        <v>338</v>
      </c>
      <c r="D690" s="27">
        <v>2022</v>
      </c>
      <c r="E690" s="27"/>
      <c r="F690" s="27" t="s">
        <v>832</v>
      </c>
      <c r="G690" s="27" t="s">
        <v>758</v>
      </c>
      <c r="H690" s="27" t="s">
        <v>1406</v>
      </c>
      <c r="I690" s="27" t="s">
        <v>768</v>
      </c>
      <c r="J690" s="27" t="s">
        <v>378</v>
      </c>
      <c r="K690" s="27" t="s">
        <v>377</v>
      </c>
      <c r="L690" s="27"/>
      <c r="M690" s="27"/>
      <c r="N690" s="27"/>
      <c r="O690" s="27"/>
      <c r="P690" s="27"/>
      <c r="Q690" s="27">
        <v>1</v>
      </c>
      <c r="R690" s="27"/>
      <c r="S690" s="27"/>
      <c r="T690" s="27"/>
      <c r="U690" s="27"/>
      <c r="V690" s="27"/>
      <c r="W690" s="27"/>
      <c r="X690" s="27"/>
      <c r="Y690" s="27"/>
      <c r="Z690" s="27" t="s">
        <v>3028</v>
      </c>
      <c r="AA690" s="29">
        <f>IF(OR(G690="ALK",G690="PEM",G690="SOEC",G690="Other Electrolysis"),
AB690*VLOOKUP(G690,ElectrolysisConvF,3,FALSE),
"")</f>
        <v>5.8988764044943807</v>
      </c>
      <c r="AB690" s="30">
        <f>AC690/(H2dens*HoursInYear/10^6)</f>
        <v>1310.8614232209736</v>
      </c>
      <c r="AC690" s="30">
        <f>2.8*365/1000</f>
        <v>1.0219999999999998</v>
      </c>
      <c r="AD690" s="30"/>
      <c r="AE690" s="30">
        <f>IF(AND(G690&lt;&gt;"NG w CCUS",G690&lt;&gt;"Oil w CCUS",G690&lt;&gt;"Coal w CCUS"),AB690,AD690*10^3/(HoursInYear*IF(G690="NG w CCUS",0.9105,1.9075)))</f>
        <v>1310.8614232209736</v>
      </c>
      <c r="AF690" s="28" t="s">
        <v>3030</v>
      </c>
      <c r="AG690" s="28"/>
    </row>
    <row r="691" spans="1:33" ht="32.25" customHeight="1" x14ac:dyDescent="0.2">
      <c r="A691" s="65">
        <v>1013</v>
      </c>
      <c r="B691" s="27" t="s">
        <v>2906</v>
      </c>
      <c r="C691" s="27" t="s">
        <v>338</v>
      </c>
      <c r="D691" s="27"/>
      <c r="E691" s="27"/>
      <c r="F691" s="27" t="s">
        <v>1336</v>
      </c>
      <c r="G691" s="27" t="s">
        <v>758</v>
      </c>
      <c r="H691" s="27" t="s">
        <v>1406</v>
      </c>
      <c r="I691" s="27" t="s">
        <v>756</v>
      </c>
      <c r="J691" s="27" t="str">
        <f>IF(I691&lt;&gt;"Dedicated renewable","N/A",)</f>
        <v>N/A</v>
      </c>
      <c r="K691" s="27" t="s">
        <v>377</v>
      </c>
      <c r="L691" s="27"/>
      <c r="M691" s="27"/>
      <c r="N691" s="27"/>
      <c r="O691" s="27"/>
      <c r="P691" s="27"/>
      <c r="Q691" s="27"/>
      <c r="R691" s="27"/>
      <c r="S691" s="27"/>
      <c r="T691" s="27"/>
      <c r="U691" s="27"/>
      <c r="V691" s="27"/>
      <c r="W691" s="27"/>
      <c r="X691" s="27"/>
      <c r="Y691" s="27"/>
      <c r="Z691" s="27"/>
      <c r="AA691" s="29"/>
      <c r="AB691" s="30"/>
      <c r="AC691" s="30"/>
      <c r="AD691" s="30"/>
      <c r="AE691" s="30">
        <f>IF(AND(G691&lt;&gt;"NG w CCUS",G691&lt;&gt;"Oil w CCUS",G691&lt;&gt;"Coal w CCUS"),AB691,AD691*10^3/(HoursInYear*IF(G691="NG w CCUS",0.9105,1.9075)))</f>
        <v>0</v>
      </c>
      <c r="AF691" s="28" t="s">
        <v>2888</v>
      </c>
      <c r="AG691" s="28"/>
    </row>
    <row r="692" spans="1:33" ht="32.25" customHeight="1" x14ac:dyDescent="0.2">
      <c r="A692" s="65">
        <v>1014</v>
      </c>
      <c r="B692" s="27" t="s">
        <v>2907</v>
      </c>
      <c r="C692" s="27" t="s">
        <v>338</v>
      </c>
      <c r="D692" s="27">
        <v>2022</v>
      </c>
      <c r="E692" s="27"/>
      <c r="F692" s="27" t="s">
        <v>1336</v>
      </c>
      <c r="G692" s="27" t="s">
        <v>758</v>
      </c>
      <c r="H692" s="27" t="s">
        <v>1406</v>
      </c>
      <c r="I692" s="27" t="s">
        <v>768</v>
      </c>
      <c r="J692" s="27" t="s">
        <v>862</v>
      </c>
      <c r="K692" s="27" t="s">
        <v>377</v>
      </c>
      <c r="L692" s="27"/>
      <c r="M692" s="27"/>
      <c r="N692" s="27"/>
      <c r="O692" s="27"/>
      <c r="P692" s="27">
        <v>1</v>
      </c>
      <c r="Q692" s="27">
        <v>1</v>
      </c>
      <c r="R692" s="27"/>
      <c r="S692" s="27">
        <v>1</v>
      </c>
      <c r="T692" s="27"/>
      <c r="U692" s="27">
        <v>1</v>
      </c>
      <c r="V692" s="27"/>
      <c r="W692" s="27"/>
      <c r="X692" s="27"/>
      <c r="Y692" s="27"/>
      <c r="Z692" s="27" t="s">
        <v>2970</v>
      </c>
      <c r="AA692" s="29">
        <f>IF(OR(G692="ALK",G692="PEM",G692="SOEC",G692="Other Electrolysis"),
AB692*VLOOKUP(G692,ElectrolysisConvF,3,FALSE),
"")</f>
        <v>9.8122210250885011</v>
      </c>
      <c r="AB692" s="30">
        <f>AC692/(H2dens*HoursInYear/10^6)</f>
        <v>2180.4935611307783</v>
      </c>
      <c r="AC692" s="30">
        <v>1.7</v>
      </c>
      <c r="AD692" s="30"/>
      <c r="AE692" s="30">
        <f>IF(AND(G692&lt;&gt;"NG w CCUS",G692&lt;&gt;"Oil w CCUS",G692&lt;&gt;"Coal w CCUS"),AB692,AD692*10^3/(HoursInYear*IF(G692="NG w CCUS",0.9105,1.9075)))</f>
        <v>2180.4935611307783</v>
      </c>
      <c r="AF692" s="28" t="s">
        <v>2888</v>
      </c>
      <c r="AG692" s="74" t="s">
        <v>4096</v>
      </c>
    </row>
    <row r="693" spans="1:33" ht="32.25" customHeight="1" x14ac:dyDescent="0.2">
      <c r="A693" s="65">
        <v>1015</v>
      </c>
      <c r="B693" s="27" t="s">
        <v>2908</v>
      </c>
      <c r="C693" s="27" t="s">
        <v>338</v>
      </c>
      <c r="D693" s="27">
        <v>2026</v>
      </c>
      <c r="E693" s="27"/>
      <c r="F693" s="27" t="s">
        <v>1336</v>
      </c>
      <c r="G693" s="27" t="s">
        <v>758</v>
      </c>
      <c r="H693" s="27" t="s">
        <v>1406</v>
      </c>
      <c r="I693" s="27" t="s">
        <v>768</v>
      </c>
      <c r="J693" s="27" t="s">
        <v>862</v>
      </c>
      <c r="K693" s="27" t="s">
        <v>377</v>
      </c>
      <c r="L693" s="27"/>
      <c r="M693" s="27"/>
      <c r="N693" s="27"/>
      <c r="O693" s="27"/>
      <c r="P693" s="27"/>
      <c r="Q693" s="27">
        <v>1</v>
      </c>
      <c r="R693" s="27"/>
      <c r="S693" s="27"/>
      <c r="T693" s="27"/>
      <c r="U693" s="27">
        <v>1</v>
      </c>
      <c r="V693" s="27"/>
      <c r="W693" s="27"/>
      <c r="X693" s="27"/>
      <c r="Y693" s="27"/>
      <c r="Z693" s="27"/>
      <c r="AA693" s="29"/>
      <c r="AB693" s="30"/>
      <c r="AC693" s="30"/>
      <c r="AD693" s="30"/>
      <c r="AE693" s="30">
        <f>IF(AND(G693&lt;&gt;"NG w CCUS",G693&lt;&gt;"Oil w CCUS",G693&lt;&gt;"Coal w CCUS"),AB693,AD693*10^3/(HoursInYear*IF(G693="NG w CCUS",0.9105,1.9075)))</f>
        <v>0</v>
      </c>
      <c r="AF693" s="28" t="s">
        <v>2888</v>
      </c>
      <c r="AG693" s="28"/>
    </row>
    <row r="694" spans="1:33" ht="32.25" customHeight="1" x14ac:dyDescent="0.2">
      <c r="A694" s="65">
        <v>1016</v>
      </c>
      <c r="B694" s="27" t="s">
        <v>2909</v>
      </c>
      <c r="C694" s="27" t="s">
        <v>338</v>
      </c>
      <c r="D694" s="27">
        <v>2024</v>
      </c>
      <c r="E694" s="27"/>
      <c r="F694" s="27" t="s">
        <v>1336</v>
      </c>
      <c r="G694" s="27" t="s">
        <v>758</v>
      </c>
      <c r="H694" s="27" t="s">
        <v>1406</v>
      </c>
      <c r="I694" s="27" t="s">
        <v>768</v>
      </c>
      <c r="J694" s="27" t="s">
        <v>865</v>
      </c>
      <c r="K694" s="27" t="s">
        <v>377</v>
      </c>
      <c r="L694" s="27"/>
      <c r="M694" s="27"/>
      <c r="N694" s="27"/>
      <c r="O694" s="27"/>
      <c r="P694" s="27"/>
      <c r="Q694" s="27"/>
      <c r="R694" s="27"/>
      <c r="S694" s="27"/>
      <c r="T694" s="27"/>
      <c r="U694" s="27"/>
      <c r="V694" s="27"/>
      <c r="W694" s="27"/>
      <c r="X694" s="27"/>
      <c r="Y694" s="27"/>
      <c r="Z694" s="27"/>
      <c r="AA694" s="29"/>
      <c r="AB694" s="30"/>
      <c r="AC694" s="30"/>
      <c r="AD694" s="30"/>
      <c r="AE694" s="30">
        <f>IF(AND(G694&lt;&gt;"NG w CCUS",G694&lt;&gt;"Oil w CCUS",G694&lt;&gt;"Coal w CCUS"),AB694,AD694*10^3/(HoursInYear*IF(G694="NG w CCUS",0.9105,1.9075)))</f>
        <v>0</v>
      </c>
      <c r="AF694" s="28" t="s">
        <v>2888</v>
      </c>
      <c r="AG694" s="28"/>
    </row>
    <row r="695" spans="1:33" ht="32.25" customHeight="1" x14ac:dyDescent="0.2">
      <c r="A695" s="65">
        <v>1017</v>
      </c>
      <c r="B695" s="27" t="s">
        <v>2910</v>
      </c>
      <c r="C695" s="27" t="s">
        <v>338</v>
      </c>
      <c r="D695" s="27">
        <v>2022</v>
      </c>
      <c r="E695" s="27"/>
      <c r="F695" s="27" t="s">
        <v>916</v>
      </c>
      <c r="G695" s="27" t="s">
        <v>758</v>
      </c>
      <c r="H695" s="27" t="s">
        <v>1406</v>
      </c>
      <c r="I695" s="27" t="s">
        <v>927</v>
      </c>
      <c r="J695" s="27" t="str">
        <f>IF(I695&lt;&gt;"Dedicated renewable","N/A",)</f>
        <v>N/A</v>
      </c>
      <c r="K695" s="27" t="s">
        <v>377</v>
      </c>
      <c r="L695" s="27"/>
      <c r="M695" s="27"/>
      <c r="N695" s="27"/>
      <c r="O695" s="27"/>
      <c r="P695" s="27"/>
      <c r="Q695" s="27"/>
      <c r="R695" s="27"/>
      <c r="S695" s="27"/>
      <c r="T695" s="27"/>
      <c r="U695" s="27"/>
      <c r="V695" s="27"/>
      <c r="W695" s="27"/>
      <c r="X695" s="27"/>
      <c r="Y695" s="27"/>
      <c r="Z695" s="27" t="s">
        <v>2971</v>
      </c>
      <c r="AA695" s="29">
        <f>IF(OR(G695="ALK",G695="PEM",G695="SOEC",G695="Other Electrolysis"),
AB695*VLOOKUP(G695,ElectrolysisConvF,3,FALSE),
"")</f>
        <v>0.22499999999999998</v>
      </c>
      <c r="AB695" s="30">
        <v>50</v>
      </c>
      <c r="AC695" s="30">
        <f>AB695*H2dens*HoursInYear/10^6</f>
        <v>3.8982000000000003E-2</v>
      </c>
      <c r="AD695" s="30"/>
      <c r="AE695" s="30">
        <f>IF(AND(G695&lt;&gt;"NG w CCUS",G695&lt;&gt;"Oil w CCUS",G695&lt;&gt;"Coal w CCUS"),AB695,AD695*10^3/(HoursInYear*IF(G695="NG w CCUS",0.9105,1.9075)))</f>
        <v>50</v>
      </c>
      <c r="AF695" s="28" t="s">
        <v>2997</v>
      </c>
      <c r="AG695" s="28"/>
    </row>
    <row r="696" spans="1:33" ht="32.25" customHeight="1" x14ac:dyDescent="0.2">
      <c r="A696" s="65">
        <v>1018</v>
      </c>
      <c r="B696" s="27" t="s">
        <v>2911</v>
      </c>
      <c r="C696" s="27" t="s">
        <v>2964</v>
      </c>
      <c r="D696" s="27"/>
      <c r="E696" s="27"/>
      <c r="F696" s="27" t="s">
        <v>1336</v>
      </c>
      <c r="G696" s="27" t="s">
        <v>758</v>
      </c>
      <c r="H696" s="27" t="s">
        <v>1406</v>
      </c>
      <c r="I696" s="27" t="s">
        <v>768</v>
      </c>
      <c r="J696" s="27" t="s">
        <v>861</v>
      </c>
      <c r="K696" s="27" t="s">
        <v>377</v>
      </c>
      <c r="L696" s="27"/>
      <c r="M696" s="27"/>
      <c r="N696" s="27"/>
      <c r="O696" s="27"/>
      <c r="P696" s="27"/>
      <c r="Q696" s="27"/>
      <c r="R696" s="27"/>
      <c r="S696" s="27"/>
      <c r="T696" s="27"/>
      <c r="U696" s="27"/>
      <c r="V696" s="27"/>
      <c r="W696" s="27"/>
      <c r="X696" s="27"/>
      <c r="Y696" s="27"/>
      <c r="Z696" s="27" t="s">
        <v>1902</v>
      </c>
      <c r="AA696" s="29">
        <v>50</v>
      </c>
      <c r="AB696" s="30">
        <f>IF(OR(G696="ALK",G696="PEM",G696="SOEC",G696="Other Electrolysis"),
AA696/VLOOKUP(G696,ElectrolysisConvF,3,FALSE),
AC696*10^6/(H2dens*HoursInYear))</f>
        <v>11111.111111111111</v>
      </c>
      <c r="AC696" s="30">
        <f>AB696*H2dens*HoursInYear/10^6</f>
        <v>8.6626666666666665</v>
      </c>
      <c r="AD696" s="30"/>
      <c r="AE696" s="30">
        <f>IF(AND(G696&lt;&gt;"NG w CCUS",G696&lt;&gt;"Oil w CCUS",G696&lt;&gt;"Coal w CCUS"),AB696,AD696*10^3/(HoursInYear*IF(G696="NG w CCUS",0.9105,1.9075)))</f>
        <v>11111.111111111111</v>
      </c>
      <c r="AF696" s="28" t="s">
        <v>2998</v>
      </c>
      <c r="AG696" s="28"/>
    </row>
    <row r="697" spans="1:33" ht="32.25" customHeight="1" x14ac:dyDescent="0.2">
      <c r="A697" s="65">
        <v>1019</v>
      </c>
      <c r="B697" s="27" t="s">
        <v>2912</v>
      </c>
      <c r="C697" s="27" t="s">
        <v>2964</v>
      </c>
      <c r="D697" s="27"/>
      <c r="E697" s="27"/>
      <c r="F697" s="27" t="s">
        <v>1336</v>
      </c>
      <c r="G697" s="27" t="s">
        <v>758</v>
      </c>
      <c r="H697" s="27" t="s">
        <v>1406</v>
      </c>
      <c r="I697" s="27" t="s">
        <v>768</v>
      </c>
      <c r="J697" s="27" t="s">
        <v>861</v>
      </c>
      <c r="K697" s="27" t="s">
        <v>377</v>
      </c>
      <c r="L697" s="27"/>
      <c r="M697" s="27"/>
      <c r="N697" s="27"/>
      <c r="O697" s="27"/>
      <c r="P697" s="27"/>
      <c r="Q697" s="27"/>
      <c r="R697" s="27"/>
      <c r="S697" s="27"/>
      <c r="T697" s="27"/>
      <c r="U697" s="27"/>
      <c r="V697" s="27"/>
      <c r="W697" s="27"/>
      <c r="X697" s="27"/>
      <c r="Y697" s="27"/>
      <c r="Z697" s="27" t="s">
        <v>1902</v>
      </c>
      <c r="AA697" s="29">
        <v>50</v>
      </c>
      <c r="AB697" s="30">
        <f>IF(OR(G697="ALK",G697="PEM",G697="SOEC",G697="Other Electrolysis"),
AA697/VLOOKUP(G697,ElectrolysisConvF,3,FALSE),
AC697*10^6/(H2dens*HoursInYear))</f>
        <v>11111.111111111111</v>
      </c>
      <c r="AC697" s="30">
        <f>AB697*H2dens*HoursInYear/10^6</f>
        <v>8.6626666666666665</v>
      </c>
      <c r="AD697" s="30"/>
      <c r="AE697" s="30">
        <f>IF(AND(G697&lt;&gt;"NG w CCUS",G697&lt;&gt;"Oil w CCUS",G697&lt;&gt;"Coal w CCUS"),AB697,AD697*10^3/(HoursInYear*IF(G697="NG w CCUS",0.9105,1.9075)))</f>
        <v>11111.111111111111</v>
      </c>
      <c r="AF697" s="28" t="s">
        <v>2998</v>
      </c>
      <c r="AG697" s="28"/>
    </row>
    <row r="698" spans="1:33" ht="32.25" customHeight="1" x14ac:dyDescent="0.2">
      <c r="A698" s="65">
        <v>1020</v>
      </c>
      <c r="B698" s="27" t="s">
        <v>2913</v>
      </c>
      <c r="C698" s="27" t="s">
        <v>2964</v>
      </c>
      <c r="D698" s="27"/>
      <c r="E698" s="27"/>
      <c r="F698" s="27" t="s">
        <v>1336</v>
      </c>
      <c r="G698" s="27" t="s">
        <v>758</v>
      </c>
      <c r="H698" s="27" t="s">
        <v>1406</v>
      </c>
      <c r="I698" s="27" t="s">
        <v>768</v>
      </c>
      <c r="J698" s="27" t="s">
        <v>862</v>
      </c>
      <c r="K698" s="27" t="s">
        <v>377</v>
      </c>
      <c r="L698" s="27"/>
      <c r="M698" s="27"/>
      <c r="N698" s="27"/>
      <c r="O698" s="27"/>
      <c r="P698" s="27"/>
      <c r="Q698" s="27"/>
      <c r="R698" s="27"/>
      <c r="S698" s="27"/>
      <c r="T698" s="27"/>
      <c r="U698" s="27"/>
      <c r="V698" s="27"/>
      <c r="W698" s="27"/>
      <c r="X698" s="27"/>
      <c r="Y698" s="27"/>
      <c r="Z698" s="27" t="s">
        <v>1407</v>
      </c>
      <c r="AA698" s="29">
        <v>10</v>
      </c>
      <c r="AB698" s="30">
        <f>IF(OR(G698="ALK",G698="PEM",G698="SOEC",G698="Other Electrolysis"),
AA698/VLOOKUP(G698,ElectrolysisConvF,3,FALSE),
AC698*10^6/(H2dens*HoursInYear))</f>
        <v>2222.2222222222222</v>
      </c>
      <c r="AC698" s="30">
        <f>AB698*H2dens*HoursInYear/10^6</f>
        <v>1.7325333333333333</v>
      </c>
      <c r="AD698" s="30"/>
      <c r="AE698" s="30">
        <f>IF(AND(G698&lt;&gt;"NG w CCUS",G698&lt;&gt;"Oil w CCUS",G698&lt;&gt;"Coal w CCUS"),AB698,AD698*10^3/(HoursInYear*IF(G698="NG w CCUS",0.9105,1.9075)))</f>
        <v>2222.2222222222222</v>
      </c>
      <c r="AF698" s="28" t="s">
        <v>2999</v>
      </c>
      <c r="AG698" s="28"/>
    </row>
    <row r="699" spans="1:33" ht="32.25" customHeight="1" x14ac:dyDescent="0.2">
      <c r="A699" s="65">
        <v>1021</v>
      </c>
      <c r="B699" s="27" t="s">
        <v>2914</v>
      </c>
      <c r="C699" s="27" t="s">
        <v>338</v>
      </c>
      <c r="D699" s="27"/>
      <c r="E699" s="27"/>
      <c r="F699" s="27" t="s">
        <v>753</v>
      </c>
      <c r="G699" s="27" t="s">
        <v>758</v>
      </c>
      <c r="H699" s="27" t="s">
        <v>1406</v>
      </c>
      <c r="I699" s="27" t="s">
        <v>768</v>
      </c>
      <c r="J699" s="27" t="s">
        <v>861</v>
      </c>
      <c r="K699" s="27" t="s">
        <v>377</v>
      </c>
      <c r="L699" s="27"/>
      <c r="M699" s="27"/>
      <c r="N699" s="27"/>
      <c r="O699" s="27"/>
      <c r="P699" s="27"/>
      <c r="Q699" s="27"/>
      <c r="R699" s="27"/>
      <c r="S699" s="27"/>
      <c r="T699" s="27"/>
      <c r="U699" s="27"/>
      <c r="V699" s="27"/>
      <c r="W699" s="27"/>
      <c r="X699" s="27"/>
      <c r="Y699" s="27"/>
      <c r="Z699" s="27" t="s">
        <v>1902</v>
      </c>
      <c r="AA699" s="29">
        <v>40</v>
      </c>
      <c r="AB699" s="30">
        <f>IF(OR(G699="ALK",G699="PEM",G699="SOEC",G699="Other Electrolysis"),
AA699/VLOOKUP(G699,ElectrolysisConvF,3,FALSE),
AC699*10^6/(H2dens*HoursInYear))</f>
        <v>8888.8888888888887</v>
      </c>
      <c r="AC699" s="30">
        <f>AB699*H2dens*HoursInYear/10^6</f>
        <v>6.930133333333333</v>
      </c>
      <c r="AD699" s="30"/>
      <c r="AE699" s="30">
        <f>IF(AND(G699&lt;&gt;"NG w CCUS",G699&lt;&gt;"Oil w CCUS",G699&lt;&gt;"Coal w CCUS"),AB699,AD699*10^3/(HoursInYear*IF(G699="NG w CCUS",0.9105,1.9075)))</f>
        <v>8888.8888888888887</v>
      </c>
      <c r="AF699" s="28" t="s">
        <v>2894</v>
      </c>
      <c r="AG699" s="28"/>
    </row>
    <row r="700" spans="1:33" ht="32.25" customHeight="1" x14ac:dyDescent="0.2">
      <c r="A700" s="65">
        <v>1022</v>
      </c>
      <c r="B700" s="27" t="s">
        <v>2915</v>
      </c>
      <c r="C700" s="27" t="s">
        <v>341</v>
      </c>
      <c r="D700" s="27">
        <v>2022</v>
      </c>
      <c r="E700" s="27"/>
      <c r="F700" s="27" t="s">
        <v>754</v>
      </c>
      <c r="G700" s="27" t="s">
        <v>266</v>
      </c>
      <c r="H700" s="27"/>
      <c r="I700" s="27" t="s">
        <v>768</v>
      </c>
      <c r="J700" s="27" t="s">
        <v>865</v>
      </c>
      <c r="K700" s="27" t="s">
        <v>377</v>
      </c>
      <c r="L700" s="27"/>
      <c r="M700" s="27"/>
      <c r="N700" s="27"/>
      <c r="O700" s="27"/>
      <c r="P700" s="27">
        <v>1</v>
      </c>
      <c r="Q700" s="27"/>
      <c r="R700" s="27"/>
      <c r="S700" s="27"/>
      <c r="T700" s="27"/>
      <c r="U700" s="27"/>
      <c r="V700" s="27"/>
      <c r="W700" s="27"/>
      <c r="X700" s="27"/>
      <c r="Y700" s="27"/>
      <c r="Z700" s="27"/>
      <c r="AA700" s="29"/>
      <c r="AB700" s="30"/>
      <c r="AC700" s="30"/>
      <c r="AD700" s="30"/>
      <c r="AE700" s="30">
        <f>IF(AND(G700&lt;&gt;"NG w CCUS",G700&lt;&gt;"Oil w CCUS",G700&lt;&gt;"Coal w CCUS"),AB700,AD700*10^3/(HoursInYear*IF(G700="NG w CCUS",0.9105,1.9075)))</f>
        <v>0</v>
      </c>
      <c r="AF700" s="28" t="s">
        <v>3000</v>
      </c>
      <c r="AG700" s="28"/>
    </row>
    <row r="701" spans="1:33" ht="32.25" customHeight="1" x14ac:dyDescent="0.2">
      <c r="A701" s="65">
        <v>1023</v>
      </c>
      <c r="B701" s="27" t="s">
        <v>2916</v>
      </c>
      <c r="C701" s="27" t="s">
        <v>341</v>
      </c>
      <c r="D701" s="27">
        <v>2025</v>
      </c>
      <c r="E701" s="27"/>
      <c r="F701" s="27" t="s">
        <v>754</v>
      </c>
      <c r="G701" s="27" t="s">
        <v>758</v>
      </c>
      <c r="H701" s="27" t="s">
        <v>2966</v>
      </c>
      <c r="I701" s="27" t="s">
        <v>768</v>
      </c>
      <c r="J701" s="27" t="s">
        <v>865</v>
      </c>
      <c r="K701" s="27" t="s">
        <v>377</v>
      </c>
      <c r="L701" s="27"/>
      <c r="M701" s="27"/>
      <c r="N701" s="27"/>
      <c r="O701" s="27"/>
      <c r="P701" s="27"/>
      <c r="Q701" s="27">
        <v>1</v>
      </c>
      <c r="R701" s="27">
        <v>1</v>
      </c>
      <c r="S701" s="27">
        <v>1</v>
      </c>
      <c r="T701" s="27"/>
      <c r="U701" s="27"/>
      <c r="V701" s="27"/>
      <c r="W701" s="27"/>
      <c r="X701" s="27"/>
      <c r="Y701" s="27"/>
      <c r="Z701" s="27" t="s">
        <v>2972</v>
      </c>
      <c r="AA701" s="29">
        <f>IF(OR(G701="ALK",G701="PEM",G701="SOEC",G701="Other Electrolysis"),
AB701*VLOOKUP(G701,ElectrolysisConvF,3,FALSE),
"")</f>
        <v>21.067415730337078</v>
      </c>
      <c r="AB701" s="30">
        <f>AC701/(H2dens*HoursInYear/10^6)</f>
        <v>4681.6479400749067</v>
      </c>
      <c r="AC701" s="30">
        <f>10*365/1000</f>
        <v>3.65</v>
      </c>
      <c r="AD701" s="30"/>
      <c r="AE701" s="30">
        <f>IF(AND(G701&lt;&gt;"NG w CCUS",G701&lt;&gt;"Oil w CCUS",G701&lt;&gt;"Coal w CCUS"),AB701,AD701*10^3/(HoursInYear*IF(G701="NG w CCUS",0.9105,1.9075)))</f>
        <v>4681.6479400749067</v>
      </c>
      <c r="AF701" s="28" t="s">
        <v>3001</v>
      </c>
      <c r="AG701" s="28"/>
    </row>
    <row r="702" spans="1:33" ht="32.25" customHeight="1" x14ac:dyDescent="0.2">
      <c r="A702" s="65">
        <v>1024</v>
      </c>
      <c r="B702" s="27" t="s">
        <v>2917</v>
      </c>
      <c r="C702" s="27" t="s">
        <v>341</v>
      </c>
      <c r="D702" s="27">
        <v>2030</v>
      </c>
      <c r="E702" s="27"/>
      <c r="F702" s="27" t="s">
        <v>1336</v>
      </c>
      <c r="G702" s="27" t="s">
        <v>758</v>
      </c>
      <c r="H702" s="27" t="s">
        <v>1406</v>
      </c>
      <c r="I702" s="27" t="s">
        <v>768</v>
      </c>
      <c r="J702" s="27" t="s">
        <v>865</v>
      </c>
      <c r="K702" s="27" t="s">
        <v>766</v>
      </c>
      <c r="L702" s="27"/>
      <c r="M702" s="27"/>
      <c r="N702" s="27"/>
      <c r="O702" s="27"/>
      <c r="P702" s="27"/>
      <c r="Q702" s="27"/>
      <c r="R702" s="27"/>
      <c r="S702" s="27"/>
      <c r="T702" s="27"/>
      <c r="U702" s="27"/>
      <c r="V702" s="27"/>
      <c r="W702" s="27">
        <v>1</v>
      </c>
      <c r="X702" s="27"/>
      <c r="Y702" s="27"/>
      <c r="Z702" s="27"/>
      <c r="AA702" s="29"/>
      <c r="AB702" s="30"/>
      <c r="AC702" s="30"/>
      <c r="AD702" s="30"/>
      <c r="AE702" s="30">
        <f>IF(AND(G702&lt;&gt;"NG w CCUS",G702&lt;&gt;"Oil w CCUS",G702&lt;&gt;"Coal w CCUS"),AB702,AD702*10^3/(HoursInYear*IF(G702="NG w CCUS",0.9105,1.9075)))</f>
        <v>0</v>
      </c>
      <c r="AF702" s="28" t="s">
        <v>3002</v>
      </c>
      <c r="AG702" s="28"/>
    </row>
    <row r="703" spans="1:33" ht="32.25" customHeight="1" x14ac:dyDescent="0.2">
      <c r="A703" s="65">
        <v>1025</v>
      </c>
      <c r="B703" s="27" t="s">
        <v>2918</v>
      </c>
      <c r="C703" s="27" t="s">
        <v>341</v>
      </c>
      <c r="D703" s="27"/>
      <c r="E703" s="27"/>
      <c r="F703" s="27" t="s">
        <v>1336</v>
      </c>
      <c r="G703" s="27" t="s">
        <v>758</v>
      </c>
      <c r="H703" s="27" t="s">
        <v>1406</v>
      </c>
      <c r="I703" s="27" t="s">
        <v>768</v>
      </c>
      <c r="J703" s="27" t="s">
        <v>378</v>
      </c>
      <c r="K703" s="27" t="s">
        <v>377</v>
      </c>
      <c r="L703" s="27"/>
      <c r="M703" s="27"/>
      <c r="N703" s="27"/>
      <c r="O703" s="27"/>
      <c r="P703" s="27"/>
      <c r="Q703" s="27"/>
      <c r="R703" s="27"/>
      <c r="S703" s="27">
        <v>1</v>
      </c>
      <c r="T703" s="27"/>
      <c r="U703" s="27"/>
      <c r="V703" s="27"/>
      <c r="W703" s="27"/>
      <c r="X703" s="27"/>
      <c r="Y703" s="27"/>
      <c r="Z703" s="27" t="s">
        <v>1902</v>
      </c>
      <c r="AA703" s="29">
        <v>50</v>
      </c>
      <c r="AB703" s="30">
        <f>IF(OR(G703="ALK",G703="PEM",G703="SOEC",G703="Other Electrolysis"),
AA703/VLOOKUP(G703,ElectrolysisConvF,3,FALSE),
AC703*10^6/(H2dens*HoursInYear))</f>
        <v>11111.111111111111</v>
      </c>
      <c r="AC703" s="30">
        <f>AB703*H2dens*HoursInYear/10^6</f>
        <v>8.6626666666666665</v>
      </c>
      <c r="AD703" s="30"/>
      <c r="AE703" s="30">
        <f>IF(AND(G703&lt;&gt;"NG w CCUS",G703&lt;&gt;"Oil w CCUS",G703&lt;&gt;"Coal w CCUS"),AB703,AD703*10^3/(HoursInYear*IF(G703="NG w CCUS",0.9105,1.9075)))</f>
        <v>11111.111111111111</v>
      </c>
      <c r="AF703" s="28" t="s">
        <v>3003</v>
      </c>
      <c r="AG703" s="28"/>
    </row>
    <row r="704" spans="1:33" ht="32.25" customHeight="1" x14ac:dyDescent="0.2">
      <c r="A704" s="65">
        <v>1026</v>
      </c>
      <c r="B704" s="27" t="s">
        <v>2919</v>
      </c>
      <c r="C704" s="27" t="s">
        <v>970</v>
      </c>
      <c r="D704" s="27"/>
      <c r="E704" s="27"/>
      <c r="F704" s="27" t="s">
        <v>1336</v>
      </c>
      <c r="G704" s="27" t="s">
        <v>758</v>
      </c>
      <c r="H704" s="27" t="s">
        <v>1406</v>
      </c>
      <c r="I704" s="27" t="s">
        <v>768</v>
      </c>
      <c r="J704" s="27" t="s">
        <v>378</v>
      </c>
      <c r="K704" s="27" t="s">
        <v>377</v>
      </c>
      <c r="L704" s="27"/>
      <c r="M704" s="27"/>
      <c r="N704" s="27"/>
      <c r="O704" s="27"/>
      <c r="P704" s="27"/>
      <c r="Q704" s="27"/>
      <c r="R704" s="27"/>
      <c r="S704" s="27"/>
      <c r="T704" s="27"/>
      <c r="U704" s="27"/>
      <c r="V704" s="27"/>
      <c r="W704" s="27"/>
      <c r="X704" s="27"/>
      <c r="Y704" s="27"/>
      <c r="Z704" s="27"/>
      <c r="AA704" s="29"/>
      <c r="AB704" s="30"/>
      <c r="AC704" s="30"/>
      <c r="AD704" s="30"/>
      <c r="AE704" s="30">
        <f>IF(AND(G704&lt;&gt;"NG w CCUS",G704&lt;&gt;"Oil w CCUS",G704&lt;&gt;"Coal w CCUS"),AB704,AD704*10^3/(HoursInYear*IF(G704="NG w CCUS",0.9105,1.9075)))</f>
        <v>0</v>
      </c>
      <c r="AF704" s="28" t="s">
        <v>3004</v>
      </c>
      <c r="AG704" s="28"/>
    </row>
    <row r="705" spans="1:33" ht="32.25" customHeight="1" x14ac:dyDescent="0.2">
      <c r="A705" s="65">
        <v>1027</v>
      </c>
      <c r="B705" s="27" t="s">
        <v>2920</v>
      </c>
      <c r="C705" s="27" t="s">
        <v>362</v>
      </c>
      <c r="D705" s="27">
        <v>2022</v>
      </c>
      <c r="E705" s="27"/>
      <c r="F705" s="27" t="s">
        <v>754</v>
      </c>
      <c r="G705" s="27" t="s">
        <v>266</v>
      </c>
      <c r="H705" s="27"/>
      <c r="I705" s="27" t="s">
        <v>768</v>
      </c>
      <c r="J705" s="27" t="s">
        <v>865</v>
      </c>
      <c r="K705" s="27" t="s">
        <v>377</v>
      </c>
      <c r="L705" s="27"/>
      <c r="M705" s="27"/>
      <c r="N705" s="27"/>
      <c r="O705" s="27"/>
      <c r="P705" s="27"/>
      <c r="Q705" s="27">
        <v>1</v>
      </c>
      <c r="R705" s="27"/>
      <c r="S705" s="27"/>
      <c r="T705" s="27"/>
      <c r="U705" s="27"/>
      <c r="V705" s="27"/>
      <c r="W705" s="27"/>
      <c r="X705" s="27"/>
      <c r="Y705" s="27"/>
      <c r="Z705" s="27" t="s">
        <v>1412</v>
      </c>
      <c r="AA705" s="29">
        <v>2.5</v>
      </c>
      <c r="AB705" s="30">
        <f>IF(OR(G705="ALK",G705="PEM",G705="SOEC",G705="Other Electrolysis"),
AA705/VLOOKUP(G705,ElectrolysisConvF,3,FALSE),
AC705*10^6/(H2dens*HoursInYear))</f>
        <v>480.76923076923077</v>
      </c>
      <c r="AC705" s="30">
        <f>AB705*H2dens*HoursInYear/10^6</f>
        <v>0.37482692307692306</v>
      </c>
      <c r="AD705" s="30"/>
      <c r="AE705" s="30">
        <f>IF(AND(G705&lt;&gt;"NG w CCUS",G705&lt;&gt;"Oil w CCUS",G705&lt;&gt;"Coal w CCUS"),AB705,AD705*10^3/(HoursInYear*IF(G705="NG w CCUS",0.9105,1.9075)))</f>
        <v>480.76923076923077</v>
      </c>
      <c r="AF705" s="28" t="s">
        <v>3340</v>
      </c>
      <c r="AG705" s="28"/>
    </row>
    <row r="706" spans="1:33" ht="32.25" customHeight="1" x14ac:dyDescent="0.2">
      <c r="A706" s="65">
        <v>1028</v>
      </c>
      <c r="B706" s="27" t="s">
        <v>2921</v>
      </c>
      <c r="C706" s="27" t="s">
        <v>360</v>
      </c>
      <c r="D706" s="27">
        <v>2023</v>
      </c>
      <c r="E706" s="27"/>
      <c r="F706" s="27" t="s">
        <v>832</v>
      </c>
      <c r="G706" s="27" t="s">
        <v>758</v>
      </c>
      <c r="H706" s="27" t="s">
        <v>1406</v>
      </c>
      <c r="I706" s="27" t="s">
        <v>756</v>
      </c>
      <c r="J706" s="27"/>
      <c r="K706" s="27" t="s">
        <v>739</v>
      </c>
      <c r="L706" s="27"/>
      <c r="M706" s="27">
        <v>1</v>
      </c>
      <c r="N706" s="27"/>
      <c r="O706" s="27"/>
      <c r="P706" s="27"/>
      <c r="Q706" s="27"/>
      <c r="R706" s="27"/>
      <c r="S706" s="27"/>
      <c r="T706" s="27"/>
      <c r="U706" s="27"/>
      <c r="V706" s="27"/>
      <c r="W706" s="27"/>
      <c r="X706" s="27"/>
      <c r="Y706" s="27"/>
      <c r="Z706" s="27"/>
      <c r="AA706" s="29"/>
      <c r="AB706" s="30"/>
      <c r="AC706" s="30"/>
      <c r="AD706" s="30"/>
      <c r="AE706" s="30">
        <f>IF(AND(G706&lt;&gt;"NG w CCUS",G706&lt;&gt;"Oil w CCUS",G706&lt;&gt;"Coal w CCUS"),AB706,AD706*10^3/(HoursInYear*IF(G706="NG w CCUS",0.9105,1.9075)))</f>
        <v>0</v>
      </c>
      <c r="AF706" s="28" t="s">
        <v>3005</v>
      </c>
      <c r="AG706" s="28"/>
    </row>
    <row r="707" spans="1:33" ht="32.25" customHeight="1" x14ac:dyDescent="0.2">
      <c r="A707" s="65">
        <v>1029</v>
      </c>
      <c r="B707" s="27" t="s">
        <v>2922</v>
      </c>
      <c r="C707" s="27" t="s">
        <v>356</v>
      </c>
      <c r="D707" s="27">
        <v>2022</v>
      </c>
      <c r="E707" s="27"/>
      <c r="F707" s="27" t="s">
        <v>753</v>
      </c>
      <c r="G707" s="27" t="s">
        <v>758</v>
      </c>
      <c r="H707" s="27" t="s">
        <v>1406</v>
      </c>
      <c r="I707" s="27" t="s">
        <v>768</v>
      </c>
      <c r="J707" s="27" t="s">
        <v>864</v>
      </c>
      <c r="K707" s="27" t="s">
        <v>377</v>
      </c>
      <c r="L707" s="27"/>
      <c r="M707" s="27"/>
      <c r="N707" s="27"/>
      <c r="O707" s="27"/>
      <c r="P707" s="27"/>
      <c r="Q707" s="27">
        <v>1</v>
      </c>
      <c r="R707" s="27"/>
      <c r="S707" s="27"/>
      <c r="T707" s="27"/>
      <c r="U707" s="27"/>
      <c r="V707" s="27"/>
      <c r="W707" s="27"/>
      <c r="X707" s="27"/>
      <c r="Y707" s="27"/>
      <c r="Z707" s="27" t="s">
        <v>1412</v>
      </c>
      <c r="AA707" s="29">
        <v>2.5</v>
      </c>
      <c r="AB707" s="30">
        <f>IF(OR(G707="ALK",G707="PEM",G707="SOEC",G707="Other Electrolysis"),
AA707/VLOOKUP(G707,ElectrolysisConvF,3,FALSE),
AC707*10^6/(H2dens*HoursInYear))</f>
        <v>555.55555555555554</v>
      </c>
      <c r="AC707" s="30">
        <f>AB707*H2dens*HoursInYear/10^6</f>
        <v>0.43313333333333331</v>
      </c>
      <c r="AD707" s="30"/>
      <c r="AE707" s="30">
        <f>IF(AND(G707&lt;&gt;"NG w CCUS",G707&lt;&gt;"Oil w CCUS",G707&lt;&gt;"Coal w CCUS"),AB707,AD707*10^3/(HoursInYear*IF(G707="NG w CCUS",0.9105,1.9075)))</f>
        <v>555.55555555555554</v>
      </c>
      <c r="AF707" s="28"/>
      <c r="AG707" s="28"/>
    </row>
    <row r="708" spans="1:33" ht="32.25" customHeight="1" x14ac:dyDescent="0.2">
      <c r="A708" s="65">
        <v>1030</v>
      </c>
      <c r="B708" s="27" t="s">
        <v>2923</v>
      </c>
      <c r="C708" s="27" t="s">
        <v>858</v>
      </c>
      <c r="D708" s="27">
        <v>2019</v>
      </c>
      <c r="E708" s="27"/>
      <c r="F708" s="27" t="s">
        <v>836</v>
      </c>
      <c r="G708" s="27" t="s">
        <v>758</v>
      </c>
      <c r="H708" s="27" t="s">
        <v>1406</v>
      </c>
      <c r="I708" s="27" t="s">
        <v>768</v>
      </c>
      <c r="J708" s="27" t="s">
        <v>861</v>
      </c>
      <c r="K708" s="27" t="s">
        <v>377</v>
      </c>
      <c r="L708" s="27"/>
      <c r="M708" s="27"/>
      <c r="N708" s="27"/>
      <c r="O708" s="27"/>
      <c r="P708" s="27">
        <v>1</v>
      </c>
      <c r="Q708" s="27"/>
      <c r="R708" s="27"/>
      <c r="S708" s="27"/>
      <c r="T708" s="27"/>
      <c r="U708" s="27"/>
      <c r="V708" s="27"/>
      <c r="W708" s="27"/>
      <c r="X708" s="27"/>
      <c r="Y708" s="27"/>
      <c r="Z708" s="27" t="s">
        <v>1526</v>
      </c>
      <c r="AA708" s="29">
        <v>0.15</v>
      </c>
      <c r="AB708" s="30">
        <f>IF(OR(G708="ALK",G708="PEM",G708="SOEC",G708="Other Electrolysis"),
AA708/VLOOKUP(G708,ElectrolysisConvF,3,FALSE),
AC708*10^6/(H2dens*HoursInYear))</f>
        <v>33.333333333333336</v>
      </c>
      <c r="AC708" s="30">
        <f>AB708*H2dens*HoursInYear/10^6</f>
        <v>2.5988000000000001E-2</v>
      </c>
      <c r="AD708" s="30"/>
      <c r="AE708" s="30">
        <f>IF(AND(G708&lt;&gt;"NG w CCUS",G708&lt;&gt;"Oil w CCUS",G708&lt;&gt;"Coal w CCUS"),AB708,AD708*10^3/(HoursInYear*IF(G708="NG w CCUS",0.9105,1.9075)))</f>
        <v>33.333333333333336</v>
      </c>
      <c r="AF708" s="28" t="s">
        <v>3006</v>
      </c>
      <c r="AG708" s="28"/>
    </row>
    <row r="709" spans="1:33" ht="32.25" customHeight="1" x14ac:dyDescent="0.2">
      <c r="A709" s="65">
        <v>1031</v>
      </c>
      <c r="B709" s="27" t="s">
        <v>2924</v>
      </c>
      <c r="C709" s="27" t="s">
        <v>968</v>
      </c>
      <c r="D709" s="27">
        <v>2021</v>
      </c>
      <c r="E709" s="27"/>
      <c r="F709" s="27" t="s">
        <v>754</v>
      </c>
      <c r="G709" s="27" t="s">
        <v>758</v>
      </c>
      <c r="H709" s="27" t="s">
        <v>1406</v>
      </c>
      <c r="I709" s="27" t="s">
        <v>866</v>
      </c>
      <c r="J709" s="27" t="str">
        <f>IF(I709&lt;&gt;"Dedicated renewable","N/A",)</f>
        <v>N/A</v>
      </c>
      <c r="K709" s="27" t="s">
        <v>377</v>
      </c>
      <c r="L709" s="27"/>
      <c r="M709" s="27"/>
      <c r="N709" s="27"/>
      <c r="O709" s="27"/>
      <c r="P709" s="27"/>
      <c r="Q709" s="27"/>
      <c r="R709" s="27"/>
      <c r="S709" s="27"/>
      <c r="T709" s="27"/>
      <c r="U709" s="27"/>
      <c r="V709" s="27"/>
      <c r="W709" s="27"/>
      <c r="X709" s="27"/>
      <c r="Y709" s="27"/>
      <c r="Z709" s="27" t="s">
        <v>2731</v>
      </c>
      <c r="AA709" s="29">
        <v>0.7</v>
      </c>
      <c r="AB709" s="30">
        <f>IF(OR(G709="ALK",G709="PEM",G709="SOEC",G709="Other Electrolysis"),
AA709/VLOOKUP(G709,ElectrolysisConvF,3,FALSE),
AC709*10^6/(H2dens*HoursInYear))</f>
        <v>155.55555555555557</v>
      </c>
      <c r="AC709" s="30">
        <f>AB709*H2dens*HoursInYear/10^6</f>
        <v>0.12127733333333335</v>
      </c>
      <c r="AD709" s="30"/>
      <c r="AE709" s="30">
        <f>IF(AND(G709&lt;&gt;"NG w CCUS",G709&lt;&gt;"Oil w CCUS",G709&lt;&gt;"Coal w CCUS"),AB709,AD709*10^3/(HoursInYear*IF(G709="NG w CCUS",0.9105,1.9075)))</f>
        <v>155.55555555555557</v>
      </c>
      <c r="AF709" s="28" t="s">
        <v>3007</v>
      </c>
      <c r="AG709" s="28"/>
    </row>
    <row r="710" spans="1:33" ht="32.25" customHeight="1" x14ac:dyDescent="0.2">
      <c r="A710" s="65">
        <v>1032</v>
      </c>
      <c r="B710" s="27" t="s">
        <v>2925</v>
      </c>
      <c r="C710" s="27" t="s">
        <v>968</v>
      </c>
      <c r="D710" s="27"/>
      <c r="E710" s="27"/>
      <c r="F710" s="27" t="s">
        <v>832</v>
      </c>
      <c r="G710" s="27" t="s">
        <v>758</v>
      </c>
      <c r="H710" s="27" t="s">
        <v>1406</v>
      </c>
      <c r="I710" s="27" t="s">
        <v>866</v>
      </c>
      <c r="J710" s="27" t="str">
        <f>IF(I710&lt;&gt;"Dedicated renewable","N/A",)</f>
        <v>N/A</v>
      </c>
      <c r="K710" s="27" t="s">
        <v>377</v>
      </c>
      <c r="L710" s="27"/>
      <c r="M710" s="27"/>
      <c r="N710" s="27"/>
      <c r="O710" s="27"/>
      <c r="P710" s="27"/>
      <c r="Q710" s="27"/>
      <c r="R710" s="27"/>
      <c r="S710" s="27"/>
      <c r="T710" s="27"/>
      <c r="U710" s="27"/>
      <c r="V710" s="27"/>
      <c r="W710" s="27"/>
      <c r="X710" s="27"/>
      <c r="Y710" s="27"/>
      <c r="Z710" s="27"/>
      <c r="AA710" s="29"/>
      <c r="AB710" s="30"/>
      <c r="AC710" s="30"/>
      <c r="AD710" s="30"/>
      <c r="AE710" s="30">
        <f>IF(AND(G710&lt;&gt;"NG w CCUS",G710&lt;&gt;"Oil w CCUS",G710&lt;&gt;"Coal w CCUS"),AB710,AD710*10^3/(HoursInYear*IF(G710="NG w CCUS",0.9105,1.9075)))</f>
        <v>0</v>
      </c>
      <c r="AF710" s="28" t="s">
        <v>3007</v>
      </c>
      <c r="AG710" s="28"/>
    </row>
    <row r="711" spans="1:33" ht="32.25" customHeight="1" x14ac:dyDescent="0.2">
      <c r="A711" s="65">
        <v>1033</v>
      </c>
      <c r="B711" s="27" t="s">
        <v>2926</v>
      </c>
      <c r="C711" s="27" t="s">
        <v>968</v>
      </c>
      <c r="D711" s="27">
        <v>2023</v>
      </c>
      <c r="E711" s="27"/>
      <c r="F711" s="27" t="s">
        <v>832</v>
      </c>
      <c r="G711" s="27" t="s">
        <v>758</v>
      </c>
      <c r="H711" s="27" t="s">
        <v>1406</v>
      </c>
      <c r="I711" s="27" t="s">
        <v>768</v>
      </c>
      <c r="J711" s="27" t="s">
        <v>378</v>
      </c>
      <c r="K711" s="27" t="s">
        <v>396</v>
      </c>
      <c r="L711" s="27"/>
      <c r="M711" s="27"/>
      <c r="N711" s="27"/>
      <c r="O711" s="27"/>
      <c r="P711" s="27"/>
      <c r="Q711" s="27"/>
      <c r="R711" s="27"/>
      <c r="S711" s="27"/>
      <c r="T711" s="27"/>
      <c r="U711" s="27"/>
      <c r="V711" s="27"/>
      <c r="W711" s="27"/>
      <c r="X711" s="27"/>
      <c r="Y711" s="27"/>
      <c r="Z711" s="27" t="s">
        <v>2973</v>
      </c>
      <c r="AA711" s="29">
        <f>IF(OR(G711="ALK",G711="PEM",G711="SOEC",G711="Other Electrolysis"),
AB711*VLOOKUP(G711,ElectrolysisConvF,3,FALSE),
"")</f>
        <v>0.44999999999999996</v>
      </c>
      <c r="AB711" s="30">
        <v>100</v>
      </c>
      <c r="AC711" s="30">
        <f>AB711*H2dens*HoursInYear/10^6</f>
        <v>7.7964000000000006E-2</v>
      </c>
      <c r="AD711" s="30"/>
      <c r="AE711" s="30">
        <f>IF(AND(G711&lt;&gt;"NG w CCUS",G711&lt;&gt;"Oil w CCUS",G711&lt;&gt;"Coal w CCUS"),AB711,AD711*10^3/(HoursInYear*IF(G711="NG w CCUS",0.9105,1.9075)))</f>
        <v>100</v>
      </c>
      <c r="AF711" s="28" t="s">
        <v>3008</v>
      </c>
      <c r="AG711" s="28"/>
    </row>
    <row r="712" spans="1:33" ht="32.25" customHeight="1" x14ac:dyDescent="0.2">
      <c r="A712" s="65">
        <v>1034</v>
      </c>
      <c r="B712" s="27" t="s">
        <v>2927</v>
      </c>
      <c r="C712" s="27" t="s">
        <v>804</v>
      </c>
      <c r="D712" s="27"/>
      <c r="E712" s="27"/>
      <c r="F712" s="27" t="s">
        <v>1336</v>
      </c>
      <c r="G712" s="27" t="s">
        <v>758</v>
      </c>
      <c r="H712" s="27" t="s">
        <v>1406</v>
      </c>
      <c r="I712" s="27" t="s">
        <v>911</v>
      </c>
      <c r="J712" s="27"/>
      <c r="K712" s="27" t="s">
        <v>377</v>
      </c>
      <c r="L712" s="27">
        <v>1</v>
      </c>
      <c r="M712" s="27"/>
      <c r="N712" s="27"/>
      <c r="O712" s="27"/>
      <c r="P712" s="27"/>
      <c r="Q712" s="27"/>
      <c r="R712" s="27"/>
      <c r="S712" s="27"/>
      <c r="T712" s="27"/>
      <c r="U712" s="27"/>
      <c r="V712" s="27"/>
      <c r="W712" s="27">
        <v>1</v>
      </c>
      <c r="X712" s="27"/>
      <c r="Y712" s="27"/>
      <c r="Z712" s="27" t="s">
        <v>2568</v>
      </c>
      <c r="AA712" s="29">
        <v>450</v>
      </c>
      <c r="AB712" s="30">
        <f>AA712/0.0045</f>
        <v>100000.00000000001</v>
      </c>
      <c r="AC712" s="30">
        <f>AB712*0.089*24*365/10^6</f>
        <v>77.963999999999999</v>
      </c>
      <c r="AD712" s="30"/>
      <c r="AE712" s="30">
        <f>IF(AND(G712&lt;&gt;"NG w CCUS",G712&lt;&gt;"Oil w CCUS",G712&lt;&gt;"Coal w CCUS"),AB712,AD712*10^3/(HoursInYear*IF(G712="NG w CCUS",0.9105,1.9075)))</f>
        <v>100000.00000000001</v>
      </c>
      <c r="AF712" s="28" t="s">
        <v>2103</v>
      </c>
      <c r="AG712" s="28"/>
    </row>
    <row r="713" spans="1:33" ht="32.25" customHeight="1" x14ac:dyDescent="0.2">
      <c r="A713" s="65">
        <v>1035</v>
      </c>
      <c r="B713" s="27" t="s">
        <v>2928</v>
      </c>
      <c r="C713" s="27" t="s">
        <v>804</v>
      </c>
      <c r="D713" s="27"/>
      <c r="E713" s="27"/>
      <c r="F713" s="27" t="s">
        <v>832</v>
      </c>
      <c r="G713" s="27" t="s">
        <v>758</v>
      </c>
      <c r="H713" s="27" t="s">
        <v>1406</v>
      </c>
      <c r="I713" s="27" t="s">
        <v>768</v>
      </c>
      <c r="J713" s="27" t="s">
        <v>865</v>
      </c>
      <c r="K713" s="27" t="s">
        <v>377</v>
      </c>
      <c r="L713" s="27"/>
      <c r="M713" s="27"/>
      <c r="N713" s="27"/>
      <c r="O713" s="27"/>
      <c r="P713" s="27"/>
      <c r="Q713" s="27">
        <v>1</v>
      </c>
      <c r="R713" s="27"/>
      <c r="S713" s="27"/>
      <c r="T713" s="27"/>
      <c r="U713" s="27"/>
      <c r="V713" s="27"/>
      <c r="W713" s="27"/>
      <c r="X713" s="27"/>
      <c r="Y713" s="27"/>
      <c r="Z713" s="27" t="s">
        <v>2073</v>
      </c>
      <c r="AA713" s="29">
        <v>40</v>
      </c>
      <c r="AB713" s="30">
        <f>IF(OR(G713="ALK",G713="PEM",G713="SOEC",G713="Other Electrolysis"),
AA713/VLOOKUP(G713,ElectrolysisConvF,3,FALSE),
AC713*10^6/(H2dens*HoursInYear))</f>
        <v>8888.8888888888887</v>
      </c>
      <c r="AC713" s="30">
        <f>AB713*H2dens*HoursInYear/10^6</f>
        <v>6.930133333333333</v>
      </c>
      <c r="AD713" s="30"/>
      <c r="AE713" s="30">
        <f>IF(AND(G713&lt;&gt;"NG w CCUS",G713&lt;&gt;"Oil w CCUS",G713&lt;&gt;"Coal w CCUS"),AB713,AD713*10^3/(HoursInYear*IF(G713="NG w CCUS",0.9105,1.9075)))</f>
        <v>8888.8888888888887</v>
      </c>
      <c r="AF713" s="28" t="s">
        <v>3009</v>
      </c>
      <c r="AG713" s="28"/>
    </row>
    <row r="714" spans="1:33" ht="32.25" customHeight="1" x14ac:dyDescent="0.2">
      <c r="A714" s="65">
        <v>1036</v>
      </c>
      <c r="B714" s="27" t="s">
        <v>2929</v>
      </c>
      <c r="C714" s="27" t="s">
        <v>804</v>
      </c>
      <c r="D714" s="27"/>
      <c r="E714" s="27"/>
      <c r="F714" s="27" t="s">
        <v>832</v>
      </c>
      <c r="G714" s="27" t="s">
        <v>758</v>
      </c>
      <c r="H714" s="27" t="s">
        <v>1406</v>
      </c>
      <c r="I714" s="27" t="s">
        <v>768</v>
      </c>
      <c r="J714" s="27" t="s">
        <v>865</v>
      </c>
      <c r="K714" s="27" t="s">
        <v>377</v>
      </c>
      <c r="L714" s="27"/>
      <c r="M714" s="27"/>
      <c r="N714" s="27"/>
      <c r="O714" s="27"/>
      <c r="P714" s="27">
        <v>1</v>
      </c>
      <c r="Q714" s="27"/>
      <c r="R714" s="27"/>
      <c r="S714" s="27"/>
      <c r="T714" s="27"/>
      <c r="U714" s="27"/>
      <c r="V714" s="27"/>
      <c r="W714" s="27"/>
      <c r="X714" s="27"/>
      <c r="Y714" s="27"/>
      <c r="Z714" s="27" t="s">
        <v>1898</v>
      </c>
      <c r="AA714" s="29">
        <v>25</v>
      </c>
      <c r="AB714" s="30">
        <f>IF(OR(G714="ALK",G714="PEM",G714="SOEC",G714="Other Electrolysis"),
AA714/VLOOKUP(G714,ElectrolysisConvF,3,FALSE),
AC714*10^6/(H2dens*HoursInYear))</f>
        <v>5555.5555555555557</v>
      </c>
      <c r="AC714" s="30">
        <f>AB714*H2dens*HoursInYear/10^6</f>
        <v>4.3313333333333333</v>
      </c>
      <c r="AD714" s="30"/>
      <c r="AE714" s="30">
        <f>IF(AND(G714&lt;&gt;"NG w CCUS",G714&lt;&gt;"Oil w CCUS",G714&lt;&gt;"Coal w CCUS"),AB714,AD714*10^3/(HoursInYear*IF(G714="NG w CCUS",0.9105,1.9075)))</f>
        <v>5555.5555555555557</v>
      </c>
      <c r="AF714" s="28" t="s">
        <v>3009</v>
      </c>
      <c r="AG714" s="28"/>
    </row>
    <row r="715" spans="1:33" ht="32.25" customHeight="1" x14ac:dyDescent="0.2">
      <c r="A715" s="65">
        <v>1037</v>
      </c>
      <c r="B715" s="27" t="s">
        <v>2930</v>
      </c>
      <c r="C715" s="27" t="s">
        <v>804</v>
      </c>
      <c r="D715" s="27"/>
      <c r="E715" s="27"/>
      <c r="F715" s="27" t="s">
        <v>832</v>
      </c>
      <c r="G715" s="27" t="s">
        <v>758</v>
      </c>
      <c r="H715" s="27" t="s">
        <v>1406</v>
      </c>
      <c r="I715" s="27" t="s">
        <v>768</v>
      </c>
      <c r="J715" s="27" t="s">
        <v>865</v>
      </c>
      <c r="K715" s="27" t="s">
        <v>377</v>
      </c>
      <c r="L715" s="27"/>
      <c r="M715" s="27"/>
      <c r="N715" s="27"/>
      <c r="O715" s="27"/>
      <c r="P715" s="27"/>
      <c r="Q715" s="27">
        <v>1</v>
      </c>
      <c r="R715" s="27"/>
      <c r="S715" s="27">
        <v>1</v>
      </c>
      <c r="T715" s="27"/>
      <c r="U715" s="27"/>
      <c r="V715" s="27"/>
      <c r="W715" s="27"/>
      <c r="X715" s="27"/>
      <c r="Y715" s="27"/>
      <c r="Z715" s="27" t="s">
        <v>1938</v>
      </c>
      <c r="AA715" s="29">
        <v>2</v>
      </c>
      <c r="AB715" s="30">
        <f>IF(OR(G715="ALK",G715="PEM",G715="SOEC",G715="Other Electrolysis"),
AA715/VLOOKUP(G715,ElectrolysisConvF,3,FALSE),
AC715*10^6/(H2dens*HoursInYear))</f>
        <v>444.44444444444446</v>
      </c>
      <c r="AC715" s="30">
        <f>AB715*H2dens*HoursInYear/10^6</f>
        <v>0.34650666666666669</v>
      </c>
      <c r="AD715" s="30"/>
      <c r="AE715" s="30">
        <f>IF(AND(G715&lt;&gt;"NG w CCUS",G715&lt;&gt;"Oil w CCUS",G715&lt;&gt;"Coal w CCUS"),AB715,AD715*10^3/(HoursInYear*IF(G715="NG w CCUS",0.9105,1.9075)))</f>
        <v>444.44444444444446</v>
      </c>
      <c r="AF715" s="28" t="s">
        <v>3009</v>
      </c>
      <c r="AG715" s="28"/>
    </row>
    <row r="716" spans="1:33" ht="32.25" customHeight="1" x14ac:dyDescent="0.2">
      <c r="A716" s="65">
        <v>1038</v>
      </c>
      <c r="B716" s="27" t="s">
        <v>2931</v>
      </c>
      <c r="C716" s="27" t="s">
        <v>804</v>
      </c>
      <c r="D716" s="27"/>
      <c r="E716" s="27"/>
      <c r="F716" s="27" t="s">
        <v>832</v>
      </c>
      <c r="G716" s="27" t="s">
        <v>758</v>
      </c>
      <c r="H716" s="27" t="s">
        <v>1406</v>
      </c>
      <c r="I716" s="27" t="s">
        <v>768</v>
      </c>
      <c r="J716" s="27" t="s">
        <v>865</v>
      </c>
      <c r="K716" s="27" t="s">
        <v>739</v>
      </c>
      <c r="L716" s="27"/>
      <c r="M716" s="27"/>
      <c r="N716" s="27">
        <v>1</v>
      </c>
      <c r="O716" s="27"/>
      <c r="P716" s="27"/>
      <c r="Q716" s="27"/>
      <c r="R716" s="27"/>
      <c r="S716" s="27"/>
      <c r="T716" s="27"/>
      <c r="U716" s="27"/>
      <c r="V716" s="27"/>
      <c r="W716" s="27"/>
      <c r="X716" s="27"/>
      <c r="Y716" s="27"/>
      <c r="Z716" s="27" t="s">
        <v>1403</v>
      </c>
      <c r="AA716" s="29">
        <v>20</v>
      </c>
      <c r="AB716" s="30">
        <f>IF(OR(G716="ALK",G716="PEM",G716="SOEC",G716="Other Electrolysis"),
AA716/VLOOKUP(G716,ElectrolysisConvF,3,FALSE),
AC716*10^6/(H2dens*HoursInYear))</f>
        <v>4444.4444444444443</v>
      </c>
      <c r="AC716" s="30">
        <f>AB716*H2dens*HoursInYear/10^6</f>
        <v>3.4650666666666665</v>
      </c>
      <c r="AD716" s="30"/>
      <c r="AE716" s="30">
        <f>IF(AND(G716&lt;&gt;"NG w CCUS",G716&lt;&gt;"Oil w CCUS",G716&lt;&gt;"Coal w CCUS"),AB716,AD716*10^3/(HoursInYear*IF(G716="NG w CCUS",0.9105,1.9075)))</f>
        <v>4444.4444444444443</v>
      </c>
      <c r="AF716" s="28" t="s">
        <v>3009</v>
      </c>
      <c r="AG716" s="28"/>
    </row>
    <row r="717" spans="1:33" ht="32.25" customHeight="1" x14ac:dyDescent="0.2">
      <c r="A717" s="65">
        <v>1039</v>
      </c>
      <c r="B717" s="27" t="s">
        <v>2932</v>
      </c>
      <c r="C717" s="27" t="s">
        <v>804</v>
      </c>
      <c r="D717" s="27"/>
      <c r="E717" s="27"/>
      <c r="F717" s="27" t="s">
        <v>832</v>
      </c>
      <c r="G717" s="27" t="s">
        <v>758</v>
      </c>
      <c r="H717" s="27" t="s">
        <v>1406</v>
      </c>
      <c r="I717" s="27" t="s">
        <v>768</v>
      </c>
      <c r="J717" s="27" t="s">
        <v>865</v>
      </c>
      <c r="K717" s="27" t="s">
        <v>377</v>
      </c>
      <c r="L717" s="27"/>
      <c r="M717" s="27"/>
      <c r="N717" s="27"/>
      <c r="O717" s="27"/>
      <c r="P717" s="27"/>
      <c r="Q717" s="27">
        <v>1</v>
      </c>
      <c r="R717" s="27">
        <v>1</v>
      </c>
      <c r="S717" s="27"/>
      <c r="T717" s="27"/>
      <c r="U717" s="27">
        <v>1</v>
      </c>
      <c r="V717" s="27"/>
      <c r="W717" s="27"/>
      <c r="X717" s="27"/>
      <c r="Y717" s="27"/>
      <c r="Z717" s="27"/>
      <c r="AA717" s="29"/>
      <c r="AB717" s="30"/>
      <c r="AC717" s="30"/>
      <c r="AD717" s="30"/>
      <c r="AE717" s="30">
        <f>IF(AND(G717&lt;&gt;"NG w CCUS",G717&lt;&gt;"Oil w CCUS",G717&lt;&gt;"Coal w CCUS"),AB717,AD717*10^3/(HoursInYear*IF(G717="NG w CCUS",0.9105,1.9075)))</f>
        <v>0</v>
      </c>
      <c r="AF717" s="28" t="s">
        <v>3009</v>
      </c>
      <c r="AG717" s="28"/>
    </row>
    <row r="718" spans="1:33" ht="32.25" customHeight="1" x14ac:dyDescent="0.2">
      <c r="A718" s="65">
        <v>1040</v>
      </c>
      <c r="B718" s="27" t="s">
        <v>3335</v>
      </c>
      <c r="C718" s="27" t="s">
        <v>804</v>
      </c>
      <c r="D718" s="27">
        <v>2030</v>
      </c>
      <c r="E718" s="27"/>
      <c r="F718" s="27" t="s">
        <v>1336</v>
      </c>
      <c r="G718" s="27" t="s">
        <v>758</v>
      </c>
      <c r="H718" s="27" t="s">
        <v>1406</v>
      </c>
      <c r="I718" s="27" t="s">
        <v>768</v>
      </c>
      <c r="J718" s="27" t="s">
        <v>863</v>
      </c>
      <c r="K718" s="27" t="s">
        <v>377</v>
      </c>
      <c r="L718" s="27"/>
      <c r="M718" s="27"/>
      <c r="N718" s="27"/>
      <c r="O718" s="27"/>
      <c r="P718" s="27"/>
      <c r="Q718" s="27"/>
      <c r="R718" s="27"/>
      <c r="S718" s="27"/>
      <c r="T718" s="27"/>
      <c r="U718" s="27"/>
      <c r="V718" s="27"/>
      <c r="W718" s="27"/>
      <c r="X718" s="27"/>
      <c r="Y718" s="27"/>
      <c r="Z718" s="75" t="s">
        <v>4058</v>
      </c>
      <c r="AA718" s="77">
        <f>1000-300</f>
        <v>700</v>
      </c>
      <c r="AB718" s="30">
        <f>IF(OR(G718="ALK",G718="PEM",G718="SOEC",G718="Other Electrolysis"),
AA718/VLOOKUP(G718,ElectrolysisConvF,3,FALSE),
AC718*10^6/(H2dens*HoursInYear))</f>
        <v>155555.55555555556</v>
      </c>
      <c r="AC718" s="30">
        <f>AB718*H2dens*HoursInYear/10^6</f>
        <v>121.27733333333335</v>
      </c>
      <c r="AD718" s="30"/>
      <c r="AE718" s="30">
        <f>IF(AND(G718&lt;&gt;"NG w CCUS",G718&lt;&gt;"Oil w CCUS",G718&lt;&gt;"Coal w CCUS"),AB718,AD718*10^3/(HoursInYear*IF(G718="NG w CCUS",0.9105,1.9075)))</f>
        <v>155555.55555555556</v>
      </c>
      <c r="AF718" s="28" t="s">
        <v>3283</v>
      </c>
      <c r="AG718" s="76" t="s">
        <v>3861</v>
      </c>
    </row>
    <row r="719" spans="1:33" ht="32.25" customHeight="1" x14ac:dyDescent="0.2">
      <c r="A719" s="65">
        <v>1041</v>
      </c>
      <c r="B719" s="27" t="s">
        <v>2933</v>
      </c>
      <c r="C719" s="27" t="s">
        <v>858</v>
      </c>
      <c r="D719" s="27"/>
      <c r="E719" s="27"/>
      <c r="F719" s="27" t="s">
        <v>1336</v>
      </c>
      <c r="G719" s="27" t="s">
        <v>758</v>
      </c>
      <c r="H719" s="27" t="s">
        <v>1406</v>
      </c>
      <c r="I719" s="27" t="s">
        <v>768</v>
      </c>
      <c r="J719" s="27" t="s">
        <v>378</v>
      </c>
      <c r="K719" s="27" t="s">
        <v>396</v>
      </c>
      <c r="L719" s="27"/>
      <c r="M719" s="27"/>
      <c r="N719" s="27"/>
      <c r="O719" s="27"/>
      <c r="P719" s="27"/>
      <c r="Q719" s="27"/>
      <c r="R719" s="27"/>
      <c r="S719" s="27"/>
      <c r="T719" s="27"/>
      <c r="U719" s="27"/>
      <c r="V719" s="27"/>
      <c r="W719" s="27"/>
      <c r="X719" s="27">
        <v>1</v>
      </c>
      <c r="Y719" s="27"/>
      <c r="Z719" s="27"/>
      <c r="AA719" s="29"/>
      <c r="AB719" s="30"/>
      <c r="AC719" s="30"/>
      <c r="AD719" s="30"/>
      <c r="AE719" s="30">
        <f>IF(AND(G719&lt;&gt;"NG w CCUS",G719&lt;&gt;"Oil w CCUS",G719&lt;&gt;"Coal w CCUS"),AB719,AD719*10^3/(HoursInYear*IF(G719="NG w CCUS",0.9105,1.9075)))</f>
        <v>0</v>
      </c>
      <c r="AF719" s="28" t="s">
        <v>3010</v>
      </c>
      <c r="AG719" s="28"/>
    </row>
    <row r="720" spans="1:33" ht="32.25" customHeight="1" x14ac:dyDescent="0.2">
      <c r="A720" s="65">
        <v>1042</v>
      </c>
      <c r="B720" s="27" t="s">
        <v>2934</v>
      </c>
      <c r="C720" s="27" t="s">
        <v>858</v>
      </c>
      <c r="D720" s="27"/>
      <c r="E720" s="27"/>
      <c r="F720" s="27" t="s">
        <v>836</v>
      </c>
      <c r="G720" s="27" t="s">
        <v>758</v>
      </c>
      <c r="H720" s="27" t="s">
        <v>1406</v>
      </c>
      <c r="I720" s="27" t="s">
        <v>756</v>
      </c>
      <c r="J720" s="27"/>
      <c r="K720" s="27" t="s">
        <v>377</v>
      </c>
      <c r="L720" s="27"/>
      <c r="M720" s="27"/>
      <c r="N720" s="27"/>
      <c r="O720" s="27"/>
      <c r="P720" s="27"/>
      <c r="Q720" s="27"/>
      <c r="R720" s="27"/>
      <c r="S720" s="27"/>
      <c r="T720" s="27"/>
      <c r="U720" s="27"/>
      <c r="V720" s="27"/>
      <c r="W720" s="27"/>
      <c r="X720" s="27"/>
      <c r="Y720" s="27"/>
      <c r="Z720" s="27" t="s">
        <v>1755</v>
      </c>
      <c r="AA720" s="29">
        <v>0.1</v>
      </c>
      <c r="AB720" s="30">
        <f>IF(OR(G720="ALK",G720="PEM",G720="SOEC",G720="Other Electrolysis"),
AA720/VLOOKUP(G720,ElectrolysisConvF,3,FALSE),
AC720*10^6/(H2dens*HoursInYear))</f>
        <v>22.222222222222225</v>
      </c>
      <c r="AC720" s="30">
        <f>AB720*H2dens*HoursInYear/10^6</f>
        <v>1.7325333333333335E-2</v>
      </c>
      <c r="AD720" s="30"/>
      <c r="AE720" s="30">
        <f>IF(AND(G720&lt;&gt;"NG w CCUS",G720&lt;&gt;"Oil w CCUS",G720&lt;&gt;"Coal w CCUS"),AB720,AD720*10^3/(HoursInYear*IF(G720="NG w CCUS",0.9105,1.9075)))</f>
        <v>22.222222222222225</v>
      </c>
      <c r="AF720" s="28"/>
      <c r="AG720" s="28"/>
    </row>
    <row r="721" spans="1:33" ht="32.25" customHeight="1" x14ac:dyDescent="0.2">
      <c r="A721" s="65">
        <v>1043</v>
      </c>
      <c r="B721" s="27" t="s">
        <v>2935</v>
      </c>
      <c r="C721" s="27" t="s">
        <v>858</v>
      </c>
      <c r="D721" s="27"/>
      <c r="E721" s="27"/>
      <c r="F721" s="27" t="s">
        <v>836</v>
      </c>
      <c r="G721" s="27" t="s">
        <v>758</v>
      </c>
      <c r="H721" s="27" t="s">
        <v>1406</v>
      </c>
      <c r="I721" s="27" t="s">
        <v>756</v>
      </c>
      <c r="J721" s="27"/>
      <c r="K721" s="27" t="s">
        <v>377</v>
      </c>
      <c r="L721" s="27"/>
      <c r="M721" s="27"/>
      <c r="N721" s="27"/>
      <c r="O721" s="27"/>
      <c r="P721" s="27"/>
      <c r="Q721" s="27"/>
      <c r="R721" s="27"/>
      <c r="S721" s="27"/>
      <c r="T721" s="27"/>
      <c r="U721" s="27"/>
      <c r="V721" s="27"/>
      <c r="W721" s="27"/>
      <c r="X721" s="27"/>
      <c r="Y721" s="27"/>
      <c r="Z721" s="27" t="s">
        <v>2974</v>
      </c>
      <c r="AA721" s="29">
        <v>0.35</v>
      </c>
      <c r="AB721" s="30">
        <f>IF(OR(G721="ALK",G721="PEM",G721="SOEC",G721="Other Electrolysis"),
AA721/VLOOKUP(G721,ElectrolysisConvF,3,FALSE),
AC721*10^6/(H2dens*HoursInYear))</f>
        <v>77.777777777777786</v>
      </c>
      <c r="AC721" s="30">
        <f>AB721*H2dens*HoursInYear/10^6</f>
        <v>6.0638666666666674E-2</v>
      </c>
      <c r="AD721" s="30"/>
      <c r="AE721" s="30">
        <f>IF(AND(G721&lt;&gt;"NG w CCUS",G721&lt;&gt;"Oil w CCUS",G721&lt;&gt;"Coal w CCUS"),AB721,AD721*10^3/(HoursInYear*IF(G721="NG w CCUS",0.9105,1.9075)))</f>
        <v>77.777777777777786</v>
      </c>
      <c r="AF721" s="28"/>
      <c r="AG721" s="28"/>
    </row>
    <row r="722" spans="1:33" ht="32.25" customHeight="1" x14ac:dyDescent="0.2">
      <c r="A722" s="65">
        <v>1045</v>
      </c>
      <c r="B722" s="27" t="s">
        <v>2936</v>
      </c>
      <c r="C722" s="27" t="s">
        <v>343</v>
      </c>
      <c r="D722" s="27">
        <v>2024</v>
      </c>
      <c r="E722" s="27"/>
      <c r="F722" s="27" t="s">
        <v>832</v>
      </c>
      <c r="G722" s="27" t="s">
        <v>758</v>
      </c>
      <c r="H722" s="27" t="s">
        <v>1406</v>
      </c>
      <c r="I722" s="27" t="s">
        <v>768</v>
      </c>
      <c r="J722" s="27" t="s">
        <v>863</v>
      </c>
      <c r="K722" s="27" t="s">
        <v>377</v>
      </c>
      <c r="L722" s="27"/>
      <c r="M722" s="27"/>
      <c r="N722" s="27"/>
      <c r="O722" s="27"/>
      <c r="P722" s="27"/>
      <c r="Q722" s="27"/>
      <c r="R722" s="27"/>
      <c r="S722" s="27"/>
      <c r="T722" s="27"/>
      <c r="U722" s="27"/>
      <c r="V722" s="27"/>
      <c r="W722" s="27"/>
      <c r="X722" s="27"/>
      <c r="Y722" s="27"/>
      <c r="Z722" s="27" t="s">
        <v>1938</v>
      </c>
      <c r="AA722" s="29">
        <v>2</v>
      </c>
      <c r="AB722" s="30">
        <f>IF(OR(G722="ALK",G722="PEM",G722="SOEC",G722="Other Electrolysis"),
AA722/VLOOKUP(G722,ElectrolysisConvF,3,FALSE),
AC722*10^6/(H2dens*HoursInYear))</f>
        <v>444.44444444444446</v>
      </c>
      <c r="AC722" s="30">
        <f>AB722*H2dens*HoursInYear/10^6</f>
        <v>0.34650666666666669</v>
      </c>
      <c r="AD722" s="30"/>
      <c r="AE722" s="30">
        <f>IF(AND(G722&lt;&gt;"NG w CCUS",G722&lt;&gt;"Oil w CCUS",G722&lt;&gt;"Coal w CCUS"),AB722,AD722*10^3/(HoursInYear*IF(G722="NG w CCUS",0.9105,1.9075)))</f>
        <v>444.44444444444446</v>
      </c>
      <c r="AF722" s="28" t="s">
        <v>3011</v>
      </c>
      <c r="AG722" s="28"/>
    </row>
    <row r="723" spans="1:33" ht="32.25" customHeight="1" x14ac:dyDescent="0.2">
      <c r="A723" s="65">
        <v>1046</v>
      </c>
      <c r="B723" s="27" t="s">
        <v>2936</v>
      </c>
      <c r="C723" s="27" t="s">
        <v>343</v>
      </c>
      <c r="D723" s="27">
        <v>2027</v>
      </c>
      <c r="E723" s="27"/>
      <c r="F723" s="27" t="s">
        <v>832</v>
      </c>
      <c r="G723" s="27" t="s">
        <v>758</v>
      </c>
      <c r="H723" s="27" t="s">
        <v>1406</v>
      </c>
      <c r="I723" s="27" t="s">
        <v>768</v>
      </c>
      <c r="J723" s="27" t="s">
        <v>863</v>
      </c>
      <c r="K723" s="27" t="s">
        <v>377</v>
      </c>
      <c r="L723" s="27"/>
      <c r="M723" s="27"/>
      <c r="N723" s="27"/>
      <c r="O723" s="27"/>
      <c r="P723" s="27"/>
      <c r="Q723" s="27"/>
      <c r="R723" s="27"/>
      <c r="S723" s="27"/>
      <c r="T723" s="27"/>
      <c r="U723" s="27"/>
      <c r="V723" s="27"/>
      <c r="W723" s="27"/>
      <c r="X723" s="27"/>
      <c r="Y723" s="27"/>
      <c r="Z723" s="27" t="s">
        <v>1407</v>
      </c>
      <c r="AA723" s="29">
        <v>10</v>
      </c>
      <c r="AB723" s="30">
        <f>IF(OR(G723="ALK",G723="PEM",G723="SOEC",G723="Other Electrolysis"),
AA723/VLOOKUP(G723,ElectrolysisConvF,3,FALSE),
AC723*10^6/(H2dens*HoursInYear))</f>
        <v>2222.2222222222222</v>
      </c>
      <c r="AC723" s="30">
        <f>AB723*H2dens*HoursInYear/10^6</f>
        <v>1.7325333333333333</v>
      </c>
      <c r="AD723" s="30"/>
      <c r="AE723" s="30">
        <f>IF(AND(G723&lt;&gt;"NG w CCUS",G723&lt;&gt;"Oil w CCUS",G723&lt;&gt;"Coal w CCUS"),AB723,AD723*10^3/(HoursInYear*IF(G723="NG w CCUS",0.9105,1.9075)))</f>
        <v>2222.2222222222222</v>
      </c>
      <c r="AF723" s="28" t="s">
        <v>3011</v>
      </c>
      <c r="AG723" s="28"/>
    </row>
    <row r="724" spans="1:33" ht="32.25" customHeight="1" x14ac:dyDescent="0.2">
      <c r="A724" s="65">
        <v>1047</v>
      </c>
      <c r="B724" s="27" t="s">
        <v>2937</v>
      </c>
      <c r="C724" s="27" t="s">
        <v>343</v>
      </c>
      <c r="D724" s="27"/>
      <c r="E724" s="27"/>
      <c r="F724" s="27" t="s">
        <v>753</v>
      </c>
      <c r="G724" s="27" t="s">
        <v>758</v>
      </c>
      <c r="H724" s="27" t="s">
        <v>1406</v>
      </c>
      <c r="I724" s="27" t="s">
        <v>768</v>
      </c>
      <c r="J724" s="27" t="s">
        <v>865</v>
      </c>
      <c r="K724" s="27" t="s">
        <v>377</v>
      </c>
      <c r="L724" s="27"/>
      <c r="M724" s="27"/>
      <c r="N724" s="27"/>
      <c r="O724" s="27"/>
      <c r="P724" s="27"/>
      <c r="Q724" s="27"/>
      <c r="R724" s="27"/>
      <c r="S724" s="27">
        <v>1</v>
      </c>
      <c r="T724" s="27"/>
      <c r="U724" s="27"/>
      <c r="V724" s="27"/>
      <c r="W724" s="27"/>
      <c r="X724" s="27"/>
      <c r="Y724" s="27"/>
      <c r="Z724" s="27" t="s">
        <v>1647</v>
      </c>
      <c r="AA724" s="29">
        <v>1.25</v>
      </c>
      <c r="AB724" s="30">
        <f>IF(OR(G724="ALK",G724="PEM",G724="SOEC",G724="Other Electrolysis"),
AA724/VLOOKUP(G724,ElectrolysisConvF,3,FALSE),
AC724*10^6/(H2dens*HoursInYear))</f>
        <v>277.77777777777777</v>
      </c>
      <c r="AC724" s="30">
        <f>AB724*H2dens*HoursInYear/10^6</f>
        <v>0.21656666666666666</v>
      </c>
      <c r="AD724" s="30"/>
      <c r="AE724" s="30">
        <f>IF(AND(G724&lt;&gt;"NG w CCUS",G724&lt;&gt;"Oil w CCUS",G724&lt;&gt;"Coal w CCUS"),AB724,AD724*10^3/(HoursInYear*IF(G724="NG w CCUS",0.9105,1.9075)))</f>
        <v>277.77777777777777</v>
      </c>
      <c r="AF724" s="28" t="s">
        <v>3012</v>
      </c>
      <c r="AG724" s="28"/>
    </row>
    <row r="725" spans="1:33" ht="32.25" customHeight="1" x14ac:dyDescent="0.2">
      <c r="A725" s="65">
        <v>1048</v>
      </c>
      <c r="B725" s="27" t="s">
        <v>2938</v>
      </c>
      <c r="C725" s="27" t="s">
        <v>343</v>
      </c>
      <c r="D725" s="27"/>
      <c r="E725" s="27"/>
      <c r="F725" s="27" t="s">
        <v>832</v>
      </c>
      <c r="G725" s="27" t="s">
        <v>758</v>
      </c>
      <c r="H725" s="27" t="s">
        <v>1406</v>
      </c>
      <c r="I725" s="27" t="s">
        <v>768</v>
      </c>
      <c r="J725" s="27" t="s">
        <v>863</v>
      </c>
      <c r="K725" s="27" t="s">
        <v>377</v>
      </c>
      <c r="L725" s="27"/>
      <c r="M725" s="27"/>
      <c r="N725" s="27"/>
      <c r="O725" s="27"/>
      <c r="P725" s="27"/>
      <c r="Q725" s="27"/>
      <c r="R725" s="27"/>
      <c r="S725" s="27"/>
      <c r="T725" s="27"/>
      <c r="U725" s="27"/>
      <c r="V725" s="27"/>
      <c r="W725" s="27"/>
      <c r="X725" s="27"/>
      <c r="Y725" s="27"/>
      <c r="Z725" s="27"/>
      <c r="AA725" s="29"/>
      <c r="AB725" s="30"/>
      <c r="AC725" s="30"/>
      <c r="AD725" s="30"/>
      <c r="AE725" s="30">
        <f>IF(AND(G725&lt;&gt;"NG w CCUS",G725&lt;&gt;"Oil w CCUS",G725&lt;&gt;"Coal w CCUS"),AB725,AD725*10^3/(HoursInYear*IF(G725="NG w CCUS",0.9105,1.9075)))</f>
        <v>0</v>
      </c>
      <c r="AF725" s="28" t="s">
        <v>3013</v>
      </c>
      <c r="AG725" s="28"/>
    </row>
    <row r="726" spans="1:33" ht="32.25" customHeight="1" x14ac:dyDescent="0.2">
      <c r="A726" s="65">
        <v>1049</v>
      </c>
      <c r="B726" s="27" t="s">
        <v>2939</v>
      </c>
      <c r="C726" s="27" t="s">
        <v>347</v>
      </c>
      <c r="D726" s="27">
        <v>2032</v>
      </c>
      <c r="E726" s="27"/>
      <c r="F726" s="27" t="s">
        <v>1336</v>
      </c>
      <c r="G726" s="27" t="s">
        <v>758</v>
      </c>
      <c r="H726" s="27" t="s">
        <v>1406</v>
      </c>
      <c r="I726" s="27" t="s">
        <v>768</v>
      </c>
      <c r="J726" s="27" t="s">
        <v>863</v>
      </c>
      <c r="K726" s="27" t="s">
        <v>377</v>
      </c>
      <c r="L726" s="27"/>
      <c r="M726" s="27"/>
      <c r="N726" s="27"/>
      <c r="O726" s="27"/>
      <c r="P726" s="27"/>
      <c r="Q726" s="27"/>
      <c r="R726" s="27"/>
      <c r="S726" s="27"/>
      <c r="T726" s="27"/>
      <c r="U726" s="27"/>
      <c r="V726" s="27"/>
      <c r="W726" s="27"/>
      <c r="X726" s="27"/>
      <c r="Y726" s="27"/>
      <c r="Z726" s="27" t="s">
        <v>2975</v>
      </c>
      <c r="AA726" s="29">
        <f>IF(OR(G726="ALK",G726="PEM",G726="SOEC",G726="Other Electrolysis"),
AB726*VLOOKUP(G726,ElectrolysisConvF,3,FALSE),
"")</f>
        <v>1896.067415730337</v>
      </c>
      <c r="AB726" s="30">
        <f>AC726/(H2dens*HoursInYear/10^6)</f>
        <v>421348.31460674159</v>
      </c>
      <c r="AC726" s="30">
        <v>328.5</v>
      </c>
      <c r="AD726" s="30"/>
      <c r="AE726" s="30">
        <f>IF(AND(G726&lt;&gt;"NG w CCUS",G726&lt;&gt;"Oil w CCUS",G726&lt;&gt;"Coal w CCUS"),AB726,AD726*10^3/(HoursInYear*IF(G726="NG w CCUS",0.9105,1.9075)))</f>
        <v>421348.31460674159</v>
      </c>
      <c r="AF726" s="28" t="s">
        <v>3014</v>
      </c>
      <c r="AG726" s="28"/>
    </row>
    <row r="727" spans="1:33" ht="32.25" customHeight="1" x14ac:dyDescent="0.2">
      <c r="A727" s="27">
        <v>1050</v>
      </c>
      <c r="B727" s="27" t="s">
        <v>2940</v>
      </c>
      <c r="C727" s="75" t="s">
        <v>978</v>
      </c>
      <c r="D727" s="27">
        <v>2023</v>
      </c>
      <c r="E727" s="27"/>
      <c r="F727" s="27" t="s">
        <v>832</v>
      </c>
      <c r="G727" s="27" t="s">
        <v>758</v>
      </c>
      <c r="H727" s="27" t="s">
        <v>1406</v>
      </c>
      <c r="I727" s="27" t="s">
        <v>768</v>
      </c>
      <c r="J727" s="27" t="s">
        <v>378</v>
      </c>
      <c r="K727" s="27" t="s">
        <v>377</v>
      </c>
      <c r="L727" s="27"/>
      <c r="M727" s="27"/>
      <c r="N727" s="27"/>
      <c r="O727" s="27"/>
      <c r="P727" s="27"/>
      <c r="Q727" s="27"/>
      <c r="R727" s="27"/>
      <c r="S727" s="27">
        <v>1</v>
      </c>
      <c r="T727" s="27"/>
      <c r="U727" s="27"/>
      <c r="V727" s="27"/>
      <c r="W727" s="27"/>
      <c r="X727" s="27"/>
      <c r="Y727" s="27"/>
      <c r="Z727" s="27" t="s">
        <v>2976</v>
      </c>
      <c r="AA727" s="29">
        <v>78</v>
      </c>
      <c r="AB727" s="30">
        <f>IF(OR(G727="ALK",G727="PEM",G727="SOEC",G727="Other Electrolysis"),
AA727/VLOOKUP(G727,ElectrolysisConvF,3,FALSE),
AC727*10^6/(H2dens*HoursInYear))</f>
        <v>17333.333333333336</v>
      </c>
      <c r="AC727" s="30">
        <f>AB727*H2dens*HoursInYear/10^6</f>
        <v>13.51376</v>
      </c>
      <c r="AD727" s="30"/>
      <c r="AE727" s="30">
        <f>IF(AND(G727&lt;&gt;"NG w CCUS",G727&lt;&gt;"Oil w CCUS",G727&lt;&gt;"Coal w CCUS"),AB727,AD727*10^3/(HoursInYear*IF(G727="NG w CCUS",0.9105,1.9075)))</f>
        <v>17333.333333333336</v>
      </c>
      <c r="AF727" s="28" t="s">
        <v>3014</v>
      </c>
      <c r="AG727" s="76" t="s">
        <v>4050</v>
      </c>
    </row>
    <row r="728" spans="1:33" ht="32.25" customHeight="1" x14ac:dyDescent="0.2">
      <c r="A728" s="27">
        <v>1051</v>
      </c>
      <c r="B728" s="27" t="s">
        <v>2941</v>
      </c>
      <c r="C728" s="27" t="s">
        <v>804</v>
      </c>
      <c r="D728" s="27">
        <v>2024</v>
      </c>
      <c r="E728" s="27"/>
      <c r="F728" s="27" t="s">
        <v>832</v>
      </c>
      <c r="G728" s="27" t="s">
        <v>268</v>
      </c>
      <c r="H728" s="27"/>
      <c r="I728" s="27" t="s">
        <v>768</v>
      </c>
      <c r="J728" s="27" t="s">
        <v>865</v>
      </c>
      <c r="K728" s="27" t="s">
        <v>396</v>
      </c>
      <c r="L728" s="27"/>
      <c r="M728" s="27"/>
      <c r="N728" s="27"/>
      <c r="O728" s="27"/>
      <c r="P728" s="27"/>
      <c r="Q728" s="27"/>
      <c r="R728" s="27"/>
      <c r="S728" s="27"/>
      <c r="T728" s="27"/>
      <c r="U728" s="27"/>
      <c r="V728" s="27"/>
      <c r="W728" s="27"/>
      <c r="X728" s="27"/>
      <c r="Y728" s="27"/>
      <c r="Z728" s="27" t="s">
        <v>2977</v>
      </c>
      <c r="AA728" s="91">
        <v>30</v>
      </c>
      <c r="AB728" s="30">
        <f>AC728/(0.089*24*365/10^6)</f>
        <v>15168.539325842696</v>
      </c>
      <c r="AC728" s="30">
        <v>11.826000000000001</v>
      </c>
      <c r="AD728" s="30"/>
      <c r="AE728" s="30">
        <f>IF(AND(G728&lt;&gt;"NG w CCUS",G728&lt;&gt;"Oil w CCUS",G728&lt;&gt;"Coal w CCUS"),AB728,AD728*10^3/(HoursInYear*IF(G728="NG w CCUS",0.9105,1.9075)))</f>
        <v>15168.539325842696</v>
      </c>
      <c r="AF728" s="28" t="s">
        <v>2465</v>
      </c>
      <c r="AG728" s="76" t="s">
        <v>4061</v>
      </c>
    </row>
    <row r="729" spans="1:33" ht="32.25" customHeight="1" x14ac:dyDescent="0.2">
      <c r="A729" s="27">
        <v>1052</v>
      </c>
      <c r="B729" s="75" t="s">
        <v>4075</v>
      </c>
      <c r="C729" s="27" t="s">
        <v>804</v>
      </c>
      <c r="D729" s="27">
        <v>2028</v>
      </c>
      <c r="E729" s="27"/>
      <c r="F729" s="27" t="s">
        <v>832</v>
      </c>
      <c r="G729" s="27" t="s">
        <v>268</v>
      </c>
      <c r="H729" s="27"/>
      <c r="I729" s="27" t="s">
        <v>768</v>
      </c>
      <c r="J729" s="27" t="s">
        <v>865</v>
      </c>
      <c r="K729" s="27" t="s">
        <v>396</v>
      </c>
      <c r="L729" s="27"/>
      <c r="M729" s="27"/>
      <c r="N729" s="27"/>
      <c r="O729" s="27"/>
      <c r="P729" s="27"/>
      <c r="Q729" s="27"/>
      <c r="R729" s="27"/>
      <c r="S729" s="27"/>
      <c r="T729" s="27"/>
      <c r="U729" s="27"/>
      <c r="V729" s="27"/>
      <c r="W729" s="27"/>
      <c r="X729" s="27"/>
      <c r="Y729" s="27"/>
      <c r="Z729" s="27" t="s">
        <v>2978</v>
      </c>
      <c r="AA729" s="91">
        <v>50</v>
      </c>
      <c r="AB729" s="30">
        <f>AC729/(0.089*24*365/10^6)</f>
        <v>25280.898876404492</v>
      </c>
      <c r="AC729" s="30">
        <v>19.71</v>
      </c>
      <c r="AD729" s="30"/>
      <c r="AE729" s="30">
        <f>IF(AND(G729&lt;&gt;"NG w CCUS",G729&lt;&gt;"Oil w CCUS",G729&lt;&gt;"Coal w CCUS"),AB729,AD729*10^3/(HoursInYear*IF(G729="NG w CCUS",0.9105,1.9075)))</f>
        <v>25280.898876404492</v>
      </c>
      <c r="AF729" s="28" t="s">
        <v>2465</v>
      </c>
      <c r="AG729" s="76" t="s">
        <v>4061</v>
      </c>
    </row>
    <row r="730" spans="1:33" ht="32.25" customHeight="1" x14ac:dyDescent="0.2">
      <c r="A730" s="27">
        <v>1053</v>
      </c>
      <c r="B730" s="55" t="s">
        <v>2942</v>
      </c>
      <c r="C730" s="56" t="s">
        <v>2965</v>
      </c>
      <c r="D730" s="55">
        <v>2027</v>
      </c>
      <c r="E730" s="55"/>
      <c r="F730" s="55" t="s">
        <v>1336</v>
      </c>
      <c r="G730" s="55" t="s">
        <v>758</v>
      </c>
      <c r="H730" s="55" t="s">
        <v>1406</v>
      </c>
      <c r="I730" s="55" t="s">
        <v>756</v>
      </c>
      <c r="J730" s="55" t="str">
        <f>IF(I730&lt;&gt;"Dedicated renewable","N/A",)</f>
        <v>N/A</v>
      </c>
      <c r="K730" s="55" t="s">
        <v>377</v>
      </c>
      <c r="L730" s="55"/>
      <c r="M730" s="55"/>
      <c r="N730" s="55"/>
      <c r="O730" s="55"/>
      <c r="P730" s="55"/>
      <c r="Q730" s="55"/>
      <c r="R730" s="55"/>
      <c r="S730" s="55"/>
      <c r="T730" s="55"/>
      <c r="U730" s="55"/>
      <c r="V730" s="55"/>
      <c r="W730" s="55"/>
      <c r="X730" s="55"/>
      <c r="Y730" s="55"/>
      <c r="Z730" s="55" t="s">
        <v>2556</v>
      </c>
      <c r="AA730" s="57">
        <v>300</v>
      </c>
      <c r="AB730" s="58">
        <f>IF(OR(G730="ALK",G730="PEM",G730="SOEC",G730="Other Electrolysis"),
AA730/VLOOKUP(G730,ElectrolysisConvF,3,FALSE),
AC730*10^6/(H2dens*HoursInYear))</f>
        <v>66666.666666666672</v>
      </c>
      <c r="AC730" s="58">
        <f>AB730*H2dens*HoursInYear/10^6</f>
        <v>51.975999999999999</v>
      </c>
      <c r="AD730" s="58"/>
      <c r="AE730" s="58">
        <f>IF(AND(G730&lt;&gt;"NG w CCUS",G730&lt;&gt;"Oil w CCUS",G730&lt;&gt;"Coal w CCUS"),AB730,AD730*10^3/(HoursInYear*IF(G730="NG w CCUS",0.9105,1.9075)))</f>
        <v>66666.666666666672</v>
      </c>
      <c r="AF730" s="56" t="s">
        <v>3014</v>
      </c>
      <c r="AG730" s="28"/>
    </row>
    <row r="731" spans="1:33" ht="32.25" customHeight="1" x14ac:dyDescent="0.2">
      <c r="A731" s="27">
        <v>1054</v>
      </c>
      <c r="B731" s="55" t="s">
        <v>2943</v>
      </c>
      <c r="C731" s="56" t="s">
        <v>2965</v>
      </c>
      <c r="D731" s="55">
        <v>2031</v>
      </c>
      <c r="E731" s="55"/>
      <c r="F731" s="55" t="s">
        <v>1336</v>
      </c>
      <c r="G731" s="55" t="s">
        <v>758</v>
      </c>
      <c r="H731" s="55" t="s">
        <v>1406</v>
      </c>
      <c r="I731" s="55" t="s">
        <v>756</v>
      </c>
      <c r="J731" s="55" t="str">
        <f>IF(I731&lt;&gt;"Dedicated renewable","N/A",)</f>
        <v>N/A</v>
      </c>
      <c r="K731" s="55" t="s">
        <v>377</v>
      </c>
      <c r="L731" s="55"/>
      <c r="M731" s="55"/>
      <c r="N731" s="55"/>
      <c r="O731" s="55"/>
      <c r="P731" s="55"/>
      <c r="Q731" s="55"/>
      <c r="R731" s="55"/>
      <c r="S731" s="55"/>
      <c r="T731" s="55"/>
      <c r="U731" s="55"/>
      <c r="V731" s="55"/>
      <c r="W731" s="55"/>
      <c r="X731" s="55"/>
      <c r="Y731" s="55"/>
      <c r="Z731" s="55" t="s">
        <v>1410</v>
      </c>
      <c r="AA731" s="57">
        <v>700</v>
      </c>
      <c r="AB731" s="58">
        <f>IF(OR(G731="ALK",G731="PEM",G731="SOEC",G731="Other Electrolysis"),
AA731/VLOOKUP(G731,ElectrolysisConvF,3,FALSE),
AC731*10^6/(H2dens*HoursInYear))</f>
        <v>155555.55555555556</v>
      </c>
      <c r="AC731" s="58">
        <f>AB731*H2dens*HoursInYear/10^6</f>
        <v>121.27733333333335</v>
      </c>
      <c r="AD731" s="58"/>
      <c r="AE731" s="58">
        <f>IF(AND(G731&lt;&gt;"NG w CCUS",G731&lt;&gt;"Oil w CCUS",G731&lt;&gt;"Coal w CCUS"),AB731,AD731*10^3/(HoursInYear*IF(G731="NG w CCUS",0.9105,1.9075)))</f>
        <v>155555.55555555556</v>
      </c>
      <c r="AF731" s="56" t="s">
        <v>3014</v>
      </c>
      <c r="AG731" s="56" t="s">
        <v>3014</v>
      </c>
    </row>
    <row r="732" spans="1:33" ht="32.25" customHeight="1" x14ac:dyDescent="0.2">
      <c r="A732" s="27">
        <v>1055</v>
      </c>
      <c r="B732" s="27" t="s">
        <v>2944</v>
      </c>
      <c r="C732" s="27" t="s">
        <v>980</v>
      </c>
      <c r="D732" s="27">
        <v>2024</v>
      </c>
      <c r="E732" s="27"/>
      <c r="F732" s="27" t="s">
        <v>832</v>
      </c>
      <c r="G732" s="27" t="s">
        <v>752</v>
      </c>
      <c r="H732" s="27" t="s">
        <v>2967</v>
      </c>
      <c r="I732" s="27"/>
      <c r="J732" s="27"/>
      <c r="K732" s="27" t="s">
        <v>377</v>
      </c>
      <c r="L732" s="27"/>
      <c r="M732" s="27"/>
      <c r="N732" s="27"/>
      <c r="O732" s="27"/>
      <c r="P732" s="27"/>
      <c r="Q732" s="27"/>
      <c r="R732" s="27"/>
      <c r="S732" s="27">
        <v>1</v>
      </c>
      <c r="T732" s="27"/>
      <c r="U732" s="27"/>
      <c r="V732" s="27"/>
      <c r="W732" s="27"/>
      <c r="X732" s="27"/>
      <c r="Y732" s="27"/>
      <c r="Z732" s="27" t="s">
        <v>2979</v>
      </c>
      <c r="AA732" s="29" t="str">
        <f>IF(OR(G732="ALK",G732="PEM",G732="SOEC",G732="Other Electrolysis"),
AB732*VLOOKUP(G732,ElectrolysisConvF,3,FALSE),
"")</f>
        <v/>
      </c>
      <c r="AB732" s="30">
        <f>AC732/(H2dens*HoursInYear/10^6)</f>
        <v>842.69662921348322</v>
      </c>
      <c r="AC732" s="30">
        <v>0.65700000000000003</v>
      </c>
      <c r="AD732" s="30"/>
      <c r="AE732" s="30">
        <f>IF(AND(G732&lt;&gt;"NG w CCUS",G732&lt;&gt;"Oil w CCUS",G732&lt;&gt;"Coal w CCUS"),AB732,AD732*10^3/(HoursInYear*IF(G732="NG w CCUS",0.9105,1.9075)))</f>
        <v>842.69662921348322</v>
      </c>
      <c r="AF732" s="28" t="s">
        <v>3014</v>
      </c>
      <c r="AG732" s="28"/>
    </row>
    <row r="733" spans="1:33" ht="32.25" customHeight="1" x14ac:dyDescent="0.2">
      <c r="A733" s="27">
        <v>1056</v>
      </c>
      <c r="B733" s="27" t="s">
        <v>2945</v>
      </c>
      <c r="C733" s="27" t="s">
        <v>331</v>
      </c>
      <c r="D733" s="27">
        <v>2024</v>
      </c>
      <c r="E733" s="27"/>
      <c r="F733" s="27" t="s">
        <v>1336</v>
      </c>
      <c r="G733" s="27" t="s">
        <v>758</v>
      </c>
      <c r="H733" s="27" t="s">
        <v>1406</v>
      </c>
      <c r="I733" s="27" t="s">
        <v>765</v>
      </c>
      <c r="J733" s="27"/>
      <c r="K733" s="27" t="s">
        <v>377</v>
      </c>
      <c r="L733" s="27"/>
      <c r="M733" s="27"/>
      <c r="N733" s="27"/>
      <c r="O733" s="27"/>
      <c r="P733" s="27"/>
      <c r="Q733" s="27"/>
      <c r="R733" s="27"/>
      <c r="S733" s="27">
        <v>1</v>
      </c>
      <c r="T733" s="27"/>
      <c r="U733" s="27"/>
      <c r="V733" s="27"/>
      <c r="W733" s="27"/>
      <c r="X733" s="27"/>
      <c r="Y733" s="27"/>
      <c r="Z733" s="27"/>
      <c r="AA733" s="29"/>
      <c r="AB733" s="30"/>
      <c r="AC733" s="30"/>
      <c r="AD733" s="30"/>
      <c r="AE733" s="30">
        <f>IF(AND(G733&lt;&gt;"NG w CCUS",G733&lt;&gt;"Oil w CCUS",G733&lt;&gt;"Coal w CCUS"),AB733,AD733*10^3/(HoursInYear*IF(G733="NG w CCUS",0.9105,1.9075)))</f>
        <v>0</v>
      </c>
      <c r="AF733" s="28" t="s">
        <v>3014</v>
      </c>
      <c r="AG733" s="28"/>
    </row>
    <row r="734" spans="1:33" ht="32.25" customHeight="1" x14ac:dyDescent="0.2">
      <c r="A734" s="27">
        <v>1057</v>
      </c>
      <c r="B734" s="27" t="s">
        <v>2946</v>
      </c>
      <c r="C734" s="27" t="s">
        <v>342</v>
      </c>
      <c r="D734" s="27">
        <v>2024</v>
      </c>
      <c r="E734" s="27"/>
      <c r="F734" s="27" t="s">
        <v>832</v>
      </c>
      <c r="G734" s="27" t="s">
        <v>758</v>
      </c>
      <c r="H734" s="27" t="s">
        <v>1406</v>
      </c>
      <c r="I734" s="27" t="s">
        <v>768</v>
      </c>
      <c r="J734" s="27" t="s">
        <v>378</v>
      </c>
      <c r="K734" s="27" t="s">
        <v>396</v>
      </c>
      <c r="L734" s="27"/>
      <c r="M734" s="27"/>
      <c r="N734" s="27"/>
      <c r="O734" s="27"/>
      <c r="P734" s="27"/>
      <c r="Q734" s="27"/>
      <c r="R734" s="27"/>
      <c r="S734" s="27"/>
      <c r="T734" s="27"/>
      <c r="U734" s="27"/>
      <c r="V734" s="27"/>
      <c r="W734" s="27"/>
      <c r="X734" s="27">
        <v>1</v>
      </c>
      <c r="Y734" s="27"/>
      <c r="Z734" s="27" t="s">
        <v>2980</v>
      </c>
      <c r="AA734" s="29">
        <v>23</v>
      </c>
      <c r="AB734" s="30">
        <f>IF(OR(G734="ALK",G734="PEM",G734="SOEC",G734="Other Electrolysis"),
AA734/VLOOKUP(G734,ElectrolysisConvF,3,FALSE),
AC734*10^6/(H2dens*HoursInYear))</f>
        <v>5111.1111111111113</v>
      </c>
      <c r="AC734" s="30">
        <f>AB734*H2dens*HoursInYear/10^6</f>
        <v>3.9848266666666663</v>
      </c>
      <c r="AD734" s="30"/>
      <c r="AE734" s="30">
        <f>IF(AND(G734&lt;&gt;"NG w CCUS",G734&lt;&gt;"Oil w CCUS",G734&lt;&gt;"Coal w CCUS"),AB734,AD734*10^3/(HoursInYear*IF(G734="NG w CCUS",0.9105,1.9075)))</f>
        <v>5111.1111111111113</v>
      </c>
      <c r="AF734" s="28" t="s">
        <v>3015</v>
      </c>
      <c r="AG734" s="28"/>
    </row>
    <row r="735" spans="1:33" ht="32.25" customHeight="1" x14ac:dyDescent="0.2">
      <c r="A735" s="27">
        <v>1058</v>
      </c>
      <c r="B735" s="27" t="s">
        <v>2947</v>
      </c>
      <c r="C735" s="27" t="s">
        <v>342</v>
      </c>
      <c r="D735" s="27">
        <v>2025</v>
      </c>
      <c r="E735" s="27"/>
      <c r="F735" s="27" t="s">
        <v>1336</v>
      </c>
      <c r="G735" s="27" t="s">
        <v>758</v>
      </c>
      <c r="H735" s="27" t="s">
        <v>1406</v>
      </c>
      <c r="I735" s="27" t="s">
        <v>768</v>
      </c>
      <c r="J735" s="27" t="s">
        <v>378</v>
      </c>
      <c r="K735" s="27" t="s">
        <v>377</v>
      </c>
      <c r="L735" s="27"/>
      <c r="M735" s="27"/>
      <c r="N735" s="27"/>
      <c r="O735" s="27"/>
      <c r="P735" s="27"/>
      <c r="Q735" s="27"/>
      <c r="R735" s="27"/>
      <c r="S735" s="27">
        <v>1</v>
      </c>
      <c r="T735" s="27"/>
      <c r="U735" s="27"/>
      <c r="V735" s="27"/>
      <c r="W735" s="27"/>
      <c r="X735" s="27"/>
      <c r="Y735" s="27"/>
      <c r="Z735" s="27" t="s">
        <v>1407</v>
      </c>
      <c r="AA735" s="29">
        <v>10</v>
      </c>
      <c r="AB735" s="30">
        <f>IF(OR(G735="ALK",G735="PEM",G735="SOEC",G735="Other Electrolysis"),
AA735/VLOOKUP(G735,ElectrolysisConvF,3,FALSE),
AC735*10^6/(H2dens*HoursInYear))</f>
        <v>2222.2222222222222</v>
      </c>
      <c r="AC735" s="30">
        <f>AB735*H2dens*HoursInYear/10^6</f>
        <v>1.7325333333333333</v>
      </c>
      <c r="AD735" s="30"/>
      <c r="AE735" s="30">
        <f>IF(AND(G735&lt;&gt;"NG w CCUS",G735&lt;&gt;"Oil w CCUS",G735&lt;&gt;"Coal w CCUS"),AB735,AD735*10^3/(HoursInYear*IF(G735="NG w CCUS",0.9105,1.9075)))</f>
        <v>2222.2222222222222</v>
      </c>
      <c r="AF735" s="28" t="s">
        <v>3014</v>
      </c>
      <c r="AG735" s="28"/>
    </row>
    <row r="736" spans="1:33" ht="32.25" customHeight="1" x14ac:dyDescent="0.2">
      <c r="A736" s="27">
        <v>1059</v>
      </c>
      <c r="B736" s="27" t="s">
        <v>2948</v>
      </c>
      <c r="C736" s="27" t="s">
        <v>622</v>
      </c>
      <c r="D736" s="27">
        <v>2024</v>
      </c>
      <c r="E736" s="27"/>
      <c r="F736" s="27" t="s">
        <v>916</v>
      </c>
      <c r="G736" s="27" t="s">
        <v>758</v>
      </c>
      <c r="H736" s="27" t="s">
        <v>1406</v>
      </c>
      <c r="I736" s="27" t="s">
        <v>756</v>
      </c>
      <c r="J736" s="27" t="str">
        <f>IF(I736&lt;&gt;"Dedicated renewable","N/A",)</f>
        <v>N/A</v>
      </c>
      <c r="K736" s="27" t="s">
        <v>377</v>
      </c>
      <c r="L736" s="27"/>
      <c r="M736" s="27"/>
      <c r="N736" s="27"/>
      <c r="O736" s="27"/>
      <c r="P736" s="27"/>
      <c r="Q736" s="27"/>
      <c r="R736" s="27"/>
      <c r="S736" s="27">
        <v>1</v>
      </c>
      <c r="T736" s="27"/>
      <c r="U736" s="27"/>
      <c r="V736" s="27"/>
      <c r="W736" s="27"/>
      <c r="X736" s="27"/>
      <c r="Y736" s="27"/>
      <c r="Z736" s="27" t="s">
        <v>1896</v>
      </c>
      <c r="AA736" s="29">
        <v>1</v>
      </c>
      <c r="AB736" s="30">
        <f>IF(OR(G736="ALK",G736="PEM",G736="SOEC",G736="Other Electrolysis"),
AA736/VLOOKUP(G736,ElectrolysisConvF,3,FALSE),
AC736*10^6/(H2dens*HoursInYear))</f>
        <v>222.22222222222223</v>
      </c>
      <c r="AC736" s="30">
        <f>AB736*H2dens*HoursInYear/10^6</f>
        <v>0.17325333333333334</v>
      </c>
      <c r="AD736" s="30"/>
      <c r="AE736" s="30">
        <f>IF(AND(G736&lt;&gt;"NG w CCUS",G736&lt;&gt;"Oil w CCUS",G736&lt;&gt;"Coal w CCUS"),AB736,AD736*10^3/(HoursInYear*IF(G736="NG w CCUS",0.9105,1.9075)))</f>
        <v>222.22222222222223</v>
      </c>
      <c r="AF736" s="28" t="s">
        <v>3014</v>
      </c>
      <c r="AG736" s="28"/>
    </row>
    <row r="737" spans="1:33" ht="32.25" customHeight="1" x14ac:dyDescent="0.2">
      <c r="A737" s="27">
        <v>1060</v>
      </c>
      <c r="B737" s="27" t="s">
        <v>2949</v>
      </c>
      <c r="C737" s="27" t="s">
        <v>985</v>
      </c>
      <c r="D737" s="27">
        <v>2030</v>
      </c>
      <c r="E737" s="27"/>
      <c r="F737" s="27" t="s">
        <v>1336</v>
      </c>
      <c r="G737" s="27" t="s">
        <v>758</v>
      </c>
      <c r="H737" s="27" t="s">
        <v>1406</v>
      </c>
      <c r="I737" s="27" t="s">
        <v>866</v>
      </c>
      <c r="J737" s="27" t="str">
        <f>IF(I737&lt;&gt;"Dedicated renewable","N/A",)</f>
        <v>N/A</v>
      </c>
      <c r="K737" s="27" t="s">
        <v>377</v>
      </c>
      <c r="L737" s="27"/>
      <c r="M737" s="27"/>
      <c r="N737" s="27"/>
      <c r="O737" s="27"/>
      <c r="P737" s="27"/>
      <c r="Q737" s="27"/>
      <c r="R737" s="27"/>
      <c r="S737" s="27"/>
      <c r="T737" s="27"/>
      <c r="U737" s="27"/>
      <c r="V737" s="27"/>
      <c r="W737" s="27"/>
      <c r="X737" s="27"/>
      <c r="Y737" s="27"/>
      <c r="Z737" s="27"/>
      <c r="AA737" s="29"/>
      <c r="AB737" s="30"/>
      <c r="AC737" s="30"/>
      <c r="AD737" s="30"/>
      <c r="AE737" s="30">
        <f>IF(AND(G737&lt;&gt;"NG w CCUS",G737&lt;&gt;"Oil w CCUS",G737&lt;&gt;"Coal w CCUS"),AB737,AD737*10^3/(HoursInYear*IF(G737="NG w CCUS",0.9105,1.9075)))</f>
        <v>0</v>
      </c>
      <c r="AF737" s="28" t="s">
        <v>3014</v>
      </c>
      <c r="AG737" s="28"/>
    </row>
    <row r="738" spans="1:33" ht="32.25" customHeight="1" x14ac:dyDescent="0.2">
      <c r="A738" s="27">
        <v>1061</v>
      </c>
      <c r="B738" s="27" t="s">
        <v>2950</v>
      </c>
      <c r="C738" s="27" t="s">
        <v>978</v>
      </c>
      <c r="D738" s="27">
        <v>2025</v>
      </c>
      <c r="E738" s="27"/>
      <c r="F738" s="27" t="s">
        <v>832</v>
      </c>
      <c r="G738" s="27" t="s">
        <v>758</v>
      </c>
      <c r="H738" s="27" t="s">
        <v>1406</v>
      </c>
      <c r="I738" s="27" t="s">
        <v>768</v>
      </c>
      <c r="J738" s="27" t="s">
        <v>378</v>
      </c>
      <c r="K738" s="27" t="s">
        <v>377</v>
      </c>
      <c r="L738" s="27"/>
      <c r="M738" s="27"/>
      <c r="N738" s="27"/>
      <c r="O738" s="27"/>
      <c r="P738" s="27"/>
      <c r="Q738" s="27"/>
      <c r="R738" s="27"/>
      <c r="S738" s="27">
        <v>1</v>
      </c>
      <c r="T738" s="27"/>
      <c r="U738" s="27"/>
      <c r="V738" s="27"/>
      <c r="W738" s="27"/>
      <c r="X738" s="27"/>
      <c r="Y738" s="27"/>
      <c r="Z738" s="27" t="s">
        <v>2981</v>
      </c>
      <c r="AA738" s="29">
        <v>84</v>
      </c>
      <c r="AB738" s="30">
        <f>IF(OR(G738="ALK",G738="PEM",G738="SOEC",G738="Other Electrolysis"),
AA738/VLOOKUP(G738,ElectrolysisConvF,3,FALSE),
AC738*10^6/(H2dens*HoursInYear))</f>
        <v>18666.666666666668</v>
      </c>
      <c r="AC738" s="30">
        <f>AB738*H2dens*HoursInYear/10^6</f>
        <v>14.553280000000001</v>
      </c>
      <c r="AD738" s="30"/>
      <c r="AE738" s="30">
        <f>IF(AND(G738&lt;&gt;"NG w CCUS",G738&lt;&gt;"Oil w CCUS",G738&lt;&gt;"Coal w CCUS"),AB738,AD738*10^3/(HoursInYear*IF(G738="NG w CCUS",0.9105,1.9075)))</f>
        <v>18666.666666666668</v>
      </c>
      <c r="AF738" s="28" t="s">
        <v>3014</v>
      </c>
      <c r="AG738" s="28"/>
    </row>
    <row r="739" spans="1:33" ht="32.25" customHeight="1" x14ac:dyDescent="0.2">
      <c r="A739" s="27">
        <v>1062</v>
      </c>
      <c r="B739" s="27" t="s">
        <v>2951</v>
      </c>
      <c r="C739" s="27" t="s">
        <v>978</v>
      </c>
      <c r="D739" s="27">
        <v>2035</v>
      </c>
      <c r="E739" s="27"/>
      <c r="F739" s="27" t="s">
        <v>1336</v>
      </c>
      <c r="G739" s="27" t="s">
        <v>758</v>
      </c>
      <c r="H739" s="27" t="s">
        <v>1406</v>
      </c>
      <c r="I739" s="27" t="s">
        <v>768</v>
      </c>
      <c r="J739" s="27" t="s">
        <v>378</v>
      </c>
      <c r="K739" s="27" t="s">
        <v>377</v>
      </c>
      <c r="L739" s="27"/>
      <c r="M739" s="27"/>
      <c r="N739" s="27"/>
      <c r="O739" s="27"/>
      <c r="P739" s="27"/>
      <c r="Q739" s="27"/>
      <c r="R739" s="27"/>
      <c r="S739" s="27">
        <v>1</v>
      </c>
      <c r="T739" s="27"/>
      <c r="U739" s="27"/>
      <c r="V739" s="27"/>
      <c r="W739" s="27"/>
      <c r="X739" s="27"/>
      <c r="Y739" s="27"/>
      <c r="Z739" s="27" t="s">
        <v>2982</v>
      </c>
      <c r="AA739" s="29">
        <v>248</v>
      </c>
      <c r="AB739" s="30">
        <f>IF(OR(G739="ALK",G739="PEM",G739="SOEC",G739="Other Electrolysis"),
AA739/VLOOKUP(G739,ElectrolysisConvF,3,FALSE),
AC739*10^6/(H2dens*HoursInYear))</f>
        <v>55111.111111111117</v>
      </c>
      <c r="AC739" s="30">
        <f>AB739*H2dens*HoursInYear/10^6</f>
        <v>42.96682666666667</v>
      </c>
      <c r="AD739" s="30"/>
      <c r="AE739" s="30">
        <f>IF(AND(G739&lt;&gt;"NG w CCUS",G739&lt;&gt;"Oil w CCUS",G739&lt;&gt;"Coal w CCUS"),AB739,AD739*10^3/(HoursInYear*IF(G739="NG w CCUS",0.9105,1.9075)))</f>
        <v>55111.111111111117</v>
      </c>
      <c r="AF739" s="28" t="s">
        <v>3014</v>
      </c>
      <c r="AG739" s="28"/>
    </row>
    <row r="740" spans="1:33" ht="32.25" customHeight="1" x14ac:dyDescent="0.2">
      <c r="A740" s="27">
        <v>1063</v>
      </c>
      <c r="B740" s="27" t="s">
        <v>2952</v>
      </c>
      <c r="C740" s="27" t="s">
        <v>804</v>
      </c>
      <c r="D740" s="27"/>
      <c r="E740" s="27"/>
      <c r="F740" s="27" t="s">
        <v>753</v>
      </c>
      <c r="G740" s="27" t="s">
        <v>266</v>
      </c>
      <c r="H740" s="27"/>
      <c r="I740" s="27" t="s">
        <v>768</v>
      </c>
      <c r="J740" s="27" t="s">
        <v>865</v>
      </c>
      <c r="K740" s="27" t="s">
        <v>377</v>
      </c>
      <c r="L740" s="27"/>
      <c r="M740" s="27"/>
      <c r="N740" s="27"/>
      <c r="O740" s="27"/>
      <c r="P740" s="27"/>
      <c r="Q740" s="27">
        <v>1</v>
      </c>
      <c r="R740" s="27"/>
      <c r="S740" s="27"/>
      <c r="T740" s="27"/>
      <c r="U740" s="27"/>
      <c r="V740" s="27"/>
      <c r="W740" s="27"/>
      <c r="X740" s="27"/>
      <c r="Y740" s="27"/>
      <c r="Z740" s="27" t="s">
        <v>2983</v>
      </c>
      <c r="AA740" s="29">
        <f>IF(OR(G740="ALK",G740="PEM",G740="SOEC",G740="Other Electrolysis"),
AB740*VLOOKUP(G740,ElectrolysisConvF,3,FALSE),
"")</f>
        <v>2.9346878046277767</v>
      </c>
      <c r="AB740" s="30">
        <f>AC740/(H2dens*HoursInYear/10^6)</f>
        <v>564.36303935149556</v>
      </c>
      <c r="AC740" s="30">
        <v>0.44</v>
      </c>
      <c r="AD740" s="30"/>
      <c r="AE740" s="30">
        <f>IF(AND(G740&lt;&gt;"NG w CCUS",G740&lt;&gt;"Oil w CCUS",G740&lt;&gt;"Coal w CCUS"),AB740,AD740*10^3/(HoursInYear*IF(G740="NG w CCUS",0.9105,1.9075)))</f>
        <v>564.36303935149556</v>
      </c>
      <c r="AF740" s="28" t="s">
        <v>3016</v>
      </c>
      <c r="AG740" s="28"/>
    </row>
    <row r="741" spans="1:33" ht="32.25" customHeight="1" x14ac:dyDescent="0.2">
      <c r="A741" s="27">
        <v>1064</v>
      </c>
      <c r="B741" s="27" t="s">
        <v>2953</v>
      </c>
      <c r="C741" s="27" t="s">
        <v>331</v>
      </c>
      <c r="D741" s="27">
        <v>2021</v>
      </c>
      <c r="E741" s="27"/>
      <c r="F741" s="27" t="s">
        <v>753</v>
      </c>
      <c r="G741" s="27" t="s">
        <v>758</v>
      </c>
      <c r="H741" s="27" t="s">
        <v>1406</v>
      </c>
      <c r="I741" s="27" t="s">
        <v>768</v>
      </c>
      <c r="J741" s="27" t="s">
        <v>378</v>
      </c>
      <c r="K741" s="27" t="s">
        <v>377</v>
      </c>
      <c r="L741" s="27"/>
      <c r="M741" s="27"/>
      <c r="N741" s="27"/>
      <c r="O741" s="27"/>
      <c r="P741" s="27"/>
      <c r="Q741" s="27">
        <v>1</v>
      </c>
      <c r="R741" s="27"/>
      <c r="S741" s="27"/>
      <c r="T741" s="27"/>
      <c r="U741" s="27"/>
      <c r="V741" s="27"/>
      <c r="W741" s="27"/>
      <c r="X741" s="27"/>
      <c r="Y741" s="27"/>
      <c r="Z741" s="27" t="s">
        <v>1566</v>
      </c>
      <c r="AA741" s="29">
        <v>1.5</v>
      </c>
      <c r="AB741" s="30">
        <f>IF(OR(G741="ALK",G741="PEM",G741="SOEC",G741="Other Electrolysis"),
AA741/VLOOKUP(G741,ElectrolysisConvF,3,FALSE),
AC741*10^6/(H2dens*HoursInYear))</f>
        <v>333.33333333333337</v>
      </c>
      <c r="AC741" s="30">
        <f>AB741*0.089*24*365/10^6</f>
        <v>0.25988</v>
      </c>
      <c r="AD741" s="30"/>
      <c r="AE741" s="30">
        <f>IF(AND(G741&lt;&gt;"NG w CCUS",G741&lt;&gt;"Oil w CCUS",G741&lt;&gt;"Coal w CCUS"),AB741,AD741*10^3/(HoursInYear*IF(G741="NG w CCUS",0.9105,1.9075)))</f>
        <v>333.33333333333337</v>
      </c>
      <c r="AF741" s="28" t="s">
        <v>2878</v>
      </c>
      <c r="AG741" s="28"/>
    </row>
    <row r="742" spans="1:33" ht="32.25" customHeight="1" x14ac:dyDescent="0.2">
      <c r="A742" s="27">
        <v>1065</v>
      </c>
      <c r="B742" s="27" t="s">
        <v>2954</v>
      </c>
      <c r="C742" s="27" t="s">
        <v>331</v>
      </c>
      <c r="D742" s="27">
        <v>2021</v>
      </c>
      <c r="E742" s="27"/>
      <c r="F742" s="27" t="s">
        <v>753</v>
      </c>
      <c r="G742" s="27" t="s">
        <v>758</v>
      </c>
      <c r="H742" s="27" t="s">
        <v>1406</v>
      </c>
      <c r="I742" s="27" t="s">
        <v>768</v>
      </c>
      <c r="J742" s="27" t="s">
        <v>378</v>
      </c>
      <c r="K742" s="27" t="s">
        <v>377</v>
      </c>
      <c r="L742" s="27"/>
      <c r="M742" s="27"/>
      <c r="N742" s="27"/>
      <c r="O742" s="27"/>
      <c r="P742" s="27"/>
      <c r="Q742" s="27">
        <v>1</v>
      </c>
      <c r="R742" s="27"/>
      <c r="S742" s="27"/>
      <c r="T742" s="27"/>
      <c r="U742" s="27"/>
      <c r="V742" s="27"/>
      <c r="W742" s="27"/>
      <c r="X742" s="27"/>
      <c r="Y742" s="27"/>
      <c r="Z742" s="27">
        <v>0.5</v>
      </c>
      <c r="AA742" s="29">
        <v>1.5</v>
      </c>
      <c r="AB742" s="30">
        <f>IF(OR(G742="ALK",G742="PEM",G742="SOEC",G742="Other Electrolysis"),
AA742/VLOOKUP(G742,ElectrolysisConvF,3,FALSE),
AC742*10^6/(H2dens*HoursInYear))</f>
        <v>333.33333333333337</v>
      </c>
      <c r="AC742" s="30">
        <f>AB742*0.089*24*365/10^6</f>
        <v>0.25988</v>
      </c>
      <c r="AD742" s="30"/>
      <c r="AE742" s="30">
        <f>IF(AND(G742&lt;&gt;"NG w CCUS",G742&lt;&gt;"Oil w CCUS",G742&lt;&gt;"Coal w CCUS"),AB742,AD742*10^3/(HoursInYear*IF(G742="NG w CCUS",0.9105,1.9075)))</f>
        <v>333.33333333333337</v>
      </c>
      <c r="AF742" s="28" t="s">
        <v>2878</v>
      </c>
      <c r="AG742" s="28"/>
    </row>
    <row r="743" spans="1:33" ht="32.25" customHeight="1" x14ac:dyDescent="0.2">
      <c r="A743" s="27">
        <v>1066</v>
      </c>
      <c r="B743" s="55" t="s">
        <v>2955</v>
      </c>
      <c r="C743" s="55" t="s">
        <v>331</v>
      </c>
      <c r="D743" s="55">
        <v>2027</v>
      </c>
      <c r="E743" s="55"/>
      <c r="F743" s="55" t="s">
        <v>753</v>
      </c>
      <c r="G743" s="55" t="s">
        <v>758</v>
      </c>
      <c r="H743" s="55" t="s">
        <v>1406</v>
      </c>
      <c r="I743" s="55" t="s">
        <v>768</v>
      </c>
      <c r="J743" s="55" t="s">
        <v>865</v>
      </c>
      <c r="K743" s="55"/>
      <c r="L743" s="55"/>
      <c r="M743" s="55"/>
      <c r="N743" s="55"/>
      <c r="O743" s="55"/>
      <c r="P743" s="55"/>
      <c r="Q743" s="55">
        <v>1</v>
      </c>
      <c r="R743" s="55"/>
      <c r="S743" s="55"/>
      <c r="T743" s="55"/>
      <c r="U743" s="55"/>
      <c r="V743" s="55"/>
      <c r="W743" s="55"/>
      <c r="X743" s="55"/>
      <c r="Y743" s="55"/>
      <c r="Z743" s="55" t="s">
        <v>2091</v>
      </c>
      <c r="AA743" s="57">
        <v>60</v>
      </c>
      <c r="AB743" s="58">
        <f>IF(OR(G743="ALK",G743="PEM",G743="SOEC",G743="Other Electrolysis"),
AA743/VLOOKUP(G743,ElectrolysisConvF,3,FALSE),
AC743*10^6/(H2dens*HoursInYear))</f>
        <v>13333.333333333334</v>
      </c>
      <c r="AC743" s="58">
        <f>AB743*H2dens*HoursInYear/10^6</f>
        <v>10.395200000000001</v>
      </c>
      <c r="AD743" s="58"/>
      <c r="AE743" s="58">
        <f>IF(AND(G743&lt;&gt;"NG w CCUS",G743&lt;&gt;"Oil w CCUS",G743&lt;&gt;"Coal w CCUS"),AB743,AD743*10^3/(HoursInYear*IF(G743="NG w CCUS",0.9105,1.9075)))</f>
        <v>13333.333333333334</v>
      </c>
      <c r="AF743" s="56"/>
      <c r="AG743" s="28"/>
    </row>
    <row r="744" spans="1:33" ht="32.25" customHeight="1" x14ac:dyDescent="0.2">
      <c r="A744" s="27">
        <v>1067</v>
      </c>
      <c r="B744" s="27" t="s">
        <v>2956</v>
      </c>
      <c r="C744" s="27" t="s">
        <v>337</v>
      </c>
      <c r="D744" s="27"/>
      <c r="E744" s="27"/>
      <c r="F744" s="27" t="s">
        <v>832</v>
      </c>
      <c r="G744" s="27" t="s">
        <v>758</v>
      </c>
      <c r="H744" s="27" t="s">
        <v>1406</v>
      </c>
      <c r="I744" s="27" t="s">
        <v>756</v>
      </c>
      <c r="J744" s="27" t="str">
        <f>IF(I744&lt;&gt;"Dedicated renewable","N/A",)</f>
        <v>N/A</v>
      </c>
      <c r="K744" s="27" t="s">
        <v>377</v>
      </c>
      <c r="L744" s="27"/>
      <c r="M744" s="27"/>
      <c r="N744" s="27"/>
      <c r="O744" s="27"/>
      <c r="P744" s="27"/>
      <c r="Q744" s="27"/>
      <c r="R744" s="27"/>
      <c r="S744" s="27">
        <v>1</v>
      </c>
      <c r="T744" s="27"/>
      <c r="U744" s="27"/>
      <c r="V744" s="27"/>
      <c r="W744" s="27"/>
      <c r="X744" s="27"/>
      <c r="Y744" s="27"/>
      <c r="Z744" s="27" t="s">
        <v>1902</v>
      </c>
      <c r="AA744" s="29">
        <v>50</v>
      </c>
      <c r="AB744" s="30">
        <f>IF(OR(G744="ALK",G744="PEM",G744="SOEC",G744="Other Electrolysis"),
AA744/VLOOKUP(G744,ElectrolysisConvF,3,FALSE),
AC744*10^6/(H2dens*HoursInYear))</f>
        <v>11111.111111111111</v>
      </c>
      <c r="AC744" s="30">
        <f>AB744*H2dens*HoursInYear/10^6</f>
        <v>8.6626666666666665</v>
      </c>
      <c r="AD744" s="30"/>
      <c r="AE744" s="30">
        <f>IF(AND(G744&lt;&gt;"NG w CCUS",G744&lt;&gt;"Oil w CCUS",G744&lt;&gt;"Coal w CCUS"),AB744,AD744*10^3/(HoursInYear*IF(G744="NG w CCUS",0.9105,1.9075)))</f>
        <v>11111.111111111111</v>
      </c>
      <c r="AF744" s="28" t="s">
        <v>2892</v>
      </c>
      <c r="AG744" s="28"/>
    </row>
    <row r="745" spans="1:33" ht="32.25" customHeight="1" x14ac:dyDescent="0.2">
      <c r="A745" s="27">
        <v>1068</v>
      </c>
      <c r="B745" s="27" t="s">
        <v>2957</v>
      </c>
      <c r="C745" s="27" t="s">
        <v>361</v>
      </c>
      <c r="D745" s="27">
        <v>2025</v>
      </c>
      <c r="E745" s="27"/>
      <c r="F745" s="27" t="s">
        <v>1336</v>
      </c>
      <c r="G745" s="27" t="s">
        <v>758</v>
      </c>
      <c r="H745" s="27" t="s">
        <v>1406</v>
      </c>
      <c r="I745" s="27" t="s">
        <v>768</v>
      </c>
      <c r="J745" s="27" t="s">
        <v>865</v>
      </c>
      <c r="K745" s="27" t="s">
        <v>740</v>
      </c>
      <c r="L745" s="27"/>
      <c r="M745" s="27">
        <v>1</v>
      </c>
      <c r="N745" s="27"/>
      <c r="O745" s="27"/>
      <c r="P745" s="27"/>
      <c r="Q745" s="27"/>
      <c r="R745" s="27"/>
      <c r="S745" s="27"/>
      <c r="T745" s="27"/>
      <c r="U745" s="27"/>
      <c r="V745" s="27"/>
      <c r="W745" s="27"/>
      <c r="X745" s="27"/>
      <c r="Y745" s="27"/>
      <c r="Z745" s="27" t="s">
        <v>2984</v>
      </c>
      <c r="AA745" s="29">
        <f>IF(OR(G745="ALK",G745="PEM",G745="SOEC",G745="Other Electrolysis"),
AB745*VLOOKUP(G745,ElectrolysisConvF,3,FALSE),
"")</f>
        <v>1369.3820224719102</v>
      </c>
      <c r="AB745" s="30">
        <f>AC745/(H2dens*HoursInYear/10^6)</f>
        <v>304307.11610486894</v>
      </c>
      <c r="AC745" s="30">
        <f>0.65*365</f>
        <v>237.25</v>
      </c>
      <c r="AD745" s="30"/>
      <c r="AE745" s="30">
        <f>IF(AND(G745&lt;&gt;"NG w CCUS",G745&lt;&gt;"Oil w CCUS",G745&lt;&gt;"Coal w CCUS"),AB745,AD745*10^3/(HoursInYear*IF(G745="NG w CCUS",0.9105,1.9075)))</f>
        <v>304307.11610486894</v>
      </c>
      <c r="AF745" s="28" t="s">
        <v>3017</v>
      </c>
      <c r="AG745" s="74" t="s">
        <v>3899</v>
      </c>
    </row>
    <row r="746" spans="1:33" ht="32.25" customHeight="1" x14ac:dyDescent="0.2">
      <c r="A746" s="27">
        <v>1069</v>
      </c>
      <c r="B746" s="27" t="s">
        <v>2958</v>
      </c>
      <c r="C746" s="27" t="s">
        <v>804</v>
      </c>
      <c r="D746" s="27">
        <v>2025</v>
      </c>
      <c r="E746" s="27"/>
      <c r="F746" s="27" t="s">
        <v>753</v>
      </c>
      <c r="G746" s="27" t="s">
        <v>266</v>
      </c>
      <c r="H746" s="27"/>
      <c r="I746" s="27" t="s">
        <v>768</v>
      </c>
      <c r="J746" s="27" t="s">
        <v>378</v>
      </c>
      <c r="K746" s="27" t="s">
        <v>377</v>
      </c>
      <c r="L746" s="27"/>
      <c r="M746" s="27"/>
      <c r="N746" s="27"/>
      <c r="O746" s="27"/>
      <c r="P746" s="27"/>
      <c r="Q746" s="27">
        <v>1</v>
      </c>
      <c r="R746" s="27"/>
      <c r="S746" s="27"/>
      <c r="T746" s="27"/>
      <c r="U746" s="27"/>
      <c r="V746" s="27"/>
      <c r="W746" s="27"/>
      <c r="X746" s="27"/>
      <c r="Y746" s="27"/>
      <c r="Z746" s="27" t="s">
        <v>2985</v>
      </c>
      <c r="AA746" s="29">
        <f>IF(OR(G746="ALK",G746="PEM",G746="SOEC",G746="Other Electrolysis"),
AB746*VLOOKUP(G746,ElectrolysisConvF,3,FALSE),
"")</f>
        <v>2.8726591760299622</v>
      </c>
      <c r="AB746" s="30">
        <f>AC746/(H2dens*HoursInYear/10^6)</f>
        <v>552.43445692883893</v>
      </c>
      <c r="AC746" s="30">
        <f>1.18*365/1000</f>
        <v>0.43069999999999997</v>
      </c>
      <c r="AD746" s="30"/>
      <c r="AE746" s="30">
        <f>IF(AND(G746&lt;&gt;"NG w CCUS",G746&lt;&gt;"Oil w CCUS",G746&lt;&gt;"Coal w CCUS"),AB746,AD746*10^3/(HoursInYear*IF(G746="NG w CCUS",0.9105,1.9075)))</f>
        <v>552.43445692883893</v>
      </c>
      <c r="AF746" s="28" t="s">
        <v>3018</v>
      </c>
      <c r="AG746" s="28"/>
    </row>
    <row r="747" spans="1:33" ht="32.25" customHeight="1" x14ac:dyDescent="0.2">
      <c r="A747" s="27">
        <v>1070</v>
      </c>
      <c r="B747" s="27" t="s">
        <v>2959</v>
      </c>
      <c r="C747" s="27" t="s">
        <v>804</v>
      </c>
      <c r="D747" s="27">
        <v>2024</v>
      </c>
      <c r="E747" s="27"/>
      <c r="F747" s="27" t="s">
        <v>1336</v>
      </c>
      <c r="G747" s="27" t="s">
        <v>266</v>
      </c>
      <c r="H747" s="27"/>
      <c r="I747" s="27" t="s">
        <v>866</v>
      </c>
      <c r="J747" s="27" t="str">
        <f>IF(I747&lt;&gt;"Dedicated renewable","N/A",)</f>
        <v>N/A</v>
      </c>
      <c r="K747" s="27" t="s">
        <v>377</v>
      </c>
      <c r="L747" s="27"/>
      <c r="M747" s="27"/>
      <c r="N747" s="27"/>
      <c r="O747" s="27">
        <v>1</v>
      </c>
      <c r="P747" s="27"/>
      <c r="Q747" s="27">
        <v>1</v>
      </c>
      <c r="R747" s="27"/>
      <c r="S747" s="27"/>
      <c r="T747" s="27"/>
      <c r="U747" s="27"/>
      <c r="V747" s="27"/>
      <c r="W747" s="27"/>
      <c r="X747" s="27"/>
      <c r="Y747" s="27"/>
      <c r="Z747" s="27" t="s">
        <v>2986</v>
      </c>
      <c r="AA747" s="29">
        <f>IF(OR(G747="ALK",G747="PEM",G747="SOEC",G747="Other Electrolysis"),
AB747*VLOOKUP(G747,ElectrolysisConvF,3,FALSE),
"")</f>
        <v>7.3033707865168536</v>
      </c>
      <c r="AB747" s="30">
        <f>AC747/(H2dens*HoursInYear/10^6)</f>
        <v>1404.4943820224719</v>
      </c>
      <c r="AC747" s="30">
        <f>3*365/1000</f>
        <v>1.095</v>
      </c>
      <c r="AD747" s="30"/>
      <c r="AE747" s="30">
        <f>IF(AND(G747&lt;&gt;"NG w CCUS",G747&lt;&gt;"Oil w CCUS",G747&lt;&gt;"Coal w CCUS"),AB747,AD747*10^3/(HoursInYear*IF(G747="NG w CCUS",0.9105,1.9075)))</f>
        <v>1404.4943820224719</v>
      </c>
      <c r="AF747" s="28" t="s">
        <v>3019</v>
      </c>
      <c r="AG747" s="28"/>
    </row>
    <row r="748" spans="1:33" ht="32.25" customHeight="1" x14ac:dyDescent="0.2">
      <c r="A748" s="27">
        <v>1071</v>
      </c>
      <c r="B748" s="27" t="s">
        <v>2960</v>
      </c>
      <c r="C748" s="27" t="s">
        <v>804</v>
      </c>
      <c r="D748" s="27">
        <v>2026</v>
      </c>
      <c r="E748" s="27"/>
      <c r="F748" s="27" t="s">
        <v>832</v>
      </c>
      <c r="G748" s="27" t="s">
        <v>266</v>
      </c>
      <c r="H748" s="27"/>
      <c r="I748" s="27" t="s">
        <v>768</v>
      </c>
      <c r="J748" s="27" t="s">
        <v>378</v>
      </c>
      <c r="K748" s="27" t="s">
        <v>377</v>
      </c>
      <c r="L748" s="27">
        <v>1</v>
      </c>
      <c r="M748" s="27">
        <v>1</v>
      </c>
      <c r="N748" s="27"/>
      <c r="O748" s="27"/>
      <c r="P748" s="27">
        <v>1</v>
      </c>
      <c r="Q748" s="27">
        <v>1</v>
      </c>
      <c r="R748" s="27"/>
      <c r="S748" s="27"/>
      <c r="T748" s="27"/>
      <c r="U748" s="27"/>
      <c r="V748" s="27"/>
      <c r="W748" s="27"/>
      <c r="X748" s="27"/>
      <c r="Y748" s="27"/>
      <c r="Z748" s="27" t="s">
        <v>2972</v>
      </c>
      <c r="AA748" s="29">
        <f>IF(OR(G748="ALK",G748="PEM",G748="SOEC",G748="Other Electrolysis"),
AB748*VLOOKUP(G748,ElectrolysisConvF,3,FALSE),
"")</f>
        <v>24.344569288389515</v>
      </c>
      <c r="AB748" s="30">
        <f>AC748/(H2dens*HoursInYear/10^6)</f>
        <v>4681.6479400749067</v>
      </c>
      <c r="AC748" s="30">
        <f>10*365/1000</f>
        <v>3.65</v>
      </c>
      <c r="AD748" s="30"/>
      <c r="AE748" s="30">
        <f>IF(AND(G748&lt;&gt;"NG w CCUS",G748&lt;&gt;"Oil w CCUS",G748&lt;&gt;"Coal w CCUS"),AB748,AD748*10^3/(HoursInYear*IF(G748="NG w CCUS",0.9105,1.9075)))</f>
        <v>4681.6479400749067</v>
      </c>
      <c r="AF748" s="28"/>
      <c r="AG748" s="28"/>
    </row>
    <row r="749" spans="1:33" ht="32.25" customHeight="1" x14ac:dyDescent="0.2">
      <c r="A749" s="27">
        <v>1072</v>
      </c>
      <c r="B749" s="27" t="s">
        <v>2961</v>
      </c>
      <c r="C749" s="27" t="s">
        <v>361</v>
      </c>
      <c r="D749" s="27">
        <v>2024</v>
      </c>
      <c r="E749" s="27"/>
      <c r="F749" s="27" t="s">
        <v>832</v>
      </c>
      <c r="G749" s="27" t="s">
        <v>266</v>
      </c>
      <c r="H749" s="27"/>
      <c r="I749" s="27"/>
      <c r="J749" s="27" t="s">
        <v>865</v>
      </c>
      <c r="K749" s="27" t="s">
        <v>767</v>
      </c>
      <c r="L749" s="27"/>
      <c r="M749" s="27"/>
      <c r="N749" s="27">
        <v>1</v>
      </c>
      <c r="O749" s="27"/>
      <c r="P749" s="27"/>
      <c r="Q749" s="27"/>
      <c r="R749" s="27"/>
      <c r="S749" s="27"/>
      <c r="T749" s="27"/>
      <c r="U749" s="27"/>
      <c r="V749" s="27"/>
      <c r="W749" s="27">
        <v>1</v>
      </c>
      <c r="X749" s="27"/>
      <c r="Y749" s="27"/>
      <c r="Z749" s="27" t="s">
        <v>3350</v>
      </c>
      <c r="AA749" s="29">
        <v>175</v>
      </c>
      <c r="AB749" s="30">
        <f>IF(OR(G749="ALK",G749="PEM",G749="SOEC",G749="Other Electrolysis"),
AA749/VLOOKUP(G749,ElectrolysisConvF,3,FALSE),
AC749*10^6/(H2dens*HoursInYear))</f>
        <v>33653.846153846156</v>
      </c>
      <c r="AC749" s="50">
        <f>AB749*H2dens*HoursInYear/10^6</f>
        <v>26.237884615384615</v>
      </c>
      <c r="AD749" s="30"/>
      <c r="AE749" s="30">
        <f>IF(AND(G749&lt;&gt;"NG w CCUS",G749&lt;&gt;"Oil w CCUS",G749&lt;&gt;"Coal w CCUS"),AB749,AD749*10^3/(HoursInYear*IF(G749="NG w CCUS",0.9105,1.9075)))</f>
        <v>33653.846153846156</v>
      </c>
      <c r="AF749" s="28" t="s">
        <v>3353</v>
      </c>
      <c r="AG749" s="74" t="s">
        <v>3879</v>
      </c>
    </row>
    <row r="750" spans="1:33" ht="32.25" customHeight="1" x14ac:dyDescent="0.2">
      <c r="A750" s="27">
        <v>1073</v>
      </c>
      <c r="B750" s="27" t="s">
        <v>2962</v>
      </c>
      <c r="C750" s="27" t="s">
        <v>361</v>
      </c>
      <c r="D750" s="27">
        <v>2026</v>
      </c>
      <c r="E750" s="27"/>
      <c r="F750" s="27" t="s">
        <v>1336</v>
      </c>
      <c r="G750" s="27" t="s">
        <v>758</v>
      </c>
      <c r="H750" s="27" t="s">
        <v>1406</v>
      </c>
      <c r="I750" s="27" t="s">
        <v>768</v>
      </c>
      <c r="J750" s="27" t="s">
        <v>865</v>
      </c>
      <c r="K750" s="27" t="s">
        <v>767</v>
      </c>
      <c r="L750" s="27"/>
      <c r="M750" s="27"/>
      <c r="N750" s="27">
        <v>1</v>
      </c>
      <c r="O750" s="27"/>
      <c r="P750" s="27"/>
      <c r="Q750" s="27"/>
      <c r="R750" s="27"/>
      <c r="S750" s="27"/>
      <c r="T750" s="27"/>
      <c r="U750" s="27"/>
      <c r="V750" s="27"/>
      <c r="W750" s="27">
        <v>1</v>
      </c>
      <c r="X750" s="27"/>
      <c r="Y750" s="27"/>
      <c r="Z750" s="27" t="s">
        <v>3351</v>
      </c>
      <c r="AA750" s="29">
        <v>2000</v>
      </c>
      <c r="AB750" s="30">
        <f>IF(OR(G750="ALK",G750="PEM",G750="SOEC",G750="Other Electrolysis"),
AA750/VLOOKUP(G750,ElectrolysisConvF,3,FALSE),
AC750*10^6/(H2dens*HoursInYear))</f>
        <v>444444.4444444445</v>
      </c>
      <c r="AC750" s="50">
        <f>AB750*H2dens*HoursInYear/10^6</f>
        <v>346.50666666666666</v>
      </c>
      <c r="AD750" s="30"/>
      <c r="AE750" s="30">
        <f>IF(AND(G750&lt;&gt;"NG w CCUS",G750&lt;&gt;"Oil w CCUS",G750&lt;&gt;"Coal w CCUS"),AB750,AD750*10^3/(HoursInYear*IF(G750="NG w CCUS",0.9105,1.9075)))</f>
        <v>444444.4444444445</v>
      </c>
      <c r="AF750" s="28" t="s">
        <v>3353</v>
      </c>
      <c r="AG750" s="74" t="s">
        <v>3881</v>
      </c>
    </row>
    <row r="751" spans="1:33" ht="32.25" customHeight="1" x14ac:dyDescent="0.2">
      <c r="A751" s="27">
        <v>1074</v>
      </c>
      <c r="B751" s="27" t="s">
        <v>2963</v>
      </c>
      <c r="C751" s="27" t="s">
        <v>336</v>
      </c>
      <c r="D751" s="27">
        <v>2022</v>
      </c>
      <c r="E751" s="27"/>
      <c r="F751" s="27" t="s">
        <v>754</v>
      </c>
      <c r="G751" s="27" t="s">
        <v>268</v>
      </c>
      <c r="H751" s="27"/>
      <c r="I751" s="27" t="s">
        <v>756</v>
      </c>
      <c r="J751" s="27" t="str">
        <f>IF(I751&lt;&gt;"Dedicated renewable","N/A",)</f>
        <v>N/A</v>
      </c>
      <c r="K751" s="27" t="s">
        <v>377</v>
      </c>
      <c r="L751" s="27"/>
      <c r="M751" s="27"/>
      <c r="N751" s="27"/>
      <c r="O751" s="27"/>
      <c r="P751" s="27"/>
      <c r="Q751" s="27"/>
      <c r="R751" s="27"/>
      <c r="S751" s="27"/>
      <c r="T751" s="27"/>
      <c r="U751" s="27"/>
      <c r="V751" s="27"/>
      <c r="W751" s="27"/>
      <c r="X751" s="27"/>
      <c r="Y751" s="27"/>
      <c r="Z751" s="27" t="s">
        <v>2987</v>
      </c>
      <c r="AA751" s="29">
        <f>IF(OR(G751="ALK",G751="PEM",G751="SOEC",G751="Other Electrolysis"),
AB751*VLOOKUP(G751,ElectrolysisConvF,3,FALSE),
"")</f>
        <v>0.19382022471910113</v>
      </c>
      <c r="AB751" s="30">
        <f>AC751/(0.089*24*365/10^6)</f>
        <v>42.134831460674157</v>
      </c>
      <c r="AC751" s="30">
        <f>0.09*365/1000</f>
        <v>3.2850000000000004E-2</v>
      </c>
      <c r="AD751" s="30"/>
      <c r="AE751" s="30">
        <f>IF(AND(G751&lt;&gt;"NG w CCUS",G751&lt;&gt;"Oil w CCUS",G751&lt;&gt;"Coal w CCUS"),AB751,AD751*10^3/(HoursInYear*IF(G751="NG w CCUS",0.9105,1.9075)))</f>
        <v>42.134831460674157</v>
      </c>
      <c r="AF751" s="28" t="s">
        <v>3020</v>
      </c>
      <c r="AG751" s="28"/>
    </row>
    <row r="752" spans="1:33" ht="32.25" customHeight="1" x14ac:dyDescent="0.2">
      <c r="A752" s="67">
        <v>1075</v>
      </c>
      <c r="B752" s="27" t="s">
        <v>3031</v>
      </c>
      <c r="C752" s="27" t="s">
        <v>356</v>
      </c>
      <c r="D752" s="27">
        <v>2022</v>
      </c>
      <c r="E752" s="27"/>
      <c r="F752" s="27" t="s">
        <v>753</v>
      </c>
      <c r="G752" s="27" t="s">
        <v>758</v>
      </c>
      <c r="H752" s="27" t="s">
        <v>1406</v>
      </c>
      <c r="I752" s="27" t="s">
        <v>768</v>
      </c>
      <c r="J752" s="27" t="s">
        <v>864</v>
      </c>
      <c r="K752" s="27" t="s">
        <v>377</v>
      </c>
      <c r="L752" s="27"/>
      <c r="M752" s="27"/>
      <c r="N752" s="27"/>
      <c r="O752" s="27"/>
      <c r="P752" s="27"/>
      <c r="Q752" s="27">
        <v>1</v>
      </c>
      <c r="R752" s="27"/>
      <c r="S752" s="27"/>
      <c r="T752" s="27"/>
      <c r="U752" s="27"/>
      <c r="V752" s="27"/>
      <c r="W752" s="27"/>
      <c r="X752" s="27"/>
      <c r="Y752" s="27"/>
      <c r="Z752" s="27" t="s">
        <v>1486</v>
      </c>
      <c r="AA752" s="29">
        <v>2.5</v>
      </c>
      <c r="AB752" s="30">
        <f>AA752/0.0052</f>
        <v>480.76923076923077</v>
      </c>
      <c r="AC752" s="30">
        <f>AB752*0.089*24*365/10^6</f>
        <v>0.37482692307692306</v>
      </c>
      <c r="AD752" s="30"/>
      <c r="AE752" s="30">
        <f>AB752</f>
        <v>480.76923076923077</v>
      </c>
      <c r="AF752" s="28" t="s">
        <v>3099</v>
      </c>
      <c r="AG752" s="28"/>
    </row>
    <row r="753" spans="1:33" ht="32.25" customHeight="1" x14ac:dyDescent="0.2">
      <c r="A753" s="67">
        <v>1076</v>
      </c>
      <c r="B753" s="27" t="s">
        <v>3033</v>
      </c>
      <c r="C753" s="27" t="s">
        <v>335</v>
      </c>
      <c r="D753" s="27">
        <v>2021</v>
      </c>
      <c r="E753" s="27"/>
      <c r="F753" s="27" t="s">
        <v>753</v>
      </c>
      <c r="G753" s="27" t="s">
        <v>758</v>
      </c>
      <c r="H753" s="27" t="s">
        <v>1406</v>
      </c>
      <c r="I753" s="27" t="s">
        <v>768</v>
      </c>
      <c r="J753" s="27" t="s">
        <v>865</v>
      </c>
      <c r="K753" s="27" t="s">
        <v>377</v>
      </c>
      <c r="L753" s="27">
        <v>1</v>
      </c>
      <c r="M753" s="27"/>
      <c r="N753" s="27"/>
      <c r="O753" s="27"/>
      <c r="P753" s="27"/>
      <c r="Q753" s="27"/>
      <c r="R753" s="27"/>
      <c r="S753" s="27"/>
      <c r="T753" s="27"/>
      <c r="U753" s="27"/>
      <c r="V753" s="27">
        <v>1</v>
      </c>
      <c r="W753" s="27"/>
      <c r="X753" s="27"/>
      <c r="Y753" s="27"/>
      <c r="Z753" s="27"/>
      <c r="AA753" s="29"/>
      <c r="AB753" s="30"/>
      <c r="AC753" s="30"/>
      <c r="AD753" s="30"/>
      <c r="AE753" s="30">
        <f>IF(AND(G753&lt;&gt;"NG w CCUS",G753&lt;&gt;"Oil w CCUS",G753&lt;&gt;"Coal w CCUS"),AB753,AD753*10^3/(HoursInYear*IF(G753="NG w CCUS",0.9105,1.9075)))</f>
        <v>0</v>
      </c>
      <c r="AF753" s="28" t="s">
        <v>3034</v>
      </c>
      <c r="AG753" s="28"/>
    </row>
    <row r="754" spans="1:33" ht="32.25" customHeight="1" x14ac:dyDescent="0.2">
      <c r="A754" s="67">
        <v>1077</v>
      </c>
      <c r="B754" s="27" t="s">
        <v>3039</v>
      </c>
      <c r="C754" s="27" t="s">
        <v>333</v>
      </c>
      <c r="D754" s="27">
        <v>2024</v>
      </c>
      <c r="E754" s="27"/>
      <c r="F754" s="27" t="s">
        <v>832</v>
      </c>
      <c r="G754" s="27" t="s">
        <v>758</v>
      </c>
      <c r="H754" s="27" t="s">
        <v>1406</v>
      </c>
      <c r="I754" s="27" t="s">
        <v>768</v>
      </c>
      <c r="J754" s="27" t="s">
        <v>378</v>
      </c>
      <c r="K754" s="27" t="s">
        <v>377</v>
      </c>
      <c r="L754" s="27"/>
      <c r="M754" s="27"/>
      <c r="N754" s="27"/>
      <c r="O754" s="27"/>
      <c r="P754" s="27"/>
      <c r="Q754" s="27"/>
      <c r="R754" s="27"/>
      <c r="S754" s="27"/>
      <c r="T754" s="27"/>
      <c r="U754" s="27"/>
      <c r="V754" s="27"/>
      <c r="W754" s="27"/>
      <c r="X754" s="27"/>
      <c r="Y754" s="27"/>
      <c r="Z754" s="27" t="s">
        <v>1403</v>
      </c>
      <c r="AA754" s="29">
        <v>20</v>
      </c>
      <c r="AB754" s="30">
        <f>IF(OR(G754="ALK",G754="PEM",G754="SOEC",G754="Other Electrolysis"),
AA754/VLOOKUP(G754,ElectrolysisConvF,3,FALSE),
AC754*10^6/(H2dens*HoursInYear))</f>
        <v>4444.4444444444443</v>
      </c>
      <c r="AC754" s="30">
        <f>AB754*H2dens*HoursInYear/10^6</f>
        <v>3.4650666666666665</v>
      </c>
      <c r="AD754" s="30"/>
      <c r="AE754" s="30">
        <f>IF(AND(G754&lt;&gt;"NG w CCUS",G754&lt;&gt;"Oil w CCUS",G754&lt;&gt;"Coal w CCUS"),AB754,AD754*10^3/(HoursInYear*IF(G754="NG w CCUS",0.9105,1.9075)))</f>
        <v>4444.4444444444443</v>
      </c>
      <c r="AF754" s="28" t="s">
        <v>3040</v>
      </c>
      <c r="AG754" s="28"/>
    </row>
    <row r="755" spans="1:33" ht="32.25" customHeight="1" x14ac:dyDescent="0.2">
      <c r="A755" s="67">
        <v>1078</v>
      </c>
      <c r="B755" s="27" t="s">
        <v>3044</v>
      </c>
      <c r="C755" s="27" t="s">
        <v>980</v>
      </c>
      <c r="D755" s="27"/>
      <c r="E755" s="27"/>
      <c r="F755" s="27" t="s">
        <v>1336</v>
      </c>
      <c r="G755" s="27" t="s">
        <v>758</v>
      </c>
      <c r="H755" s="27" t="s">
        <v>1406</v>
      </c>
      <c r="I755" s="27" t="s">
        <v>768</v>
      </c>
      <c r="J755" s="27" t="s">
        <v>378</v>
      </c>
      <c r="K755" s="27" t="s">
        <v>377</v>
      </c>
      <c r="L755" s="27"/>
      <c r="M755" s="27"/>
      <c r="N755" s="27"/>
      <c r="O755" s="27"/>
      <c r="P755" s="27">
        <v>1</v>
      </c>
      <c r="Q755" s="27"/>
      <c r="R755" s="27"/>
      <c r="S755" s="27"/>
      <c r="T755" s="27"/>
      <c r="U755" s="27"/>
      <c r="V755" s="27"/>
      <c r="W755" s="27"/>
      <c r="X755" s="27"/>
      <c r="Y755" s="27"/>
      <c r="Z755" s="27"/>
      <c r="AA755" s="29"/>
      <c r="AB755" s="30"/>
      <c r="AC755" s="30"/>
      <c r="AD755" s="30"/>
      <c r="AE755" s="30">
        <f>IF(AND(G755&lt;&gt;"NG w CCUS",G755&lt;&gt;"Oil w CCUS",G755&lt;&gt;"Coal w CCUS"),AB755,AD755*10^3/(HoursInYear*IF(G755="NG w CCUS",0.9105,1.9075)))</f>
        <v>0</v>
      </c>
      <c r="AF755" s="28" t="s">
        <v>3045</v>
      </c>
      <c r="AG755" s="28"/>
    </row>
    <row r="756" spans="1:33" ht="32.25" customHeight="1" x14ac:dyDescent="0.2">
      <c r="A756" s="67">
        <v>1079</v>
      </c>
      <c r="B756" s="27" t="s">
        <v>3050</v>
      </c>
      <c r="C756" s="27" t="s">
        <v>337</v>
      </c>
      <c r="D756" s="27">
        <v>0</v>
      </c>
      <c r="E756" s="27"/>
      <c r="F756" s="27" t="s">
        <v>753</v>
      </c>
      <c r="G756" s="27" t="s">
        <v>752</v>
      </c>
      <c r="H756" s="27" t="s">
        <v>3051</v>
      </c>
      <c r="I756" s="27"/>
      <c r="J756" s="27"/>
      <c r="K756" s="27" t="s">
        <v>377</v>
      </c>
      <c r="L756" s="27"/>
      <c r="M756" s="27"/>
      <c r="N756" s="27"/>
      <c r="O756" s="27"/>
      <c r="P756" s="27"/>
      <c r="Q756" s="27"/>
      <c r="R756" s="27"/>
      <c r="S756" s="27"/>
      <c r="T756" s="27"/>
      <c r="U756" s="27"/>
      <c r="V756" s="27"/>
      <c r="W756" s="27"/>
      <c r="X756" s="27"/>
      <c r="Y756" s="27"/>
      <c r="Z756" s="27" t="s">
        <v>3052</v>
      </c>
      <c r="AA756" s="29" t="str">
        <f>IF(OR(G756="ALK",G756="PEM",G756="SOEC",G756="Other Electrolysis"),
AB756*VLOOKUP(G756,ElectrolysisConvF,3,FALSE),
"")</f>
        <v/>
      </c>
      <c r="AB756" s="30">
        <f>IF(OR(G756="ALK",G756="PEM",G756="SOEC",G756="Other Electrolysis"),
AA756/VLOOKUP(G756,ElectrolysisConvF,3,FALSE),
AC756*10^6/(H2dens*HoursInYear))</f>
        <v>6413.2163562669948</v>
      </c>
      <c r="AC756" s="30">
        <v>5</v>
      </c>
      <c r="AD756" s="30"/>
      <c r="AE756" s="30">
        <f>IF(AND(G756&lt;&gt;"NG w CCUS",G756&lt;&gt;"Oil w CCUS",G756&lt;&gt;"Coal w CCUS"),AB756,AD756*10^3/(HoursInYear*IF(G756="NG w CCUS",0.9105,1.9075)))</f>
        <v>6413.2163562669948</v>
      </c>
      <c r="AF756" s="28" t="s">
        <v>3053</v>
      </c>
      <c r="AG756" s="28"/>
    </row>
    <row r="757" spans="1:33" ht="32.25" customHeight="1" x14ac:dyDescent="0.2">
      <c r="A757" s="67">
        <v>1081</v>
      </c>
      <c r="B757" s="27" t="s">
        <v>3056</v>
      </c>
      <c r="C757" s="27" t="s">
        <v>342</v>
      </c>
      <c r="D757" s="27">
        <v>2016</v>
      </c>
      <c r="E757" s="27"/>
      <c r="F757" s="27" t="s">
        <v>836</v>
      </c>
      <c r="G757" s="27" t="s">
        <v>760</v>
      </c>
      <c r="H757" s="27"/>
      <c r="I757" s="27"/>
      <c r="J757" s="27"/>
      <c r="K757" s="27" t="s">
        <v>377</v>
      </c>
      <c r="L757" s="27"/>
      <c r="M757" s="27"/>
      <c r="N757" s="27"/>
      <c r="O757" s="27"/>
      <c r="P757" s="27"/>
      <c r="Q757" s="27"/>
      <c r="R757" s="27"/>
      <c r="S757" s="27"/>
      <c r="T757" s="27"/>
      <c r="U757" s="27"/>
      <c r="V757" s="27"/>
      <c r="W757" s="27"/>
      <c r="X757" s="27"/>
      <c r="Y757" s="27"/>
      <c r="Z757" s="27" t="s">
        <v>3057</v>
      </c>
      <c r="AA757" s="29" t="str">
        <f>IF(OR(G757="ALK",G757="PEM",G757="SOEC",G757="Other Electrolysis"),
AB757*VLOOKUP(G757,ElectrolysisConvF,3,FALSE),
"")</f>
        <v/>
      </c>
      <c r="AB757" s="30">
        <v>1500</v>
      </c>
      <c r="AC757" s="30">
        <f>AB757*H2dens*HoursInYear/10^6</f>
        <v>1.1694599999999999</v>
      </c>
      <c r="AD757" s="30"/>
      <c r="AE757" s="30">
        <f>IF(AND(G757&lt;&gt;"NG w CCUS",G757&lt;&gt;"Oil w CCUS",G757&lt;&gt;"Coal w CCUS"),AB757,AD757*10^3/(HoursInYear*IF(G757="NG w CCUS",0.9105,1.9075)))</f>
        <v>0</v>
      </c>
      <c r="AF757" s="28"/>
      <c r="AG757" s="28"/>
    </row>
    <row r="758" spans="1:33" ht="32.25" customHeight="1" x14ac:dyDescent="0.2">
      <c r="A758" s="67">
        <v>1082</v>
      </c>
      <c r="B758" s="27" t="s">
        <v>3059</v>
      </c>
      <c r="C758" s="27" t="s">
        <v>333</v>
      </c>
      <c r="D758" s="27">
        <v>2014</v>
      </c>
      <c r="E758" s="27"/>
      <c r="F758" s="27" t="s">
        <v>836</v>
      </c>
      <c r="G758" s="27" t="s">
        <v>268</v>
      </c>
      <c r="H758" s="27"/>
      <c r="I758" s="27" t="s">
        <v>756</v>
      </c>
      <c r="J758" s="27"/>
      <c r="K758" s="27" t="s">
        <v>377</v>
      </c>
      <c r="L758" s="27"/>
      <c r="M758" s="27"/>
      <c r="N758" s="27"/>
      <c r="O758" s="27"/>
      <c r="P758" s="27"/>
      <c r="Q758" s="27"/>
      <c r="R758" s="27"/>
      <c r="S758" s="27"/>
      <c r="T758" s="27"/>
      <c r="U758" s="27"/>
      <c r="V758" s="27"/>
      <c r="W758" s="27"/>
      <c r="X758" s="27"/>
      <c r="Y758" s="27"/>
      <c r="Z758" s="27" t="s">
        <v>2315</v>
      </c>
      <c r="AA758" s="29">
        <v>9</v>
      </c>
      <c r="AB758" s="30">
        <f>IF(OR(G758="ALK",G758="PEM",G758="SOEC",G758="Other Electrolysis"),
AA758/VLOOKUP(G758,ElectrolysisConvF,3,FALSE),
AC758*10^6/(H2dens*HoursInYear))</f>
        <v>1956.5217391304348</v>
      </c>
      <c r="AC758" s="30">
        <f>AB758*H2dens*HoursInYear/10^6</f>
        <v>1.5253826086956521</v>
      </c>
      <c r="AD758" s="30"/>
      <c r="AE758" s="30">
        <f>IF(AND(G758&lt;&gt;"NG w CCUS",G758&lt;&gt;"Oil w CCUS",G758&lt;&gt;"Coal w CCUS"),AB758,AD758*10^3/(HoursInYear*IF(G758="NG w CCUS",0.9105,1.9075)))</f>
        <v>1956.5217391304348</v>
      </c>
      <c r="AF758" s="28" t="s">
        <v>3060</v>
      </c>
      <c r="AG758" s="28"/>
    </row>
    <row r="759" spans="1:33" ht="32.25" customHeight="1" x14ac:dyDescent="0.2">
      <c r="A759" s="67">
        <v>1083</v>
      </c>
      <c r="B759" s="27" t="s">
        <v>3065</v>
      </c>
      <c r="C759" s="27" t="s">
        <v>336</v>
      </c>
      <c r="D759" s="75">
        <v>2030</v>
      </c>
      <c r="E759" s="27"/>
      <c r="F759" s="27" t="s">
        <v>1336</v>
      </c>
      <c r="G759" s="27" t="s">
        <v>758</v>
      </c>
      <c r="H759" s="27" t="s">
        <v>1406</v>
      </c>
      <c r="I759" s="27" t="s">
        <v>768</v>
      </c>
      <c r="J759" s="27" t="s">
        <v>865</v>
      </c>
      <c r="K759" s="27" t="s">
        <v>767</v>
      </c>
      <c r="L759" s="27"/>
      <c r="M759" s="27"/>
      <c r="N759" s="27"/>
      <c r="O759" s="27"/>
      <c r="P759" s="27"/>
      <c r="Q759" s="27"/>
      <c r="R759" s="27"/>
      <c r="S759" s="27"/>
      <c r="T759" s="27"/>
      <c r="U759" s="27"/>
      <c r="V759" s="27"/>
      <c r="W759" s="27"/>
      <c r="X759" s="27"/>
      <c r="Y759" s="27"/>
      <c r="Z759" s="27" t="s">
        <v>3066</v>
      </c>
      <c r="AA759" s="29">
        <v>8000</v>
      </c>
      <c r="AB759" s="30">
        <f>IF(OR(G759="ALK",G759="PEM",G759="SOEC",G759="Other Electrolysis"),
AA759/VLOOKUP(G759,ElectrolysisConvF,3,FALSE),
AC759*10^6/(H2dens*HoursInYear))</f>
        <v>1777777.777777778</v>
      </c>
      <c r="AC759" s="30">
        <f>AB759*H2dens*HoursInYear/10^6</f>
        <v>1386.0266666666666</v>
      </c>
      <c r="AD759" s="30"/>
      <c r="AE759" s="30">
        <f>IF(AND(G759&lt;&gt;"NG w CCUS",G759&lt;&gt;"Oil w CCUS",G759&lt;&gt;"Coal w CCUS"),AB759,AD759*10^3/(HoursInYear*IF(G759="NG w CCUS",0.9105,1.9075)))</f>
        <v>1777777.777777778</v>
      </c>
      <c r="AF759" s="28" t="s">
        <v>3076</v>
      </c>
      <c r="AG759" s="76" t="s">
        <v>3857</v>
      </c>
    </row>
    <row r="760" spans="1:33" ht="32.25" customHeight="1" x14ac:dyDescent="0.2">
      <c r="A760" s="67">
        <v>1084</v>
      </c>
      <c r="B760" s="27" t="s">
        <v>3068</v>
      </c>
      <c r="C760" s="27" t="s">
        <v>338</v>
      </c>
      <c r="D760" s="27"/>
      <c r="E760" s="27"/>
      <c r="F760" s="27" t="s">
        <v>1336</v>
      </c>
      <c r="G760" s="27" t="s">
        <v>758</v>
      </c>
      <c r="H760" s="27" t="s">
        <v>1406</v>
      </c>
      <c r="I760" s="27" t="s">
        <v>768</v>
      </c>
      <c r="J760" s="27" t="s">
        <v>865</v>
      </c>
      <c r="K760" s="27" t="s">
        <v>377</v>
      </c>
      <c r="L760" s="27"/>
      <c r="M760" s="27"/>
      <c r="N760" s="27"/>
      <c r="O760" s="27"/>
      <c r="P760" s="27"/>
      <c r="Q760" s="27"/>
      <c r="R760" s="27"/>
      <c r="S760" s="27"/>
      <c r="T760" s="27"/>
      <c r="U760" s="27"/>
      <c r="V760" s="27"/>
      <c r="W760" s="27"/>
      <c r="X760" s="27"/>
      <c r="Y760" s="27"/>
      <c r="Z760" s="27" t="s">
        <v>3069</v>
      </c>
      <c r="AA760" s="29">
        <v>2000</v>
      </c>
      <c r="AB760" s="30">
        <f>IF(OR(G760="ALK",G760="PEM",G760="SOEC",G760="Other Electrolysis"),
AA760/VLOOKUP(G760,ElectrolysisConvF,3,FALSE),
AC760*10^6/(H2dens*HoursInYear))</f>
        <v>444444.4444444445</v>
      </c>
      <c r="AC760" s="30">
        <f>AB760*H2dens*HoursInYear/10^6</f>
        <v>346.50666666666666</v>
      </c>
      <c r="AD760" s="30"/>
      <c r="AE760" s="30">
        <f>IF(AND(G760&lt;&gt;"NG w CCUS",G760&lt;&gt;"Oil w CCUS",G760&lt;&gt;"Coal w CCUS"),AB760,AD760*10^3/(HoursInYear*IF(G760="NG w CCUS",0.9105,1.9075)))</f>
        <v>444444.4444444445</v>
      </c>
      <c r="AF760" s="28" t="s">
        <v>3067</v>
      </c>
      <c r="AG760" s="28"/>
    </row>
    <row r="761" spans="1:33" ht="32.25" customHeight="1" x14ac:dyDescent="0.2">
      <c r="A761" s="67">
        <v>1085</v>
      </c>
      <c r="B761" s="27" t="s">
        <v>3072</v>
      </c>
      <c r="C761" s="27" t="s">
        <v>361</v>
      </c>
      <c r="D761" s="27">
        <v>2026</v>
      </c>
      <c r="E761" s="27"/>
      <c r="F761" s="27" t="s">
        <v>1336</v>
      </c>
      <c r="G761" s="27" t="s">
        <v>758</v>
      </c>
      <c r="H761" s="27" t="s">
        <v>1406</v>
      </c>
      <c r="I761" s="27" t="s">
        <v>768</v>
      </c>
      <c r="J761" s="27" t="s">
        <v>862</v>
      </c>
      <c r="K761" s="27" t="s">
        <v>740</v>
      </c>
      <c r="L761" s="27"/>
      <c r="M761" s="27">
        <v>1</v>
      </c>
      <c r="N761" s="27"/>
      <c r="O761" s="27"/>
      <c r="P761" s="27"/>
      <c r="Q761" s="27"/>
      <c r="R761" s="27"/>
      <c r="S761" s="27"/>
      <c r="T761" s="27"/>
      <c r="U761" s="27"/>
      <c r="V761" s="27"/>
      <c r="W761" s="27"/>
      <c r="X761" s="27"/>
      <c r="Y761" s="27"/>
      <c r="Z761" s="27" t="s">
        <v>3073</v>
      </c>
      <c r="AA761" s="29">
        <v>1400</v>
      </c>
      <c r="AB761" s="30">
        <f>IF(OR(G761="ALK",G761="PEM",G761="SOEC",G761="Other Electrolysis"),
AA761/VLOOKUP(G761,ElectrolysisConvF,3,FALSE),
AC761*10^6/(H2dens*HoursInYear))</f>
        <v>311111.11111111112</v>
      </c>
      <c r="AC761" s="30">
        <f>AB761*H2dens*HoursInYear/10^6</f>
        <v>242.55466666666669</v>
      </c>
      <c r="AD761" s="30"/>
      <c r="AE761" s="30">
        <f>IF(AND(G761&lt;&gt;"NG w CCUS",G761&lt;&gt;"Oil w CCUS",G761&lt;&gt;"Coal w CCUS"),AB761,AD761*10^3/(HoursInYear*IF(G761="NG w CCUS",0.9105,1.9075)))</f>
        <v>311111.11111111112</v>
      </c>
      <c r="AF761" s="28" t="s">
        <v>3077</v>
      </c>
      <c r="AG761" s="74" t="s">
        <v>3895</v>
      </c>
    </row>
    <row r="762" spans="1:33" ht="32.25" customHeight="1" x14ac:dyDescent="0.2">
      <c r="A762" s="67">
        <v>1086</v>
      </c>
      <c r="B762" s="27" t="s">
        <v>3074</v>
      </c>
      <c r="C762" s="27" t="s">
        <v>804</v>
      </c>
      <c r="D762" s="27"/>
      <c r="E762" s="27"/>
      <c r="F762" s="27" t="s">
        <v>832</v>
      </c>
      <c r="G762" s="27" t="s">
        <v>758</v>
      </c>
      <c r="H762" s="27" t="s">
        <v>1406</v>
      </c>
      <c r="I762" s="27" t="s">
        <v>768</v>
      </c>
      <c r="J762" s="27" t="s">
        <v>865</v>
      </c>
      <c r="K762" s="27" t="s">
        <v>740</v>
      </c>
      <c r="L762" s="27"/>
      <c r="M762" s="27">
        <v>1</v>
      </c>
      <c r="N762" s="27"/>
      <c r="O762" s="27"/>
      <c r="P762" s="27"/>
      <c r="Q762" s="27"/>
      <c r="R762" s="27"/>
      <c r="S762" s="27"/>
      <c r="T762" s="27"/>
      <c r="U762" s="27"/>
      <c r="V762" s="27"/>
      <c r="W762" s="27"/>
      <c r="X762" s="27"/>
      <c r="Y762" s="27"/>
      <c r="Z762" s="27" t="s">
        <v>2021</v>
      </c>
      <c r="AA762" s="29">
        <v>1000</v>
      </c>
      <c r="AB762" s="30">
        <f>IF(OR(G762="ALK",G762="PEM",G762="SOEC",G762="Other Electrolysis"),
AA762/VLOOKUP(G762,ElectrolysisConvF,3,FALSE),
AC762*10^6/(H2dens*HoursInYear))</f>
        <v>222222.22222222225</v>
      </c>
      <c r="AC762" s="30">
        <f>AB762*H2dens*HoursInYear/10^6</f>
        <v>173.25333333333333</v>
      </c>
      <c r="AD762" s="30"/>
      <c r="AE762" s="30">
        <f>IF(AND(G762&lt;&gt;"NG w CCUS",G762&lt;&gt;"Oil w CCUS",G762&lt;&gt;"Coal w CCUS"),AB762,AD762*10^3/(HoursInYear*IF(G762="NG w CCUS",0.9105,1.9075)))</f>
        <v>222222.22222222225</v>
      </c>
      <c r="AF762" s="28" t="s">
        <v>3244</v>
      </c>
      <c r="AG762" s="28"/>
    </row>
    <row r="763" spans="1:33" ht="32.25" customHeight="1" x14ac:dyDescent="0.2">
      <c r="A763" s="67">
        <v>1087</v>
      </c>
      <c r="B763" s="27" t="s">
        <v>3080</v>
      </c>
      <c r="C763" s="27" t="s">
        <v>342</v>
      </c>
      <c r="D763" s="27"/>
      <c r="E763" s="27"/>
      <c r="F763" s="27" t="s">
        <v>1336</v>
      </c>
      <c r="G763" s="27" t="s">
        <v>758</v>
      </c>
      <c r="H763" s="27" t="s">
        <v>1406</v>
      </c>
      <c r="I763" s="27" t="s">
        <v>768</v>
      </c>
      <c r="J763" s="27" t="s">
        <v>378</v>
      </c>
      <c r="K763" s="27" t="s">
        <v>396</v>
      </c>
      <c r="L763" s="27"/>
      <c r="M763" s="27"/>
      <c r="N763" s="27"/>
      <c r="O763" s="27"/>
      <c r="P763" s="27"/>
      <c r="Q763" s="27"/>
      <c r="R763" s="27"/>
      <c r="S763" s="27"/>
      <c r="T763" s="27"/>
      <c r="U763" s="27"/>
      <c r="V763" s="27"/>
      <c r="W763" s="27"/>
      <c r="X763" s="27">
        <v>1</v>
      </c>
      <c r="Y763" s="27"/>
      <c r="Z763" s="27"/>
      <c r="AA763" s="29"/>
      <c r="AB763" s="30"/>
      <c r="AC763" s="30"/>
      <c r="AD763" s="30"/>
      <c r="AE763" s="30">
        <f>IF(AND(G763&lt;&gt;"NG w CCUS",G763&lt;&gt;"Oil w CCUS",G763&lt;&gt;"Coal w CCUS"),AB763,AD763*10^3/(HoursInYear*IF(G763="NG w CCUS",0.9105,1.9075)))</f>
        <v>0</v>
      </c>
      <c r="AF763" s="28" t="s">
        <v>3081</v>
      </c>
      <c r="AG763" s="28"/>
    </row>
    <row r="764" spans="1:33" ht="32.25" customHeight="1" x14ac:dyDescent="0.2">
      <c r="A764" s="67">
        <v>1088</v>
      </c>
      <c r="B764" s="27" t="s">
        <v>3083</v>
      </c>
      <c r="C764" s="27" t="s">
        <v>332</v>
      </c>
      <c r="D764" s="27">
        <v>2023</v>
      </c>
      <c r="E764" s="27"/>
      <c r="F764" s="75" t="s">
        <v>754</v>
      </c>
      <c r="G764" s="27" t="s">
        <v>758</v>
      </c>
      <c r="H764" s="27" t="s">
        <v>1406</v>
      </c>
      <c r="I764" s="27" t="s">
        <v>768</v>
      </c>
      <c r="J764" s="27" t="s">
        <v>864</v>
      </c>
      <c r="K764" s="27" t="s">
        <v>377</v>
      </c>
      <c r="L764" s="27"/>
      <c r="M764" s="27"/>
      <c r="N764" s="27"/>
      <c r="O764" s="27"/>
      <c r="P764" s="27"/>
      <c r="Q764" s="27"/>
      <c r="R764" s="27"/>
      <c r="S764" s="27"/>
      <c r="T764" s="27"/>
      <c r="U764" s="27"/>
      <c r="V764" s="27"/>
      <c r="W764" s="27"/>
      <c r="X764" s="27"/>
      <c r="Y764" s="27"/>
      <c r="Z764" s="27" t="s">
        <v>3086</v>
      </c>
      <c r="AA764" s="29">
        <v>80</v>
      </c>
      <c r="AB764" s="30">
        <f>IF(OR(G764="ALK",G764="PEM",G764="SOEC",G764="Other Electrolysis"),
AA764/VLOOKUP(G764,ElectrolysisConvF,3,FALSE),
AC764*10^6/(H2dens*HoursInYear))</f>
        <v>17777.777777777777</v>
      </c>
      <c r="AC764" s="30">
        <f>AB764*H2dens*HoursInYear/10^6</f>
        <v>13.860266666666666</v>
      </c>
      <c r="AD764" s="30"/>
      <c r="AE764" s="30">
        <f>IF(AND(G764&lt;&gt;"NG w CCUS",G764&lt;&gt;"Oil w CCUS",G764&lt;&gt;"Coal w CCUS"),AB764,AD764*10^3/(HoursInYear*IF(G764="NG w CCUS",0.9105,1.9075)))</f>
        <v>17777.777777777777</v>
      </c>
      <c r="AF764" s="28" t="s">
        <v>3087</v>
      </c>
      <c r="AG764" s="76" t="s">
        <v>4020</v>
      </c>
    </row>
    <row r="765" spans="1:33" ht="32.25" customHeight="1" x14ac:dyDescent="0.2">
      <c r="A765" s="67">
        <v>1089</v>
      </c>
      <c r="B765" s="27" t="s">
        <v>3084</v>
      </c>
      <c r="C765" s="27" t="s">
        <v>332</v>
      </c>
      <c r="D765" s="75"/>
      <c r="E765" s="27"/>
      <c r="F765" s="27" t="s">
        <v>1336</v>
      </c>
      <c r="G765" s="27" t="s">
        <v>758</v>
      </c>
      <c r="H765" s="27" t="s">
        <v>1406</v>
      </c>
      <c r="I765" s="27" t="s">
        <v>768</v>
      </c>
      <c r="J765" s="27" t="s">
        <v>864</v>
      </c>
      <c r="K765" s="27" t="s">
        <v>377</v>
      </c>
      <c r="L765" s="27"/>
      <c r="M765" s="27"/>
      <c r="N765" s="27"/>
      <c r="O765" s="27"/>
      <c r="P765" s="27"/>
      <c r="Q765" s="27"/>
      <c r="R765" s="27"/>
      <c r="S765" s="27"/>
      <c r="T765" s="27"/>
      <c r="U765" s="27"/>
      <c r="V765" s="27"/>
      <c r="W765" s="27"/>
      <c r="X765" s="27"/>
      <c r="Y765" s="27"/>
      <c r="Z765" s="27" t="s">
        <v>2556</v>
      </c>
      <c r="AA765" s="29">
        <v>300</v>
      </c>
      <c r="AB765" s="30">
        <f>IF(OR(G765="ALK",G765="PEM",G765="SOEC",G765="Other Electrolysis"),
AA765/VLOOKUP(G765,ElectrolysisConvF,3,FALSE),
AC765*10^6/(H2dens*HoursInYear))</f>
        <v>66666.666666666672</v>
      </c>
      <c r="AC765" s="30">
        <f>AB765*H2dens*HoursInYear/10^6</f>
        <v>51.975999999999999</v>
      </c>
      <c r="AD765" s="30"/>
      <c r="AE765" s="30">
        <f>IF(AND(G765&lt;&gt;"NG w CCUS",G765&lt;&gt;"Oil w CCUS",G765&lt;&gt;"Coal w CCUS"),AB765,AD765*10^3/(HoursInYear*IF(G765="NG w CCUS",0.9105,1.9075)))</f>
        <v>66666.666666666672</v>
      </c>
      <c r="AF765" s="28" t="s">
        <v>3087</v>
      </c>
      <c r="AG765" s="76" t="s">
        <v>4020</v>
      </c>
    </row>
    <row r="766" spans="1:33" ht="32.25" customHeight="1" x14ac:dyDescent="0.2">
      <c r="A766" s="67">
        <v>1090</v>
      </c>
      <c r="B766" s="27" t="s">
        <v>3085</v>
      </c>
      <c r="C766" s="27" t="s">
        <v>980</v>
      </c>
      <c r="D766" s="27">
        <v>2023</v>
      </c>
      <c r="E766" s="27"/>
      <c r="F766" s="27" t="s">
        <v>832</v>
      </c>
      <c r="G766" s="27" t="s">
        <v>758</v>
      </c>
      <c r="H766" s="27" t="s">
        <v>1406</v>
      </c>
      <c r="I766" s="27" t="s">
        <v>768</v>
      </c>
      <c r="J766" s="27" t="s">
        <v>861</v>
      </c>
      <c r="K766" s="27" t="s">
        <v>377</v>
      </c>
      <c r="L766" s="27"/>
      <c r="M766" s="27"/>
      <c r="N766" s="27"/>
      <c r="O766" s="27"/>
      <c r="P766" s="27"/>
      <c r="Q766" s="27"/>
      <c r="R766" s="27"/>
      <c r="S766" s="27"/>
      <c r="T766" s="27"/>
      <c r="U766" s="27"/>
      <c r="V766" s="27"/>
      <c r="W766" s="27"/>
      <c r="X766" s="27"/>
      <c r="Y766" s="27"/>
      <c r="Z766" s="27" t="s">
        <v>1403</v>
      </c>
      <c r="AA766" s="29">
        <v>20</v>
      </c>
      <c r="AB766" s="30">
        <f>IF(OR(G766="ALK",G766="PEM",G766="SOEC",G766="Other Electrolysis"),
AA766/VLOOKUP(G766,ElectrolysisConvF,3,FALSE),
AC766*10^6/(H2dens*HoursInYear))</f>
        <v>4444.4444444444443</v>
      </c>
      <c r="AC766" s="30">
        <f>AB766*H2dens*HoursInYear/10^6</f>
        <v>3.4650666666666665</v>
      </c>
      <c r="AD766" s="30"/>
      <c r="AE766" s="30">
        <f>IF(AND(G766&lt;&gt;"NG w CCUS",G766&lt;&gt;"Oil w CCUS",G766&lt;&gt;"Coal w CCUS"),AB766,AD766*10^3/(HoursInYear*IF(G766="NG w CCUS",0.9105,1.9075)))</f>
        <v>4444.4444444444443</v>
      </c>
      <c r="AF766" s="28" t="s">
        <v>3088</v>
      </c>
      <c r="AG766" s="28"/>
    </row>
    <row r="767" spans="1:33" ht="32.25" customHeight="1" x14ac:dyDescent="0.2">
      <c r="A767" s="67">
        <v>1091</v>
      </c>
      <c r="B767" s="27" t="s">
        <v>3092</v>
      </c>
      <c r="C767" s="27" t="s">
        <v>804</v>
      </c>
      <c r="D767" s="27">
        <v>2022</v>
      </c>
      <c r="E767" s="27"/>
      <c r="F767" s="27" t="s">
        <v>753</v>
      </c>
      <c r="G767" s="27" t="s">
        <v>266</v>
      </c>
      <c r="H767" s="27"/>
      <c r="I767" s="27" t="s">
        <v>756</v>
      </c>
      <c r="J767" s="27" t="str">
        <f>IF(I767&lt;&gt;"Dedicated renewable","N/A",)</f>
        <v>N/A</v>
      </c>
      <c r="K767" s="27" t="s">
        <v>377</v>
      </c>
      <c r="L767" s="27"/>
      <c r="M767" s="27"/>
      <c r="N767" s="27"/>
      <c r="O767" s="27"/>
      <c r="P767" s="27"/>
      <c r="Q767" s="27"/>
      <c r="R767" s="27"/>
      <c r="S767" s="27"/>
      <c r="T767" s="27"/>
      <c r="U767" s="27"/>
      <c r="V767" s="27"/>
      <c r="W767" s="27"/>
      <c r="X767" s="27"/>
      <c r="Y767" s="27"/>
      <c r="Z767" s="27" t="s">
        <v>1896</v>
      </c>
      <c r="AA767" s="29">
        <v>1</v>
      </c>
      <c r="AB767" s="30">
        <f>IF(OR(G767="ALK",G767="PEM",G767="SOEC",G767="Other Electrolysis"),
AA767/VLOOKUP(G767,ElectrolysisConvF,3,FALSE),
AC767*10^6/(H2dens*HoursInYear))</f>
        <v>192.30769230769232</v>
      </c>
      <c r="AC767" s="30">
        <f>AB767*H2dens*HoursInYear/10^6</f>
        <v>0.14993076923076926</v>
      </c>
      <c r="AD767" s="30"/>
      <c r="AE767" s="30">
        <f>IF(AND(G767&lt;&gt;"NG w CCUS",G767&lt;&gt;"Oil w CCUS",G767&lt;&gt;"Coal w CCUS"),AB767,AD767*10^3/(HoursInYear*IF(G767="NG w CCUS",0.9105,1.9075)))</f>
        <v>192.30769230769232</v>
      </c>
      <c r="AF767" s="28" t="s">
        <v>3093</v>
      </c>
      <c r="AG767" s="28"/>
    </row>
    <row r="768" spans="1:33" ht="32.25" customHeight="1" x14ac:dyDescent="0.2">
      <c r="A768" s="67">
        <v>1092</v>
      </c>
      <c r="B768" s="27" t="s">
        <v>3096</v>
      </c>
      <c r="C768" s="27" t="s">
        <v>336</v>
      </c>
      <c r="D768" s="27"/>
      <c r="E768" s="27"/>
      <c r="F768" s="27" t="s">
        <v>1336</v>
      </c>
      <c r="G768" s="27" t="s">
        <v>759</v>
      </c>
      <c r="H768" s="27"/>
      <c r="I768" s="27"/>
      <c r="J768" s="27"/>
      <c r="K768" s="27" t="s">
        <v>377</v>
      </c>
      <c r="L768" s="27"/>
      <c r="M768" s="27"/>
      <c r="N768" s="27"/>
      <c r="O768" s="27"/>
      <c r="P768" s="27"/>
      <c r="Q768" s="27"/>
      <c r="R768" s="27"/>
      <c r="S768" s="27"/>
      <c r="T768" s="27"/>
      <c r="U768" s="27"/>
      <c r="V768" s="27"/>
      <c r="W768" s="27"/>
      <c r="X768" s="27"/>
      <c r="Y768" s="27"/>
      <c r="Z768" s="27"/>
      <c r="AA768" s="29"/>
      <c r="AB768" s="30"/>
      <c r="AC768" s="30"/>
      <c r="AD768" s="30"/>
      <c r="AE768" s="30">
        <f>IF(AND(G768&lt;&gt;"NG w CCUS",G768&lt;&gt;"Oil w CCUS",G768&lt;&gt;"Coal w CCUS"),AB768,AD768*10^3/(HoursInYear*IF(G768="NG w CCUS",0.9105,1.9075)))</f>
        <v>0</v>
      </c>
      <c r="AF768" s="28" t="s">
        <v>3109</v>
      </c>
      <c r="AG768" s="28"/>
    </row>
    <row r="769" spans="1:33" ht="32.25" customHeight="1" x14ac:dyDescent="0.2">
      <c r="A769" s="67">
        <v>1093</v>
      </c>
      <c r="B769" s="27" t="s">
        <v>3100</v>
      </c>
      <c r="C769" s="27" t="s">
        <v>980</v>
      </c>
      <c r="D769" s="27"/>
      <c r="E769" s="27"/>
      <c r="F769" s="27" t="s">
        <v>832</v>
      </c>
      <c r="G769" s="27" t="s">
        <v>758</v>
      </c>
      <c r="H769" s="27" t="s">
        <v>1406</v>
      </c>
      <c r="I769" s="27"/>
      <c r="J769" s="27"/>
      <c r="K769" s="27" t="s">
        <v>377</v>
      </c>
      <c r="L769" s="27"/>
      <c r="M769" s="27"/>
      <c r="N769" s="27"/>
      <c r="O769" s="27"/>
      <c r="P769" s="27"/>
      <c r="Q769" s="27">
        <v>1</v>
      </c>
      <c r="R769" s="27"/>
      <c r="S769" s="27"/>
      <c r="T769" s="27"/>
      <c r="U769" s="27">
        <v>1</v>
      </c>
      <c r="V769" s="27"/>
      <c r="W769" s="27"/>
      <c r="X769" s="27"/>
      <c r="Y769" s="27"/>
      <c r="Z769" s="27" t="s">
        <v>3102</v>
      </c>
      <c r="AA769" s="29">
        <f>IF(OR(G769="ALK",G769="PEM",G769="SOEC",G769="Other Electrolysis"),
AB769*VLOOKUP(G769,ElectrolysisConvF,3,FALSE),
"")</f>
        <v>5.7718947206402955</v>
      </c>
      <c r="AB769" s="30">
        <f>AC769/(H2dens*HoursInYear/10^6)</f>
        <v>1282.643271253399</v>
      </c>
      <c r="AC769" s="30">
        <v>1</v>
      </c>
      <c r="AD769" s="30"/>
      <c r="AE769" s="30">
        <f>IF(AND(G769&lt;&gt;"NG w CCUS",G769&lt;&gt;"Oil w CCUS",G769&lt;&gt;"Coal w CCUS"),AB769,AD769*10^3/(HoursInYear*IF(G769="NG w CCUS",0.9105,1.9075)))</f>
        <v>1282.643271253399</v>
      </c>
      <c r="AF769" s="28" t="s">
        <v>3103</v>
      </c>
      <c r="AG769" s="28"/>
    </row>
    <row r="770" spans="1:33" ht="32.25" customHeight="1" x14ac:dyDescent="0.2">
      <c r="A770" s="67">
        <v>1094</v>
      </c>
      <c r="B770" s="27" t="s">
        <v>3101</v>
      </c>
      <c r="C770" s="27" t="s">
        <v>980</v>
      </c>
      <c r="D770" s="27"/>
      <c r="E770" s="27"/>
      <c r="F770" s="27" t="s">
        <v>1336</v>
      </c>
      <c r="G770" s="27" t="s">
        <v>758</v>
      </c>
      <c r="H770" s="27" t="s">
        <v>1406</v>
      </c>
      <c r="I770" s="27"/>
      <c r="J770" s="27"/>
      <c r="K770" s="27" t="s">
        <v>377</v>
      </c>
      <c r="L770" s="27"/>
      <c r="M770" s="27"/>
      <c r="N770" s="27"/>
      <c r="O770" s="27"/>
      <c r="P770" s="27"/>
      <c r="Q770" s="27">
        <v>1</v>
      </c>
      <c r="R770" s="27"/>
      <c r="S770" s="27"/>
      <c r="T770" s="27"/>
      <c r="U770" s="27">
        <v>1</v>
      </c>
      <c r="V770" s="27"/>
      <c r="W770" s="27"/>
      <c r="X770" s="27"/>
      <c r="Y770" s="27"/>
      <c r="Z770" s="27"/>
      <c r="AA770" s="29"/>
      <c r="AB770" s="30"/>
      <c r="AC770" s="30"/>
      <c r="AD770" s="30"/>
      <c r="AE770" s="30">
        <f>IF(AND(G770&lt;&gt;"NG w CCUS",G770&lt;&gt;"Oil w CCUS",G770&lt;&gt;"Coal w CCUS"),AB770,AD770*10^3/(HoursInYear*IF(G770="NG w CCUS",0.9105,1.9075)))</f>
        <v>0</v>
      </c>
      <c r="AF770" s="28" t="s">
        <v>3103</v>
      </c>
      <c r="AG770" s="28"/>
    </row>
    <row r="771" spans="1:33" ht="32.25" customHeight="1" x14ac:dyDescent="0.2">
      <c r="A771" s="67">
        <v>1095</v>
      </c>
      <c r="B771" s="27" t="s">
        <v>3105</v>
      </c>
      <c r="C771" s="27" t="s">
        <v>334</v>
      </c>
      <c r="D771" s="27">
        <v>2028</v>
      </c>
      <c r="E771" s="27"/>
      <c r="F771" s="27" t="s">
        <v>832</v>
      </c>
      <c r="G771" s="27" t="s">
        <v>760</v>
      </c>
      <c r="H771" s="27"/>
      <c r="I771" s="27"/>
      <c r="J771" s="27"/>
      <c r="K771" s="27" t="s">
        <v>377</v>
      </c>
      <c r="L771" s="27">
        <v>1</v>
      </c>
      <c r="M771" s="27"/>
      <c r="N771" s="27"/>
      <c r="O771" s="27"/>
      <c r="P771" s="27"/>
      <c r="Q771" s="27"/>
      <c r="R771" s="27">
        <v>1</v>
      </c>
      <c r="S771" s="27">
        <v>1</v>
      </c>
      <c r="T771" s="27"/>
      <c r="U771" s="27"/>
      <c r="V771" s="27"/>
      <c r="W771" s="27"/>
      <c r="X771" s="27"/>
      <c r="Y771" s="27"/>
      <c r="Z771" s="27" t="s">
        <v>3106</v>
      </c>
      <c r="AA771" s="29" t="str">
        <f>IF(OR(G771="ALK",G771="PEM",G771="SOEC",G771="Other Electrolysis"),
AB771*VLOOKUP(G771,ElectrolysisConvF,3,FALSE),
"")</f>
        <v/>
      </c>
      <c r="AB771" s="30">
        <f>IF(OR(G771="ALK",G771="PEM",G771="SOEC",G771="Other Electrolysis"),
AA771/VLOOKUP(G771,ElectrolysisConvF,3,FALSE),
AC771*10^6/(H2dens*HoursInYear))</f>
        <v>384792.98137601971</v>
      </c>
      <c r="AC771" s="30">
        <v>300</v>
      </c>
      <c r="AD771" s="30">
        <v>2000000</v>
      </c>
      <c r="AE771" s="30">
        <f>IF(AND(G771&lt;&gt;"NG w CCUS",G771&lt;&gt;"Oil w CCUS",G771&lt;&gt;"Coal w CCUS"),AB771,AD771*10^3/(HoursInYear*IF(G771="NG w CCUS",0.9105,1.9075)))</f>
        <v>250752.88553883036</v>
      </c>
      <c r="AF771" s="28" t="s">
        <v>3107</v>
      </c>
      <c r="AG771" s="28"/>
    </row>
    <row r="772" spans="1:33" ht="32.25" customHeight="1" x14ac:dyDescent="0.2">
      <c r="A772" s="67">
        <v>1096</v>
      </c>
      <c r="B772" s="27" t="s">
        <v>3120</v>
      </c>
      <c r="C772" s="27" t="s">
        <v>565</v>
      </c>
      <c r="D772" s="27">
        <v>2024</v>
      </c>
      <c r="E772" s="27"/>
      <c r="F772" s="27" t="s">
        <v>832</v>
      </c>
      <c r="G772" s="27" t="s">
        <v>758</v>
      </c>
      <c r="H772" s="27" t="s">
        <v>1406</v>
      </c>
      <c r="I772" s="27" t="s">
        <v>768</v>
      </c>
      <c r="J772" s="27" t="s">
        <v>863</v>
      </c>
      <c r="K772" s="27" t="s">
        <v>377</v>
      </c>
      <c r="L772" s="27"/>
      <c r="M772" s="27"/>
      <c r="N772" s="27"/>
      <c r="O772" s="27"/>
      <c r="P772" s="27"/>
      <c r="Q772" s="27">
        <v>1</v>
      </c>
      <c r="R772" s="27"/>
      <c r="S772" s="27"/>
      <c r="T772" s="27"/>
      <c r="U772" s="27"/>
      <c r="V772" s="27"/>
      <c r="W772" s="27"/>
      <c r="X772" s="27"/>
      <c r="Y772" s="27"/>
      <c r="Z772" s="27" t="s">
        <v>2021</v>
      </c>
      <c r="AA772" s="29">
        <v>100</v>
      </c>
      <c r="AB772" s="30">
        <f>IF(OR(G772="ALK",G772="PEM",G772="SOEC",G772="Other Electrolysis"),
AA772/VLOOKUP(G772,ElectrolysisConvF,3,FALSE),
AC772*10^6/(H2dens*HoursInYear))</f>
        <v>22222.222222222223</v>
      </c>
      <c r="AC772" s="30">
        <f>AB772*H2dens*HoursInYear/10^6</f>
        <v>17.325333333333333</v>
      </c>
      <c r="AD772" s="30"/>
      <c r="AE772" s="30">
        <f>IF(AND(G772&lt;&gt;"NG w CCUS",G772&lt;&gt;"Oil w CCUS",G772&lt;&gt;"Coal w CCUS"),AB772,AD772*10^3/(HoursInYear*IF(G772="NG w CCUS",0.9105,1.9075)))</f>
        <v>22222.222222222223</v>
      </c>
      <c r="AF772" s="28" t="s">
        <v>3129</v>
      </c>
      <c r="AG772" s="28"/>
    </row>
    <row r="773" spans="1:33" ht="32.25" customHeight="1" x14ac:dyDescent="0.2">
      <c r="A773" s="67">
        <v>1097</v>
      </c>
      <c r="B773" s="27" t="s">
        <v>3121</v>
      </c>
      <c r="C773" s="27" t="s">
        <v>336</v>
      </c>
      <c r="D773" s="27"/>
      <c r="E773" s="27"/>
      <c r="F773" s="27" t="s">
        <v>832</v>
      </c>
      <c r="G773" s="27" t="s">
        <v>760</v>
      </c>
      <c r="H773" s="27" t="s">
        <v>3256</v>
      </c>
      <c r="I773" s="27"/>
      <c r="J773" s="27"/>
      <c r="K773" s="27" t="s">
        <v>377</v>
      </c>
      <c r="L773" s="27"/>
      <c r="M773" s="27"/>
      <c r="N773" s="27"/>
      <c r="O773" s="27"/>
      <c r="P773" s="27"/>
      <c r="Q773" s="27">
        <v>1</v>
      </c>
      <c r="R773" s="27"/>
      <c r="S773" s="27"/>
      <c r="T773" s="27"/>
      <c r="U773" s="27"/>
      <c r="V773" s="27"/>
      <c r="W773" s="27"/>
      <c r="X773" s="27"/>
      <c r="Y773" s="27"/>
      <c r="Z773" s="27" t="s">
        <v>3127</v>
      </c>
      <c r="AA773" s="29" t="str">
        <f>IF(OR(G773="ALK",G773="PEM",G773="SOEC",G773="Other Electrolysis"),
AB773*VLOOKUP(G773,ElectrolysisConvF,3,FALSE),
"")</f>
        <v/>
      </c>
      <c r="AB773" s="30">
        <f>IF(OR(G773="ALK",G773="PEM",G773="SOEC",G773="Other Electrolysis"),
AA773/VLOOKUP(G773,ElectrolysisConvF,3,FALSE),
AC773*10^6/(H2dens*HoursInYear))</f>
        <v>1872659.1760299625</v>
      </c>
      <c r="AC773" s="30">
        <f>400*365/100</f>
        <v>1460</v>
      </c>
      <c r="AD773" s="30"/>
      <c r="AE773" s="30">
        <f>AB773</f>
        <v>1872659.1760299625</v>
      </c>
      <c r="AF773" s="28" t="s">
        <v>3130</v>
      </c>
      <c r="AG773" s="28"/>
    </row>
    <row r="774" spans="1:33" ht="32.25" customHeight="1" x14ac:dyDescent="0.2">
      <c r="A774" s="67">
        <v>1098</v>
      </c>
      <c r="B774" s="27" t="s">
        <v>3122</v>
      </c>
      <c r="C774" s="27" t="s">
        <v>336</v>
      </c>
      <c r="D774" s="27"/>
      <c r="E774" s="27"/>
      <c r="F774" s="27" t="s">
        <v>1336</v>
      </c>
      <c r="G774" s="27" t="s">
        <v>760</v>
      </c>
      <c r="H774" s="27" t="s">
        <v>3256</v>
      </c>
      <c r="I774" s="27"/>
      <c r="J774" s="27"/>
      <c r="K774" s="27" t="s">
        <v>377</v>
      </c>
      <c r="L774" s="27"/>
      <c r="M774" s="27"/>
      <c r="N774" s="27"/>
      <c r="O774" s="27"/>
      <c r="P774" s="27"/>
      <c r="Q774" s="27">
        <v>1</v>
      </c>
      <c r="R774" s="27"/>
      <c r="S774" s="27"/>
      <c r="T774" s="27"/>
      <c r="U774" s="27"/>
      <c r="V774" s="27"/>
      <c r="W774" s="27"/>
      <c r="X774" s="27"/>
      <c r="Y774" s="27"/>
      <c r="Z774" s="27"/>
      <c r="AA774" s="29"/>
      <c r="AB774" s="30"/>
      <c r="AC774" s="30"/>
      <c r="AD774" s="30"/>
      <c r="AE774" s="30">
        <f>IF(AND(G774&lt;&gt;"NG w CCUS",G774&lt;&gt;"Oil w CCUS",G774&lt;&gt;"Coal w CCUS"),AB774,AD774*10^3/(HoursInYear*IF(G774="NG w CCUS",0.9105,1.9075)))</f>
        <v>0</v>
      </c>
      <c r="AF774" s="28" t="s">
        <v>3131</v>
      </c>
      <c r="AG774" s="28"/>
    </row>
    <row r="775" spans="1:33" ht="32.25" customHeight="1" x14ac:dyDescent="0.2">
      <c r="A775" s="67">
        <v>1099</v>
      </c>
      <c r="B775" s="27" t="s">
        <v>3123</v>
      </c>
      <c r="C775" s="27" t="s">
        <v>336</v>
      </c>
      <c r="D775" s="27"/>
      <c r="E775" s="27"/>
      <c r="F775" s="27" t="s">
        <v>1336</v>
      </c>
      <c r="G775" s="27" t="s">
        <v>760</v>
      </c>
      <c r="H775" s="27" t="s">
        <v>3256</v>
      </c>
      <c r="I775" s="27"/>
      <c r="J775" s="27"/>
      <c r="K775" s="27" t="s">
        <v>377</v>
      </c>
      <c r="L775" s="27"/>
      <c r="M775" s="27"/>
      <c r="N775" s="27"/>
      <c r="O775" s="27"/>
      <c r="P775" s="27"/>
      <c r="Q775" s="27">
        <v>1</v>
      </c>
      <c r="R775" s="27"/>
      <c r="S775" s="27"/>
      <c r="T775" s="27"/>
      <c r="U775" s="27"/>
      <c r="V775" s="27"/>
      <c r="W775" s="27"/>
      <c r="X775" s="27"/>
      <c r="Y775" s="27"/>
      <c r="Z775" s="27"/>
      <c r="AA775" s="29"/>
      <c r="AB775" s="30"/>
      <c r="AC775" s="30"/>
      <c r="AD775" s="30"/>
      <c r="AE775" s="30">
        <f>IF(AND(G775&lt;&gt;"NG w CCUS",G775&lt;&gt;"Oil w CCUS",G775&lt;&gt;"Coal w CCUS"),AB775,AD775*10^3/(HoursInYear*IF(G775="NG w CCUS",0.9105,1.9075)))</f>
        <v>0</v>
      </c>
      <c r="AF775" s="28" t="s">
        <v>3131</v>
      </c>
      <c r="AG775" s="28"/>
    </row>
    <row r="776" spans="1:33" ht="32.25" customHeight="1" x14ac:dyDescent="0.2">
      <c r="A776" s="67">
        <v>1100</v>
      </c>
      <c r="B776" s="27" t="s">
        <v>3124</v>
      </c>
      <c r="C776" s="27" t="s">
        <v>337</v>
      </c>
      <c r="D776" s="27">
        <v>2022</v>
      </c>
      <c r="E776" s="27"/>
      <c r="F776" s="27" t="s">
        <v>832</v>
      </c>
      <c r="G776" s="27" t="s">
        <v>760</v>
      </c>
      <c r="H776" s="27"/>
      <c r="I776" s="27"/>
      <c r="J776" s="27"/>
      <c r="K776" s="27" t="s">
        <v>377</v>
      </c>
      <c r="L776" s="27"/>
      <c r="M776" s="27"/>
      <c r="N776" s="27"/>
      <c r="O776" s="27"/>
      <c r="P776" s="27"/>
      <c r="Q776" s="27"/>
      <c r="R776" s="27"/>
      <c r="S776" s="27"/>
      <c r="T776" s="27"/>
      <c r="U776" s="27"/>
      <c r="V776" s="27"/>
      <c r="W776" s="27"/>
      <c r="X776" s="27"/>
      <c r="Y776" s="27"/>
      <c r="Z776" s="27" t="s">
        <v>3128</v>
      </c>
      <c r="AA776" s="29" t="str">
        <f>IF(OR(G776="ALK",G776="PEM",G776="SOEC",G776="Other Electrolysis"),
AB776*VLOOKUP(G776,ElectrolysisConvF,3,FALSE),
"")</f>
        <v/>
      </c>
      <c r="AB776" s="30">
        <f>IF(OR(G776="ALK",G776="PEM",G776="SOEC",G776="Other Electrolysis"),
AA776/VLOOKUP(G776,ElectrolysisConvF,3,FALSE),
AC776*10^6/(H2dens*HoursInYear))</f>
        <v>468.16479400749063</v>
      </c>
      <c r="AC776" s="30">
        <v>0.36499999999999999</v>
      </c>
      <c r="AD776" s="30"/>
      <c r="AE776" s="30">
        <f>IF(AND(G776&lt;&gt;"NG w CCUS",G776&lt;&gt;"Oil w CCUS",G776&lt;&gt;"Coal w CCUS"),AB776,AD776*10^3/(HoursInYear*IF(G776="NG w CCUS",0.9105,1.9075)))</f>
        <v>0</v>
      </c>
      <c r="AF776" s="28" t="s">
        <v>3132</v>
      </c>
      <c r="AG776" s="28"/>
    </row>
    <row r="777" spans="1:33" ht="32.25" customHeight="1" x14ac:dyDescent="0.2">
      <c r="A777" s="67">
        <v>1101</v>
      </c>
      <c r="B777" s="27" t="s">
        <v>3126</v>
      </c>
      <c r="C777" s="27" t="s">
        <v>980</v>
      </c>
      <c r="D777" s="27"/>
      <c r="E777" s="27"/>
      <c r="F777" s="27" t="s">
        <v>832</v>
      </c>
      <c r="G777" s="27" t="s">
        <v>758</v>
      </c>
      <c r="H777" s="27" t="s">
        <v>1406</v>
      </c>
      <c r="I777" s="27" t="s">
        <v>768</v>
      </c>
      <c r="J777" s="27" t="s">
        <v>861</v>
      </c>
      <c r="K777" s="27" t="s">
        <v>377</v>
      </c>
      <c r="L777" s="27"/>
      <c r="M777" s="27"/>
      <c r="N777" s="27"/>
      <c r="O777" s="27"/>
      <c r="P777" s="27">
        <v>1</v>
      </c>
      <c r="Q777" s="27"/>
      <c r="R777" s="27"/>
      <c r="S777" s="27"/>
      <c r="T777" s="27"/>
      <c r="U777" s="27"/>
      <c r="V777" s="27"/>
      <c r="W777" s="27"/>
      <c r="X777" s="27"/>
      <c r="Y777" s="27"/>
      <c r="Z777" s="27"/>
      <c r="AA777" s="29"/>
      <c r="AB777" s="30"/>
      <c r="AC777" s="30"/>
      <c r="AD777" s="30"/>
      <c r="AE777" s="30">
        <f>IF(AND(G777&lt;&gt;"NG w CCUS",G777&lt;&gt;"Oil w CCUS",G777&lt;&gt;"Coal w CCUS"),AB777,AD777*10^3/(HoursInYear*IF(G777="NG w CCUS",0.9105,1.9075)))</f>
        <v>0</v>
      </c>
      <c r="AF777" s="28" t="s">
        <v>3133</v>
      </c>
      <c r="AG777" s="28"/>
    </row>
    <row r="778" spans="1:33" ht="32.25" customHeight="1" x14ac:dyDescent="0.2">
      <c r="A778" s="27">
        <v>1102</v>
      </c>
      <c r="B778" s="27" t="s">
        <v>3136</v>
      </c>
      <c r="C778" s="27" t="s">
        <v>342</v>
      </c>
      <c r="D778" s="27">
        <v>2023</v>
      </c>
      <c r="E778" s="27"/>
      <c r="F778" s="27" t="s">
        <v>832</v>
      </c>
      <c r="G778" s="27" t="s">
        <v>268</v>
      </c>
      <c r="H778" s="27"/>
      <c r="I778" s="27" t="s">
        <v>768</v>
      </c>
      <c r="J778" s="27" t="s">
        <v>862</v>
      </c>
      <c r="K778" s="27" t="s">
        <v>377</v>
      </c>
      <c r="L778" s="27"/>
      <c r="M778" s="27"/>
      <c r="N778" s="27"/>
      <c r="O778" s="27"/>
      <c r="P778" s="27"/>
      <c r="Q778" s="27">
        <v>1</v>
      </c>
      <c r="R778" s="27"/>
      <c r="S778" s="27"/>
      <c r="T778" s="27"/>
      <c r="U778" s="27"/>
      <c r="V778" s="27"/>
      <c r="W778" s="27"/>
      <c r="X778" s="27"/>
      <c r="Y778" s="27"/>
      <c r="Z778" s="27" t="s">
        <v>1404</v>
      </c>
      <c r="AA778" s="29">
        <v>4</v>
      </c>
      <c r="AB778" s="30">
        <f>IF(OR(G778="ALK",G778="PEM",G778="SOEC",G778="Other Electrolysis"),
AA778/VLOOKUP(G778,ElectrolysisConvF,3,FALSE),
AC778*10^6/(H2dens*HoursInYear))</f>
        <v>869.56521739130437</v>
      </c>
      <c r="AC778" s="30">
        <f>AB778*H2dens*HoursInYear/10^6</f>
        <v>0.67794782608695647</v>
      </c>
      <c r="AD778" s="30"/>
      <c r="AE778" s="30">
        <f>IF(AND(G778&lt;&gt;"NG w CCUS",G778&lt;&gt;"Oil w CCUS",G778&lt;&gt;"Coal w CCUS"),AB778,AD778*10^3/(HoursInYear*IF(G778="NG w CCUS",0.9105,1.9075)))</f>
        <v>869.56521739130437</v>
      </c>
      <c r="AF778" s="28"/>
      <c r="AG778" s="28"/>
    </row>
    <row r="779" spans="1:33" ht="32.25" customHeight="1" x14ac:dyDescent="0.2">
      <c r="A779" s="27">
        <v>1103</v>
      </c>
      <c r="B779" s="27" t="s">
        <v>3137</v>
      </c>
      <c r="C779" s="27" t="s">
        <v>342</v>
      </c>
      <c r="D779" s="27">
        <v>2024</v>
      </c>
      <c r="E779" s="27"/>
      <c r="F779" s="27" t="s">
        <v>832</v>
      </c>
      <c r="G779" s="27" t="s">
        <v>268</v>
      </c>
      <c r="H779" s="27"/>
      <c r="I779" s="27" t="s">
        <v>768</v>
      </c>
      <c r="J779" s="27" t="s">
        <v>864</v>
      </c>
      <c r="K779" s="27" t="s">
        <v>377</v>
      </c>
      <c r="L779" s="27"/>
      <c r="M779" s="27"/>
      <c r="N779" s="27"/>
      <c r="O779" s="27"/>
      <c r="P779" s="27"/>
      <c r="Q779" s="27">
        <v>1</v>
      </c>
      <c r="R779" s="27"/>
      <c r="S779" s="27"/>
      <c r="T779" s="27"/>
      <c r="U779" s="27"/>
      <c r="V779" s="27"/>
      <c r="W779" s="27"/>
      <c r="X779" s="27"/>
      <c r="Y779" s="27"/>
      <c r="Z779" s="27" t="s">
        <v>1938</v>
      </c>
      <c r="AA779" s="29">
        <v>2</v>
      </c>
      <c r="AB779" s="30">
        <f>IF(OR(G779="ALK",G779="PEM",G779="SOEC",G779="Other Electrolysis"),
AA779/VLOOKUP(G779,ElectrolysisConvF,3,FALSE),
AC779*10^6/(H2dens*HoursInYear))</f>
        <v>434.78260869565219</v>
      </c>
      <c r="AC779" s="30">
        <f>AB779*H2dens*HoursInYear/10^6</f>
        <v>0.33897391304347824</v>
      </c>
      <c r="AD779" s="30"/>
      <c r="AE779" s="30">
        <f>IF(AND(G779&lt;&gt;"NG w CCUS",G779&lt;&gt;"Oil w CCUS",G779&lt;&gt;"Coal w CCUS"),AB779,AD779*10^3/(HoursInYear*IF(G779="NG w CCUS",0.9105,1.9075)))</f>
        <v>434.78260869565219</v>
      </c>
      <c r="AF779" s="28"/>
      <c r="AG779" s="28"/>
    </row>
    <row r="780" spans="1:33" ht="32.25" customHeight="1" x14ac:dyDescent="0.2">
      <c r="A780" s="27">
        <v>1104</v>
      </c>
      <c r="B780" s="27" t="s">
        <v>3138</v>
      </c>
      <c r="C780" s="27" t="s">
        <v>342</v>
      </c>
      <c r="D780" s="27">
        <v>2024</v>
      </c>
      <c r="E780" s="27"/>
      <c r="F780" s="27" t="s">
        <v>832</v>
      </c>
      <c r="G780" s="27" t="s">
        <v>758</v>
      </c>
      <c r="H780" s="27" t="s">
        <v>1406</v>
      </c>
      <c r="I780" s="27" t="s">
        <v>768</v>
      </c>
      <c r="J780" s="27" t="s">
        <v>861</v>
      </c>
      <c r="K780" s="27" t="s">
        <v>377</v>
      </c>
      <c r="L780" s="27"/>
      <c r="M780" s="27"/>
      <c r="N780" s="27"/>
      <c r="O780" s="27">
        <v>1</v>
      </c>
      <c r="P780" s="27"/>
      <c r="Q780" s="27"/>
      <c r="R780" s="27"/>
      <c r="S780" s="27"/>
      <c r="T780" s="27"/>
      <c r="U780" s="27"/>
      <c r="V780" s="27"/>
      <c r="W780" s="27"/>
      <c r="X780" s="27"/>
      <c r="Y780" s="27"/>
      <c r="Z780" s="27" t="s">
        <v>2639</v>
      </c>
      <c r="AA780" s="29">
        <v>7</v>
      </c>
      <c r="AB780" s="30">
        <f>IF(OR(G780="ALK",G780="PEM",G780="SOEC",G780="Other Electrolysis"),
AA780/VLOOKUP(G780,ElectrolysisConvF,3,FALSE),
AC780*10^6/(H2dens*HoursInYear))</f>
        <v>1555.5555555555557</v>
      </c>
      <c r="AC780" s="30">
        <f>AB780*H2dens*HoursInYear/10^6</f>
        <v>1.2127733333333335</v>
      </c>
      <c r="AD780" s="30"/>
      <c r="AE780" s="30">
        <f>IF(AND(G780&lt;&gt;"NG w CCUS",G780&lt;&gt;"Oil w CCUS",G780&lt;&gt;"Coal w CCUS"),AB780,AD780*10^3/(HoursInYear*IF(G780="NG w CCUS",0.9105,1.9075)))</f>
        <v>1555.5555555555557</v>
      </c>
      <c r="AF780" s="28"/>
      <c r="AG780" s="28"/>
    </row>
    <row r="781" spans="1:33" ht="32.25" customHeight="1" x14ac:dyDescent="0.2">
      <c r="A781" s="27">
        <v>1105</v>
      </c>
      <c r="B781" s="27" t="s">
        <v>3139</v>
      </c>
      <c r="C781" s="27" t="s">
        <v>342</v>
      </c>
      <c r="D781" s="27">
        <v>2023</v>
      </c>
      <c r="E781" s="27"/>
      <c r="F781" s="27" t="s">
        <v>1336</v>
      </c>
      <c r="G781" s="27" t="s">
        <v>758</v>
      </c>
      <c r="H781" s="27" t="s">
        <v>1406</v>
      </c>
      <c r="I781" s="27" t="s">
        <v>768</v>
      </c>
      <c r="J781" s="27" t="s">
        <v>861</v>
      </c>
      <c r="K781" s="27" t="s">
        <v>377</v>
      </c>
      <c r="L781" s="27"/>
      <c r="M781" s="27"/>
      <c r="N781" s="27"/>
      <c r="O781" s="27"/>
      <c r="P781" s="27">
        <v>1</v>
      </c>
      <c r="Q781" s="27"/>
      <c r="R781" s="27"/>
      <c r="S781" s="27"/>
      <c r="T781" s="27"/>
      <c r="U781" s="27"/>
      <c r="V781" s="27"/>
      <c r="W781" s="27"/>
      <c r="X781" s="27"/>
      <c r="Y781" s="27"/>
      <c r="Z781" s="27" t="s">
        <v>1938</v>
      </c>
      <c r="AA781" s="29">
        <v>2</v>
      </c>
      <c r="AB781" s="30">
        <f>IF(OR(G781="ALK",G781="PEM",G781="SOEC",G781="Other Electrolysis"),
AA781/VLOOKUP(G781,ElectrolysisConvF,3,FALSE),
AC781*10^6/(H2dens*HoursInYear))</f>
        <v>444.44444444444446</v>
      </c>
      <c r="AC781" s="30">
        <f>AB781*H2dens*HoursInYear/10^6</f>
        <v>0.34650666666666669</v>
      </c>
      <c r="AD781" s="30"/>
      <c r="AE781" s="30">
        <f>IF(AND(G781&lt;&gt;"NG w CCUS",G781&lt;&gt;"Oil w CCUS",G781&lt;&gt;"Coal w CCUS"),AB781,AD781*10^3/(HoursInYear*IF(G781="NG w CCUS",0.9105,1.9075)))</f>
        <v>444.44444444444446</v>
      </c>
      <c r="AF781" s="28"/>
      <c r="AG781" s="28"/>
    </row>
    <row r="782" spans="1:33" ht="32.25" customHeight="1" x14ac:dyDescent="0.2">
      <c r="A782" s="27">
        <v>1106</v>
      </c>
      <c r="B782" s="27" t="s">
        <v>3140</v>
      </c>
      <c r="C782" s="27" t="s">
        <v>342</v>
      </c>
      <c r="D782" s="27">
        <v>2023</v>
      </c>
      <c r="E782" s="27"/>
      <c r="F782" s="27" t="s">
        <v>1336</v>
      </c>
      <c r="G782" s="27" t="s">
        <v>758</v>
      </c>
      <c r="H782" s="27" t="s">
        <v>1406</v>
      </c>
      <c r="I782" s="27" t="s">
        <v>768</v>
      </c>
      <c r="J782" s="27" t="s">
        <v>861</v>
      </c>
      <c r="K782" s="27" t="s">
        <v>377</v>
      </c>
      <c r="L782" s="27"/>
      <c r="M782" s="27"/>
      <c r="N782" s="27"/>
      <c r="O782" s="27"/>
      <c r="P782" s="27">
        <v>1</v>
      </c>
      <c r="Q782" s="27"/>
      <c r="R782" s="27"/>
      <c r="S782" s="27"/>
      <c r="T782" s="27"/>
      <c r="U782" s="27"/>
      <c r="V782" s="27"/>
      <c r="W782" s="27"/>
      <c r="X782" s="27"/>
      <c r="Y782" s="27"/>
      <c r="Z782" s="27" t="s">
        <v>1407</v>
      </c>
      <c r="AA782" s="29">
        <v>10</v>
      </c>
      <c r="AB782" s="30">
        <f>IF(OR(G782="ALK",G782="PEM",G782="SOEC",G782="Other Electrolysis"),
AA782/VLOOKUP(G782,ElectrolysisConvF,3,FALSE),
AC782*10^6/(H2dens*HoursInYear))</f>
        <v>2222.2222222222222</v>
      </c>
      <c r="AC782" s="30">
        <f>AB782*H2dens*HoursInYear/10^6</f>
        <v>1.7325333333333333</v>
      </c>
      <c r="AD782" s="30"/>
      <c r="AE782" s="30">
        <f>IF(AND(G782&lt;&gt;"NG w CCUS",G782&lt;&gt;"Oil w CCUS",G782&lt;&gt;"Coal w CCUS"),AB782,AD782*10^3/(HoursInYear*IF(G782="NG w CCUS",0.9105,1.9075)))</f>
        <v>2222.2222222222222</v>
      </c>
      <c r="AF782" s="28"/>
      <c r="AG782" s="28"/>
    </row>
    <row r="783" spans="1:33" ht="32.25" customHeight="1" x14ac:dyDescent="0.2">
      <c r="A783" s="27">
        <v>1107</v>
      </c>
      <c r="B783" s="27" t="s">
        <v>3141</v>
      </c>
      <c r="C783" s="27" t="s">
        <v>342</v>
      </c>
      <c r="D783" s="27">
        <v>2024</v>
      </c>
      <c r="E783" s="27"/>
      <c r="F783" s="27" t="s">
        <v>1336</v>
      </c>
      <c r="G783" s="27" t="s">
        <v>758</v>
      </c>
      <c r="H783" s="27" t="s">
        <v>1406</v>
      </c>
      <c r="I783" s="27" t="s">
        <v>768</v>
      </c>
      <c r="J783" s="27" t="s">
        <v>861</v>
      </c>
      <c r="K783" s="27" t="s">
        <v>377</v>
      </c>
      <c r="L783" s="27"/>
      <c r="M783" s="27"/>
      <c r="N783" s="27"/>
      <c r="O783" s="27"/>
      <c r="P783" s="27"/>
      <c r="Q783" s="27">
        <v>1</v>
      </c>
      <c r="R783" s="27"/>
      <c r="S783" s="27"/>
      <c r="T783" s="27"/>
      <c r="U783" s="27"/>
      <c r="V783" s="27"/>
      <c r="W783" s="27"/>
      <c r="X783" s="27"/>
      <c r="Y783" s="27"/>
      <c r="Z783" s="27" t="s">
        <v>1938</v>
      </c>
      <c r="AA783" s="29">
        <v>2</v>
      </c>
      <c r="AB783" s="30">
        <f>IF(OR(G783="ALK",G783="PEM",G783="SOEC",G783="Other Electrolysis"),
AA783/VLOOKUP(G783,ElectrolysisConvF,3,FALSE),
AC783*10^6/(H2dens*HoursInYear))</f>
        <v>444.44444444444446</v>
      </c>
      <c r="AC783" s="30">
        <f>AB783*H2dens*HoursInYear/10^6</f>
        <v>0.34650666666666669</v>
      </c>
      <c r="AD783" s="30"/>
      <c r="AE783" s="30">
        <f>IF(AND(G783&lt;&gt;"NG w CCUS",G783&lt;&gt;"Oil w CCUS",G783&lt;&gt;"Coal w CCUS"),AB783,AD783*10^3/(HoursInYear*IF(G783="NG w CCUS",0.9105,1.9075)))</f>
        <v>444.44444444444446</v>
      </c>
      <c r="AF783" s="28"/>
      <c r="AG783" s="28"/>
    </row>
    <row r="784" spans="1:33" ht="32.25" customHeight="1" x14ac:dyDescent="0.2">
      <c r="A784" s="27">
        <v>1108</v>
      </c>
      <c r="B784" s="27" t="s">
        <v>3142</v>
      </c>
      <c r="C784" s="27" t="s">
        <v>337</v>
      </c>
      <c r="D784" s="27">
        <v>2023</v>
      </c>
      <c r="E784" s="27"/>
      <c r="F784" s="27" t="s">
        <v>832</v>
      </c>
      <c r="G784" s="27" t="s">
        <v>268</v>
      </c>
      <c r="H784" s="27"/>
      <c r="I784" s="27" t="s">
        <v>768</v>
      </c>
      <c r="J784" s="27" t="s">
        <v>861</v>
      </c>
      <c r="K784" s="27" t="s">
        <v>377</v>
      </c>
      <c r="L784" s="27"/>
      <c r="M784" s="27"/>
      <c r="N784" s="27"/>
      <c r="O784" s="27"/>
      <c r="P784" s="27"/>
      <c r="Q784" s="27"/>
      <c r="R784" s="27"/>
      <c r="S784" s="27"/>
      <c r="T784" s="27"/>
      <c r="U784" s="27"/>
      <c r="V784" s="27">
        <v>1</v>
      </c>
      <c r="W784" s="27"/>
      <c r="X784" s="27"/>
      <c r="Y784" s="27"/>
      <c r="Z784" s="27" t="s">
        <v>1403</v>
      </c>
      <c r="AA784" s="29">
        <v>20</v>
      </c>
      <c r="AB784" s="30">
        <f>IF(OR(G784="ALK",G784="PEM",G784="SOEC",G784="Other Electrolysis"),
AA784/VLOOKUP(G784,ElectrolysisConvF,3,FALSE),
AC784*10^6/(H2dens*HoursInYear))</f>
        <v>4347.826086956522</v>
      </c>
      <c r="AC784" s="30">
        <f>AB784*H2dens*HoursInYear/10^6</f>
        <v>3.3897391304347826</v>
      </c>
      <c r="AD784" s="30"/>
      <c r="AE784" s="30">
        <f>IF(AND(G784&lt;&gt;"NG w CCUS",G784&lt;&gt;"Oil w CCUS",G784&lt;&gt;"Coal w CCUS"),AB784,AD784*10^3/(HoursInYear*IF(G784="NG w CCUS",0.9105,1.9075)))</f>
        <v>4347.826086956522</v>
      </c>
      <c r="AF784" s="28"/>
      <c r="AG784" s="28"/>
    </row>
    <row r="785" spans="1:33" ht="32.25" customHeight="1" x14ac:dyDescent="0.2">
      <c r="A785" s="27">
        <v>1109</v>
      </c>
      <c r="B785" s="27" t="s">
        <v>3280</v>
      </c>
      <c r="C785" s="27" t="s">
        <v>434</v>
      </c>
      <c r="D785" s="27">
        <v>2028</v>
      </c>
      <c r="E785" s="27"/>
      <c r="F785" s="27" t="s">
        <v>1336</v>
      </c>
      <c r="G785" s="27" t="s">
        <v>758</v>
      </c>
      <c r="H785" s="27" t="s">
        <v>1406</v>
      </c>
      <c r="I785" s="27" t="s">
        <v>768</v>
      </c>
      <c r="J785" s="27" t="s">
        <v>865</v>
      </c>
      <c r="K785" s="27" t="s">
        <v>377</v>
      </c>
      <c r="L785" s="27"/>
      <c r="M785" s="27"/>
      <c r="N785" s="27"/>
      <c r="O785" s="27"/>
      <c r="P785" s="27"/>
      <c r="Q785" s="27"/>
      <c r="R785" s="27"/>
      <c r="S785" s="27"/>
      <c r="T785" s="27"/>
      <c r="U785" s="27"/>
      <c r="V785" s="27"/>
      <c r="W785" s="27"/>
      <c r="X785" s="27"/>
      <c r="Y785" s="27"/>
      <c r="Z785" s="27" t="s">
        <v>3281</v>
      </c>
      <c r="AA785" s="29">
        <v>4667</v>
      </c>
      <c r="AB785" s="30">
        <f>IF(OR(G785="ALK",G785="PEM",G785="SOEC",G785="Other Electrolysis"),
AA785/VLOOKUP(G785,ElectrolysisConvF,3,FALSE),
AC785*10^6/(H2dens*HoursInYear))</f>
        <v>1037111.1111111112</v>
      </c>
      <c r="AC785" s="30">
        <f>AB785*0.089*24*365/10^6</f>
        <v>808.57330666666678</v>
      </c>
      <c r="AD785" s="30"/>
      <c r="AE785" s="30">
        <f>AB785</f>
        <v>1037111.1111111112</v>
      </c>
      <c r="AF785" s="28" t="s">
        <v>3282</v>
      </c>
      <c r="AG785" s="74" t="s">
        <v>3864</v>
      </c>
    </row>
    <row r="786" spans="1:33" ht="32.25" customHeight="1" x14ac:dyDescent="0.2">
      <c r="A786" s="27">
        <v>1110</v>
      </c>
      <c r="B786" s="27" t="s">
        <v>3156</v>
      </c>
      <c r="C786" s="27" t="s">
        <v>337</v>
      </c>
      <c r="D786" s="27"/>
      <c r="E786" s="27"/>
      <c r="F786" s="27" t="s">
        <v>832</v>
      </c>
      <c r="G786" s="27" t="s">
        <v>266</v>
      </c>
      <c r="H786" s="27"/>
      <c r="I786" s="27" t="s">
        <v>768</v>
      </c>
      <c r="J786" s="27" t="s">
        <v>862</v>
      </c>
      <c r="K786" s="27" t="s">
        <v>377</v>
      </c>
      <c r="L786" s="27"/>
      <c r="M786" s="27"/>
      <c r="N786" s="27"/>
      <c r="O786" s="27"/>
      <c r="P786" s="27"/>
      <c r="Q786" s="27"/>
      <c r="R786" s="27"/>
      <c r="S786" s="27"/>
      <c r="T786" s="27"/>
      <c r="U786" s="27"/>
      <c r="V786" s="27"/>
      <c r="W786" s="27"/>
      <c r="X786" s="27"/>
      <c r="Y786" s="27"/>
      <c r="Z786" s="27" t="s">
        <v>3157</v>
      </c>
      <c r="AA786" s="29">
        <f>IF(OR(G786="ALK",G786="PEM",G786="SOEC",G786="Other Electrolysis"),
AB786*VLOOKUP(G786,ElectrolysisConvF,3,FALSE),
"")</f>
        <v>146.06741573033707</v>
      </c>
      <c r="AB786" s="30">
        <f>AC786/(H2dens*HoursInYear/10^6)</f>
        <v>28089.887640449437</v>
      </c>
      <c r="AC786" s="30">
        <f>60*365/1000</f>
        <v>21.9</v>
      </c>
      <c r="AD786" s="30"/>
      <c r="AE786" s="30">
        <f>IF(AND(G786&lt;&gt;"NG w CCUS",G786&lt;&gt;"Oil w CCUS",G786&lt;&gt;"Coal w CCUS"),AB786,AD786*10^3/(HoursInYear*IF(G786="NG w CCUS",0.9105,1.9075)))</f>
        <v>28089.887640449437</v>
      </c>
      <c r="AF786" s="28" t="s">
        <v>3158</v>
      </c>
      <c r="AG786" s="28"/>
    </row>
    <row r="787" spans="1:33" ht="32.25" customHeight="1" x14ac:dyDescent="0.2">
      <c r="A787" s="27">
        <v>1111</v>
      </c>
      <c r="B787" s="27" t="s">
        <v>3159</v>
      </c>
      <c r="C787" s="27" t="s">
        <v>804</v>
      </c>
      <c r="D787" s="27"/>
      <c r="E787" s="27"/>
      <c r="F787" s="27" t="s">
        <v>832</v>
      </c>
      <c r="G787" s="27" t="s">
        <v>758</v>
      </c>
      <c r="H787" s="27" t="s">
        <v>1406</v>
      </c>
      <c r="I787" s="27" t="s">
        <v>768</v>
      </c>
      <c r="J787" s="27" t="s">
        <v>863</v>
      </c>
      <c r="K787" s="27" t="s">
        <v>377</v>
      </c>
      <c r="L787" s="27"/>
      <c r="M787" s="27"/>
      <c r="N787" s="27"/>
      <c r="O787" s="27"/>
      <c r="P787" s="27"/>
      <c r="Q787" s="27"/>
      <c r="R787" s="27"/>
      <c r="S787" s="27"/>
      <c r="T787" s="27"/>
      <c r="U787" s="27"/>
      <c r="V787" s="27"/>
      <c r="W787" s="27"/>
      <c r="X787" s="27"/>
      <c r="Y787" s="27"/>
      <c r="Z787" s="27" t="s">
        <v>2556</v>
      </c>
      <c r="AA787" s="29">
        <v>300</v>
      </c>
      <c r="AB787" s="30">
        <f>IF(OR(G787="ALK",G787="PEM",G787="SOEC",G787="Other Electrolysis"),
AA787/VLOOKUP(G787,ElectrolysisConvF,3,FALSE),
AC787*10^6/(H2dens*HoursInYear))</f>
        <v>66666.666666666672</v>
      </c>
      <c r="AC787" s="30">
        <f>AB787*H2dens*HoursInYear/10^6</f>
        <v>51.975999999999999</v>
      </c>
      <c r="AD787" s="30"/>
      <c r="AE787" s="30">
        <f>IF(AND(G787&lt;&gt;"NG w CCUS",G787&lt;&gt;"Oil w CCUS",G787&lt;&gt;"Coal w CCUS"),AB787,AD787*10^3/(HoursInYear*IF(G787="NG w CCUS",0.9105,1.9075)))</f>
        <v>66666.666666666672</v>
      </c>
      <c r="AF787" s="28" t="s">
        <v>3160</v>
      </c>
      <c r="AG787" s="28"/>
    </row>
    <row r="788" spans="1:33" ht="32.25" customHeight="1" x14ac:dyDescent="0.2">
      <c r="A788" s="27">
        <v>1112</v>
      </c>
      <c r="B788" s="27" t="s">
        <v>3159</v>
      </c>
      <c r="C788" s="27" t="s">
        <v>804</v>
      </c>
      <c r="D788" s="27"/>
      <c r="E788" s="27"/>
      <c r="F788" s="27" t="s">
        <v>832</v>
      </c>
      <c r="G788" s="27" t="s">
        <v>752</v>
      </c>
      <c r="H788" s="27" t="s">
        <v>3256</v>
      </c>
      <c r="I788" s="27"/>
      <c r="J788" s="27"/>
      <c r="K788" s="27" t="s">
        <v>377</v>
      </c>
      <c r="L788" s="27"/>
      <c r="M788" s="27"/>
      <c r="N788" s="27"/>
      <c r="O788" s="27"/>
      <c r="P788" s="27">
        <v>1</v>
      </c>
      <c r="Q788" s="27"/>
      <c r="R788" s="27"/>
      <c r="S788" s="27"/>
      <c r="T788" s="27"/>
      <c r="U788" s="27"/>
      <c r="V788" s="27"/>
      <c r="W788" s="27"/>
      <c r="X788" s="27"/>
      <c r="Y788" s="27"/>
      <c r="Z788" s="27"/>
      <c r="AA788" s="29"/>
      <c r="AB788" s="30"/>
      <c r="AC788" s="30"/>
      <c r="AD788" s="30"/>
      <c r="AE788" s="30">
        <f>IF(AND(G788&lt;&gt;"NG w CCUS",G788&lt;&gt;"Oil w CCUS",G788&lt;&gt;"Coal w CCUS"),AB788,AD788*10^3/(HoursInYear*IF(G788="NG w CCUS",0.9105,1.9075)))</f>
        <v>0</v>
      </c>
      <c r="AF788" s="28" t="s">
        <v>3160</v>
      </c>
      <c r="AG788" s="28"/>
    </row>
    <row r="789" spans="1:33" ht="32.25" customHeight="1" x14ac:dyDescent="0.2">
      <c r="A789" s="27">
        <v>1113</v>
      </c>
      <c r="B789" s="55" t="s">
        <v>3161</v>
      </c>
      <c r="C789" s="55" t="s">
        <v>337</v>
      </c>
      <c r="D789" s="55"/>
      <c r="E789" s="55"/>
      <c r="F789" s="55" t="s">
        <v>832</v>
      </c>
      <c r="G789" s="55" t="s">
        <v>758</v>
      </c>
      <c r="H789" s="55" t="s">
        <v>1406</v>
      </c>
      <c r="I789" s="55" t="s">
        <v>768</v>
      </c>
      <c r="J789" s="55" t="s">
        <v>865</v>
      </c>
      <c r="K789" s="55" t="s">
        <v>377</v>
      </c>
      <c r="L789" s="55"/>
      <c r="M789" s="55"/>
      <c r="N789" s="55"/>
      <c r="O789" s="55"/>
      <c r="P789" s="55"/>
      <c r="Q789" s="55"/>
      <c r="R789" s="55"/>
      <c r="S789" s="55"/>
      <c r="T789" s="55"/>
      <c r="U789" s="55"/>
      <c r="V789" s="55"/>
      <c r="W789" s="55"/>
      <c r="X789" s="55"/>
      <c r="Y789" s="55"/>
      <c r="Z789" s="55"/>
      <c r="AA789" s="57"/>
      <c r="AB789" s="58"/>
      <c r="AC789" s="58"/>
      <c r="AD789" s="58"/>
      <c r="AE789" s="58">
        <f>IF(AND(G789&lt;&gt;"NG w CCUS",G789&lt;&gt;"Oil w CCUS",G789&lt;&gt;"Coal w CCUS"),AB789,AD789*10^3/(HoursInYear*IF(G789="NG w CCUS",0.9105,1.9075)))</f>
        <v>0</v>
      </c>
      <c r="AF789" s="56" t="s">
        <v>3162</v>
      </c>
      <c r="AG789" s="28"/>
    </row>
    <row r="790" spans="1:33" ht="32.25" customHeight="1" x14ac:dyDescent="0.2">
      <c r="A790" s="27">
        <v>1114</v>
      </c>
      <c r="B790" s="27" t="s">
        <v>3171</v>
      </c>
      <c r="C790" s="27" t="s">
        <v>347</v>
      </c>
      <c r="D790" s="27">
        <v>2024</v>
      </c>
      <c r="E790" s="27"/>
      <c r="F790" s="27" t="s">
        <v>832</v>
      </c>
      <c r="G790" s="27" t="s">
        <v>758</v>
      </c>
      <c r="H790" s="27" t="s">
        <v>1406</v>
      </c>
      <c r="I790" s="27" t="s">
        <v>768</v>
      </c>
      <c r="J790" s="27" t="s">
        <v>865</v>
      </c>
      <c r="K790" s="27" t="s">
        <v>377</v>
      </c>
      <c r="L790" s="27"/>
      <c r="M790" s="27"/>
      <c r="N790" s="27"/>
      <c r="O790" s="27"/>
      <c r="P790" s="27">
        <v>1</v>
      </c>
      <c r="Q790" s="27">
        <v>1</v>
      </c>
      <c r="R790" s="27"/>
      <c r="S790" s="27"/>
      <c r="T790" s="27"/>
      <c r="U790" s="27"/>
      <c r="V790" s="27"/>
      <c r="W790" s="27"/>
      <c r="X790" s="27"/>
      <c r="Y790" s="27"/>
      <c r="Z790" s="27" t="s">
        <v>1407</v>
      </c>
      <c r="AA790" s="29">
        <v>10</v>
      </c>
      <c r="AB790" s="30">
        <f>IF(OR(G790="ALK",G790="PEM",G790="SOEC",G790="Other Electrolysis"),
AA790/VLOOKUP(G790,ElectrolysisConvF,3,FALSE),
AC790*10^6/(H2dens*HoursInYear))</f>
        <v>2222.2222222222222</v>
      </c>
      <c r="AC790" s="30">
        <f>AB790*H2dens*HoursInYear/10^6</f>
        <v>1.7325333333333333</v>
      </c>
      <c r="AD790" s="30"/>
      <c r="AE790" s="30">
        <f>IF(AND(G790&lt;&gt;"NG w CCUS",G790&lt;&gt;"Oil w CCUS",G790&lt;&gt;"Coal w CCUS"),AB790,AD790*10^3/(HoursInYear*IF(G790="NG w CCUS",0.9105,1.9075)))</f>
        <v>2222.2222222222222</v>
      </c>
      <c r="AF790" s="28" t="s">
        <v>3172</v>
      </c>
      <c r="AG790" s="28"/>
    </row>
    <row r="791" spans="1:33" ht="32.25" customHeight="1" x14ac:dyDescent="0.2">
      <c r="A791" s="27">
        <v>1115</v>
      </c>
      <c r="B791" s="27" t="s">
        <v>3173</v>
      </c>
      <c r="C791" s="27" t="s">
        <v>347</v>
      </c>
      <c r="D791" s="27">
        <v>2027</v>
      </c>
      <c r="E791" s="27"/>
      <c r="F791" s="27" t="s">
        <v>832</v>
      </c>
      <c r="G791" s="27" t="s">
        <v>758</v>
      </c>
      <c r="H791" s="27" t="s">
        <v>1406</v>
      </c>
      <c r="I791" s="27" t="s">
        <v>768</v>
      </c>
      <c r="J791" s="27" t="s">
        <v>865</v>
      </c>
      <c r="K791" s="27" t="s">
        <v>377</v>
      </c>
      <c r="L791" s="27"/>
      <c r="M791" s="27"/>
      <c r="N791" s="27"/>
      <c r="O791" s="27"/>
      <c r="P791" s="27">
        <v>1</v>
      </c>
      <c r="Q791" s="27">
        <v>1</v>
      </c>
      <c r="R791" s="27"/>
      <c r="S791" s="27"/>
      <c r="T791" s="27"/>
      <c r="U791" s="27"/>
      <c r="V791" s="27"/>
      <c r="W791" s="27"/>
      <c r="X791" s="27"/>
      <c r="Y791" s="27"/>
      <c r="Z791" s="27" t="s">
        <v>2021</v>
      </c>
      <c r="AA791" s="29">
        <v>100</v>
      </c>
      <c r="AB791" s="30">
        <f>IF(OR(G791="ALK",G791="PEM",G791="SOEC",G791="Other Electrolysis"),
AA791/VLOOKUP(G791,ElectrolysisConvF,3,FALSE),
AC791*10^6/(H2dens*HoursInYear))</f>
        <v>22222.222222222223</v>
      </c>
      <c r="AC791" s="30">
        <f>AB791*H2dens*HoursInYear/10^6</f>
        <v>17.325333333333333</v>
      </c>
      <c r="AD791" s="30"/>
      <c r="AE791" s="30">
        <f>IF(AND(G791&lt;&gt;"NG w CCUS",G791&lt;&gt;"Oil w CCUS",G791&lt;&gt;"Coal w CCUS"),AB791,AD791*10^3/(HoursInYear*IF(G791="NG w CCUS",0.9105,1.9075)))</f>
        <v>22222.222222222223</v>
      </c>
      <c r="AF791" s="28" t="s">
        <v>3172</v>
      </c>
      <c r="AG791" s="28"/>
    </row>
    <row r="792" spans="1:33" ht="32.25" customHeight="1" x14ac:dyDescent="0.2">
      <c r="A792" s="27">
        <v>1116</v>
      </c>
      <c r="B792" s="27" t="s">
        <v>3174</v>
      </c>
      <c r="C792" s="27" t="s">
        <v>347</v>
      </c>
      <c r="D792" s="27">
        <v>2024</v>
      </c>
      <c r="E792" s="27"/>
      <c r="F792" s="27" t="s">
        <v>832</v>
      </c>
      <c r="G792" s="27" t="s">
        <v>758</v>
      </c>
      <c r="H792" s="27" t="s">
        <v>1406</v>
      </c>
      <c r="I792" s="27" t="s">
        <v>768</v>
      </c>
      <c r="J792" s="27" t="s">
        <v>378</v>
      </c>
      <c r="K792" s="27" t="s">
        <v>377</v>
      </c>
      <c r="L792" s="27"/>
      <c r="M792" s="27"/>
      <c r="N792" s="27"/>
      <c r="O792" s="27"/>
      <c r="P792" s="27">
        <v>1</v>
      </c>
      <c r="Q792" s="27">
        <v>1</v>
      </c>
      <c r="R792" s="27"/>
      <c r="S792" s="27"/>
      <c r="T792" s="27"/>
      <c r="U792" s="27"/>
      <c r="V792" s="27"/>
      <c r="W792" s="27"/>
      <c r="X792" s="27"/>
      <c r="Y792" s="27"/>
      <c r="Z792" s="27" t="s">
        <v>2075</v>
      </c>
      <c r="AA792" s="29">
        <v>200</v>
      </c>
      <c r="AB792" s="30">
        <f>IF(OR(G792="ALK",G792="PEM",G792="SOEC",G792="Other Electrolysis"),
AA792/VLOOKUP(G792,ElectrolysisConvF,3,FALSE),
AC792*10^6/(H2dens*HoursInYear))</f>
        <v>44444.444444444445</v>
      </c>
      <c r="AC792" s="30">
        <f>AB792*H2dens*HoursInYear/10^6</f>
        <v>34.650666666666666</v>
      </c>
      <c r="AD792" s="30"/>
      <c r="AE792" s="30">
        <f>IF(AND(G792&lt;&gt;"NG w CCUS",G792&lt;&gt;"Oil w CCUS",G792&lt;&gt;"Coal w CCUS"),AB792,AD792*10^3/(HoursInYear*IF(G792="NG w CCUS",0.9105,1.9075)))</f>
        <v>44444.444444444445</v>
      </c>
      <c r="AF792" s="28" t="s">
        <v>3172</v>
      </c>
      <c r="AG792" s="28"/>
    </row>
    <row r="793" spans="1:33" ht="32.25" customHeight="1" x14ac:dyDescent="0.2">
      <c r="A793" s="27">
        <v>1117</v>
      </c>
      <c r="B793" s="27" t="s">
        <v>3271</v>
      </c>
      <c r="C793" s="27" t="s">
        <v>336</v>
      </c>
      <c r="D793" s="27">
        <v>2030</v>
      </c>
      <c r="E793" s="27"/>
      <c r="F793" s="27" t="s">
        <v>1336</v>
      </c>
      <c r="G793" s="27" t="s">
        <v>758</v>
      </c>
      <c r="H793" s="27" t="s">
        <v>1406</v>
      </c>
      <c r="I793" s="27" t="s">
        <v>768</v>
      </c>
      <c r="J793" s="27" t="s">
        <v>378</v>
      </c>
      <c r="K793" s="27" t="s">
        <v>377</v>
      </c>
      <c r="L793" s="27"/>
      <c r="M793" s="27"/>
      <c r="N793" s="27"/>
      <c r="O793" s="27"/>
      <c r="P793" s="27"/>
      <c r="Q793" s="27"/>
      <c r="R793" s="27"/>
      <c r="S793" s="27"/>
      <c r="T793" s="27"/>
      <c r="U793" s="27"/>
      <c r="V793" s="27"/>
      <c r="W793" s="27"/>
      <c r="X793" s="27"/>
      <c r="Y793" s="27"/>
      <c r="Z793" s="27" t="s">
        <v>2588</v>
      </c>
      <c r="AA793" s="29">
        <v>3000</v>
      </c>
      <c r="AB793" s="30">
        <f>IF(OR(G793="ALK",G793="PEM",G793="SOEC",G793="Other Electrolysis"),
AA793/VLOOKUP(G793,ElectrolysisConvF,3,FALSE),
AC793*10^6/(H2dens*HoursInYear))</f>
        <v>666666.66666666674</v>
      </c>
      <c r="AC793" s="30">
        <f>AB793*H2dens*HoursInYear/10^6</f>
        <v>519.76</v>
      </c>
      <c r="AD793" s="30"/>
      <c r="AE793" s="30">
        <f>IF(AND(G793&lt;&gt;"NG w CCUS",G793&lt;&gt;"Oil w CCUS",G793&lt;&gt;"Coal w CCUS"),AB793,AD793*10^3/(HoursInYear*IF(G793="NG w CCUS",0.9105,1.9075)))</f>
        <v>666666.66666666674</v>
      </c>
      <c r="AF793" s="28" t="s">
        <v>3272</v>
      </c>
      <c r="AG793" s="74" t="s">
        <v>3871</v>
      </c>
    </row>
    <row r="794" spans="1:33" ht="32.25" customHeight="1" x14ac:dyDescent="0.2">
      <c r="A794" s="27">
        <v>1118</v>
      </c>
      <c r="B794" s="27" t="s">
        <v>3175</v>
      </c>
      <c r="C794" s="27" t="s">
        <v>347</v>
      </c>
      <c r="D794" s="27">
        <v>2026</v>
      </c>
      <c r="E794" s="27"/>
      <c r="F794" s="27" t="s">
        <v>832</v>
      </c>
      <c r="G794" s="27" t="s">
        <v>758</v>
      </c>
      <c r="H794" s="27" t="s">
        <v>1406</v>
      </c>
      <c r="I794" s="27" t="s">
        <v>768</v>
      </c>
      <c r="J794" s="27" t="s">
        <v>378</v>
      </c>
      <c r="K794" s="27" t="s">
        <v>377</v>
      </c>
      <c r="L794" s="27">
        <v>1</v>
      </c>
      <c r="M794" s="27"/>
      <c r="N794" s="27"/>
      <c r="O794" s="27"/>
      <c r="P794" s="27"/>
      <c r="Q794" s="27"/>
      <c r="R794" s="27"/>
      <c r="S794" s="27"/>
      <c r="T794" s="27"/>
      <c r="U794" s="27"/>
      <c r="V794" s="27"/>
      <c r="W794" s="27"/>
      <c r="X794" s="27"/>
      <c r="Y794" s="27"/>
      <c r="Z794" s="27" t="s">
        <v>2079</v>
      </c>
      <c r="AA794" s="29">
        <v>150</v>
      </c>
      <c r="AB794" s="30">
        <f>IF(OR(G794="ALK",G794="PEM",G794="SOEC",G794="Other Electrolysis"),
AA794/VLOOKUP(G794,ElectrolysisConvF,3,FALSE),
AC794*10^6/(H2dens*HoursInYear))</f>
        <v>33333.333333333336</v>
      </c>
      <c r="AC794" s="30">
        <f>AB794*H2dens*HoursInYear/10^6</f>
        <v>25.988</v>
      </c>
      <c r="AD794" s="30"/>
      <c r="AE794" s="30">
        <f>IF(AND(G794&lt;&gt;"NG w CCUS",G794&lt;&gt;"Oil w CCUS",G794&lt;&gt;"Coal w CCUS"),AB794,AD794*10^3/(HoursInYear*IF(G794="NG w CCUS",0.9105,1.9075)))</f>
        <v>33333.333333333336</v>
      </c>
      <c r="AF794" s="28" t="s">
        <v>3172</v>
      </c>
      <c r="AG794" s="28"/>
    </row>
    <row r="795" spans="1:33" ht="32.25" customHeight="1" x14ac:dyDescent="0.2">
      <c r="A795" s="27">
        <v>1119</v>
      </c>
      <c r="B795" s="27" t="s">
        <v>3176</v>
      </c>
      <c r="C795" s="27" t="s">
        <v>347</v>
      </c>
      <c r="D795" s="27">
        <v>2025</v>
      </c>
      <c r="E795" s="27"/>
      <c r="F795" s="27" t="s">
        <v>832</v>
      </c>
      <c r="G795" s="27" t="s">
        <v>762</v>
      </c>
      <c r="H795" s="27"/>
      <c r="I795" s="27" t="str">
        <f>IF(AND(G795&lt;&gt;"ALK",G795&lt;&gt;"PEM",G795&lt;&gt;"SOEC",G795&lt;&gt;"Other electrolysis"),"N/A","")</f>
        <v>N/A</v>
      </c>
      <c r="J795" s="27" t="str">
        <f>IF(I795&lt;&gt;"Dedicated renewable","N/A",)</f>
        <v>N/A</v>
      </c>
      <c r="K795" s="27" t="s">
        <v>377</v>
      </c>
      <c r="L795" s="27"/>
      <c r="M795" s="27"/>
      <c r="N795" s="27"/>
      <c r="O795" s="27"/>
      <c r="P795" s="27"/>
      <c r="Q795" s="27"/>
      <c r="R795" s="27"/>
      <c r="S795" s="27"/>
      <c r="T795" s="27"/>
      <c r="U795" s="27"/>
      <c r="V795" s="27"/>
      <c r="W795" s="27"/>
      <c r="X795" s="27"/>
      <c r="Y795" s="27"/>
      <c r="Z795" s="27"/>
      <c r="AA795" s="29"/>
      <c r="AB795" s="30"/>
      <c r="AC795" s="30"/>
      <c r="AD795" s="30"/>
      <c r="AE795" s="30">
        <f>IF(AND(G795&lt;&gt;"NG w CCUS",G795&lt;&gt;"Oil w CCUS",G795&lt;&gt;"Coal w CCUS"),AB795,AD795*10^3/(HoursInYear*IF(G795="NG w CCUS",0.9105,1.9075)))</f>
        <v>0</v>
      </c>
      <c r="AF795" s="28" t="s">
        <v>3172</v>
      </c>
      <c r="AG795" s="28"/>
    </row>
    <row r="796" spans="1:33" ht="32.25" customHeight="1" x14ac:dyDescent="0.2">
      <c r="A796" s="27">
        <v>1120</v>
      </c>
      <c r="B796" s="27" t="s">
        <v>3177</v>
      </c>
      <c r="C796" s="27" t="s">
        <v>347</v>
      </c>
      <c r="D796" s="27">
        <v>2024</v>
      </c>
      <c r="E796" s="27"/>
      <c r="F796" s="27" t="s">
        <v>832</v>
      </c>
      <c r="G796" s="27" t="s">
        <v>762</v>
      </c>
      <c r="H796" s="27"/>
      <c r="I796" s="27" t="str">
        <f>IF(AND(G796&lt;&gt;"ALK",G796&lt;&gt;"PEM",G796&lt;&gt;"SOEC",G796&lt;&gt;"Other electrolysis"),"N/A","")</f>
        <v>N/A</v>
      </c>
      <c r="J796" s="27" t="str">
        <f>IF(I796&lt;&gt;"Dedicated renewable","N/A",)</f>
        <v>N/A</v>
      </c>
      <c r="K796" s="27" t="s">
        <v>377</v>
      </c>
      <c r="L796" s="27"/>
      <c r="M796" s="27"/>
      <c r="N796" s="27"/>
      <c r="O796" s="27"/>
      <c r="P796" s="27"/>
      <c r="Q796" s="27"/>
      <c r="R796" s="27"/>
      <c r="S796" s="27"/>
      <c r="T796" s="27"/>
      <c r="U796" s="27"/>
      <c r="V796" s="27"/>
      <c r="W796" s="27"/>
      <c r="X796" s="27"/>
      <c r="Y796" s="27"/>
      <c r="Z796" s="27" t="s">
        <v>3178</v>
      </c>
      <c r="AA796" s="29" t="str">
        <f>IF(OR(G796="ALK",G796="PEM",G796="SOEC",G796="Other Electrolysis"),
AB796*VLOOKUP(G796,ElectrolysisConvF,3,FALSE),
"")</f>
        <v/>
      </c>
      <c r="AB796" s="30">
        <f>IF(OR(G796="ALK",G796="PEM",G796="SOEC",G796="Other Electrolysis"),
AA796/VLOOKUP(G796,ElectrolysisConvF,3,FALSE),
AC796*10^6/(H2dens*HoursInYear))</f>
        <v>16853.932584269663</v>
      </c>
      <c r="AC796" s="30">
        <f>50*3.6*24*365/120/1000</f>
        <v>13.14</v>
      </c>
      <c r="AD796" s="30"/>
      <c r="AE796" s="30">
        <f>IF(AND(G796&lt;&gt;"NG w CCUS",G796&lt;&gt;"Oil w CCUS",G796&lt;&gt;"Coal w CCUS"),AB796,AD796*10^3/(HoursInYear*IF(G796="NG w CCUS",0.9105,1.9075)))</f>
        <v>16853.932584269663</v>
      </c>
      <c r="AF796" s="28" t="s">
        <v>3172</v>
      </c>
      <c r="AG796" s="28"/>
    </row>
    <row r="797" spans="1:33" ht="32.25" customHeight="1" x14ac:dyDescent="0.2">
      <c r="A797" s="27">
        <v>1121</v>
      </c>
      <c r="B797" s="27" t="s">
        <v>3179</v>
      </c>
      <c r="C797" s="27" t="s">
        <v>347</v>
      </c>
      <c r="D797" s="27">
        <v>2022</v>
      </c>
      <c r="E797" s="27"/>
      <c r="F797" s="27" t="s">
        <v>754</v>
      </c>
      <c r="G797" s="27" t="s">
        <v>758</v>
      </c>
      <c r="H797" s="27" t="s">
        <v>1406</v>
      </c>
      <c r="I797" s="27" t="s">
        <v>768</v>
      </c>
      <c r="J797" s="27" t="s">
        <v>862</v>
      </c>
      <c r="K797" s="27" t="s">
        <v>377</v>
      </c>
      <c r="L797" s="27"/>
      <c r="M797" s="27"/>
      <c r="N797" s="27"/>
      <c r="O797" s="27"/>
      <c r="P797" s="27"/>
      <c r="Q797" s="27"/>
      <c r="R797" s="27"/>
      <c r="S797" s="27"/>
      <c r="T797" s="27"/>
      <c r="U797" s="27"/>
      <c r="V797" s="27"/>
      <c r="W797" s="27"/>
      <c r="X797" s="27"/>
      <c r="Y797" s="27"/>
      <c r="Z797" s="27" t="s">
        <v>1938</v>
      </c>
      <c r="AA797" s="29">
        <v>2</v>
      </c>
      <c r="AB797" s="30">
        <f>IF(OR(G797="ALK",G797="PEM",G797="SOEC",G797="Other Electrolysis"),
AA797/VLOOKUP(G797,ElectrolysisConvF,3,FALSE),
AC797*10^6/(H2dens*HoursInYear))</f>
        <v>444.44444444444446</v>
      </c>
      <c r="AC797" s="30">
        <f>AB797*H2dens*HoursInYear/10^6</f>
        <v>0.34650666666666669</v>
      </c>
      <c r="AD797" s="30"/>
      <c r="AE797" s="30">
        <f>IF(AND(G797&lt;&gt;"NG w CCUS",G797&lt;&gt;"Oil w CCUS",G797&lt;&gt;"Coal w CCUS"),AB797,AD797*10^3/(HoursInYear*IF(G797="NG w CCUS",0.9105,1.9075)))</f>
        <v>444.44444444444446</v>
      </c>
      <c r="AF797" s="28" t="s">
        <v>3172</v>
      </c>
      <c r="AG797" s="28"/>
    </row>
    <row r="798" spans="1:33" ht="32.25" customHeight="1" x14ac:dyDescent="0.2">
      <c r="A798" s="27">
        <v>1122</v>
      </c>
      <c r="B798" s="27" t="s">
        <v>3180</v>
      </c>
      <c r="C798" s="27" t="s">
        <v>347</v>
      </c>
      <c r="D798" s="27">
        <v>2025</v>
      </c>
      <c r="E798" s="27"/>
      <c r="F798" s="27" t="s">
        <v>832</v>
      </c>
      <c r="G798" s="27" t="s">
        <v>760</v>
      </c>
      <c r="H798" s="27"/>
      <c r="I798" s="27"/>
      <c r="J798" s="27"/>
      <c r="K798" s="27" t="s">
        <v>377</v>
      </c>
      <c r="L798" s="27"/>
      <c r="M798" s="27"/>
      <c r="N798" s="27"/>
      <c r="O798" s="27"/>
      <c r="P798" s="27"/>
      <c r="Q798" s="27"/>
      <c r="R798" s="27"/>
      <c r="S798" s="27"/>
      <c r="T798" s="27"/>
      <c r="U798" s="27"/>
      <c r="V798" s="27"/>
      <c r="W798" s="27"/>
      <c r="X798" s="27"/>
      <c r="Y798" s="27"/>
      <c r="Z798" s="27" t="s">
        <v>3181</v>
      </c>
      <c r="AA798" s="29" t="str">
        <f>IF(OR(G798="ALK",G798="PEM",G798="SOEC",G798="Other Electrolysis"),
AB798*VLOOKUP(G798,ElectrolysisConvF,3,FALSE),
"")</f>
        <v/>
      </c>
      <c r="AB798" s="30">
        <f>IF(OR(G798="ALK",G798="PEM",G798="SOEC",G798="Other Electrolysis"),
AA798/VLOOKUP(G798,ElectrolysisConvF,3,FALSE),
AC798*10^6/(H2dens*HoursInYear))</f>
        <v>256.52865425067978</v>
      </c>
      <c r="AC798" s="30">
        <v>0.2</v>
      </c>
      <c r="AD798" s="30"/>
      <c r="AE798" s="30">
        <f>IF(AND(G798&lt;&gt;"NG w CCUS",G798&lt;&gt;"Oil w CCUS",G798&lt;&gt;"Coal w CCUS"),AB798,AD798*10^3/(HoursInYear*IF(G798="NG w CCUS",0.9105,1.9075)))</f>
        <v>0</v>
      </c>
      <c r="AF798" s="28" t="s">
        <v>3172</v>
      </c>
      <c r="AG798" s="28"/>
    </row>
    <row r="799" spans="1:33" ht="32.25" customHeight="1" x14ac:dyDescent="0.2">
      <c r="A799" s="27">
        <v>1123</v>
      </c>
      <c r="B799" s="27" t="s">
        <v>3191</v>
      </c>
      <c r="C799" s="27" t="s">
        <v>338</v>
      </c>
      <c r="D799" s="27">
        <v>2022</v>
      </c>
      <c r="E799" s="27"/>
      <c r="F799" s="27" t="s">
        <v>832</v>
      </c>
      <c r="G799" s="27" t="s">
        <v>758</v>
      </c>
      <c r="H799" s="27" t="s">
        <v>1406</v>
      </c>
      <c r="I799" s="27" t="s">
        <v>768</v>
      </c>
      <c r="J799" s="27" t="s">
        <v>865</v>
      </c>
      <c r="K799" s="27" t="s">
        <v>377</v>
      </c>
      <c r="L799" s="27"/>
      <c r="M799" s="27"/>
      <c r="N799" s="27"/>
      <c r="O799" s="27"/>
      <c r="P799" s="27">
        <v>1</v>
      </c>
      <c r="Q799" s="27"/>
      <c r="R799" s="27"/>
      <c r="S799" s="27"/>
      <c r="T799" s="27"/>
      <c r="U799" s="27"/>
      <c r="V799" s="27"/>
      <c r="W799" s="27"/>
      <c r="X799" s="27"/>
      <c r="Y799" s="27"/>
      <c r="Z799" s="27" t="s">
        <v>3193</v>
      </c>
      <c r="AA799" s="29">
        <f>IF(OR(G799="ALK",G799="PEM",G799="SOEC",G799="Other Electrolysis"),
AB799*VLOOKUP(G799,ElectrolysisConvF,3,FALSE),
"")</f>
        <v>115.43789441280592</v>
      </c>
      <c r="AB799" s="30">
        <f>AC799/(H2dens*HoursInYear/10^6)</f>
        <v>25652.865425067983</v>
      </c>
      <c r="AC799" s="30">
        <v>20</v>
      </c>
      <c r="AD799" s="30"/>
      <c r="AE799" s="30">
        <f>IF(AND(G799&lt;&gt;"NG w CCUS",G799&lt;&gt;"Oil w CCUS",G799&lt;&gt;"Coal w CCUS"),AB799,AD799*10^3/(HoursInYear*IF(G799="NG w CCUS",0.9105,1.9075)))</f>
        <v>25652.865425067983</v>
      </c>
      <c r="AF799" s="28" t="s">
        <v>3273</v>
      </c>
      <c r="AG799" s="74" t="s">
        <v>3992</v>
      </c>
    </row>
    <row r="800" spans="1:33" ht="32.25" customHeight="1" x14ac:dyDescent="0.2">
      <c r="A800" s="27">
        <v>1124</v>
      </c>
      <c r="B800" s="27" t="s">
        <v>3192</v>
      </c>
      <c r="C800" s="27" t="s">
        <v>338</v>
      </c>
      <c r="D800" s="27"/>
      <c r="E800" s="27"/>
      <c r="F800" s="27" t="s">
        <v>832</v>
      </c>
      <c r="G800" s="27" t="s">
        <v>758</v>
      </c>
      <c r="H800" s="27" t="s">
        <v>1406</v>
      </c>
      <c r="I800" s="27" t="s">
        <v>768</v>
      </c>
      <c r="J800" s="27" t="s">
        <v>861</v>
      </c>
      <c r="K800" s="27" t="s">
        <v>377</v>
      </c>
      <c r="L800" s="27"/>
      <c r="M800" s="27"/>
      <c r="N800" s="27"/>
      <c r="O800" s="27"/>
      <c r="P800" s="27"/>
      <c r="Q800" s="27"/>
      <c r="R800" s="27"/>
      <c r="S800" s="27"/>
      <c r="T800" s="27"/>
      <c r="U800" s="27"/>
      <c r="V800" s="27"/>
      <c r="W800" s="27"/>
      <c r="X800" s="27"/>
      <c r="Y800" s="27"/>
      <c r="Z800" s="27" t="s">
        <v>3193</v>
      </c>
      <c r="AA800" s="29">
        <f>IF(OR(G800="ALK",G800="PEM",G800="SOEC",G800="Other Electrolysis"),
AB800*VLOOKUP(G800,ElectrolysisConvF,3,FALSE),
"")</f>
        <v>115.43789441280592</v>
      </c>
      <c r="AB800" s="30">
        <f>AC800/(H2dens*HoursInYear/10^6)</f>
        <v>25652.865425067983</v>
      </c>
      <c r="AC800" s="30">
        <v>20</v>
      </c>
      <c r="AD800" s="30"/>
      <c r="AE800" s="30">
        <f>IF(AND(G800&lt;&gt;"NG w CCUS",G800&lt;&gt;"Oil w CCUS",G800&lt;&gt;"Coal w CCUS"),AB800,AD800*10^3/(HoursInYear*IF(G800="NG w CCUS",0.9105,1.9075)))</f>
        <v>25652.865425067983</v>
      </c>
      <c r="AF800" s="28" t="s">
        <v>3273</v>
      </c>
      <c r="AG800" s="28"/>
    </row>
    <row r="801" spans="1:33" ht="32.25" customHeight="1" x14ac:dyDescent="0.2">
      <c r="A801" s="27">
        <v>1125</v>
      </c>
      <c r="B801" s="27" t="s">
        <v>3254</v>
      </c>
      <c r="C801" s="27" t="s">
        <v>337</v>
      </c>
      <c r="D801" s="27"/>
      <c r="E801" s="27"/>
      <c r="F801" s="27" t="s">
        <v>1336</v>
      </c>
      <c r="G801" s="27" t="s">
        <v>760</v>
      </c>
      <c r="H801" s="27"/>
      <c r="I801" s="27"/>
      <c r="J801" s="27"/>
      <c r="K801" s="27" t="s">
        <v>377</v>
      </c>
      <c r="L801" s="27"/>
      <c r="M801" s="27"/>
      <c r="N801" s="27"/>
      <c r="O801" s="27"/>
      <c r="P801" s="27"/>
      <c r="Q801" s="27"/>
      <c r="R801" s="27"/>
      <c r="S801" s="27"/>
      <c r="T801" s="27"/>
      <c r="U801" s="27"/>
      <c r="V801" s="27"/>
      <c r="W801" s="27"/>
      <c r="X801" s="27"/>
      <c r="Y801" s="27"/>
      <c r="Z801" s="27"/>
      <c r="AA801" s="29"/>
      <c r="AB801" s="30"/>
      <c r="AC801" s="30"/>
      <c r="AD801" s="30"/>
      <c r="AE801" s="30">
        <f>IF(AND(G801&lt;&gt;"NG w CCUS",G801&lt;&gt;"Oil w CCUS",G801&lt;&gt;"Coal w CCUS"),AB801,AD801*10^3/(HoursInYear*IF(G801="NG w CCUS",0.9105,1.9075)))</f>
        <v>0</v>
      </c>
      <c r="AF801" s="28" t="s">
        <v>3255</v>
      </c>
      <c r="AG801" s="28"/>
    </row>
    <row r="802" spans="1:33" ht="32.25" customHeight="1" x14ac:dyDescent="0.2">
      <c r="A802" s="27">
        <v>1126</v>
      </c>
      <c r="B802" s="27" t="s">
        <v>3196</v>
      </c>
      <c r="C802" s="27" t="s">
        <v>346</v>
      </c>
      <c r="D802" s="27">
        <v>2024</v>
      </c>
      <c r="E802" s="27"/>
      <c r="F802" s="27" t="s">
        <v>832</v>
      </c>
      <c r="G802" s="27" t="s">
        <v>268</v>
      </c>
      <c r="H802" s="27"/>
      <c r="I802" s="27" t="str">
        <f>IF(AND(G802&lt;&gt;"ALK",G802&lt;&gt;"PEM",G802&lt;&gt;"SOEC",G802&lt;&gt;"Other electrolysis"),"N/A","")</f>
        <v/>
      </c>
      <c r="J802" s="27" t="s">
        <v>865</v>
      </c>
      <c r="K802" s="27" t="s">
        <v>377</v>
      </c>
      <c r="L802" s="27"/>
      <c r="M802" s="27"/>
      <c r="N802" s="27"/>
      <c r="O802" s="27"/>
      <c r="P802" s="27"/>
      <c r="Q802" s="27"/>
      <c r="R802" s="27"/>
      <c r="S802" s="27"/>
      <c r="T802" s="27"/>
      <c r="U802" s="27"/>
      <c r="V802" s="27"/>
      <c r="W802" s="27"/>
      <c r="X802" s="27"/>
      <c r="Y802" s="27"/>
      <c r="Z802" s="27" t="s">
        <v>2021</v>
      </c>
      <c r="AA802" s="29">
        <v>100</v>
      </c>
      <c r="AB802" s="30">
        <f>IF(OR(G802="ALK",G802="PEM",G802="SOEC",G802="Other Electrolysis"),
AA802/VLOOKUP(G802,ElectrolysisConvF,3,FALSE),
AC802*10^6/(H2dens*HoursInYear))</f>
        <v>21739.130434782608</v>
      </c>
      <c r="AC802" s="30">
        <f>AB802*H2dens*HoursInYear/10^6</f>
        <v>16.94869565217391</v>
      </c>
      <c r="AD802" s="30"/>
      <c r="AE802" s="30">
        <f>IF(AND(G802&lt;&gt;"NG w CCUS",G802&lt;&gt;"Oil w CCUS",G802&lt;&gt;"Coal w CCUS"),AB802,AD802*10^3/(HoursInYear*IF(G802="NG w CCUS",0.9105,1.9075)))</f>
        <v>21739.130434782608</v>
      </c>
      <c r="AF802" s="28" t="s">
        <v>3197</v>
      </c>
      <c r="AG802" s="28"/>
    </row>
    <row r="803" spans="1:33" ht="32.25" customHeight="1" x14ac:dyDescent="0.2">
      <c r="A803" s="27">
        <v>1127</v>
      </c>
      <c r="B803" s="27" t="s">
        <v>3287</v>
      </c>
      <c r="C803" s="27" t="s">
        <v>972</v>
      </c>
      <c r="D803" s="27">
        <v>2023</v>
      </c>
      <c r="E803" s="27"/>
      <c r="F803" s="27" t="s">
        <v>832</v>
      </c>
      <c r="G803" s="27" t="s">
        <v>758</v>
      </c>
      <c r="H803" s="27" t="s">
        <v>1406</v>
      </c>
      <c r="I803" s="27" t="s">
        <v>866</v>
      </c>
      <c r="J803" s="27"/>
      <c r="K803" s="27" t="s">
        <v>377</v>
      </c>
      <c r="L803" s="27">
        <v>1</v>
      </c>
      <c r="M803" s="27"/>
      <c r="N803" s="27"/>
      <c r="O803" s="27"/>
      <c r="P803" s="27">
        <v>1</v>
      </c>
      <c r="Q803" s="27">
        <v>1</v>
      </c>
      <c r="R803" s="27"/>
      <c r="S803" s="27"/>
      <c r="T803" s="27"/>
      <c r="U803" s="27"/>
      <c r="V803" s="27"/>
      <c r="W803" s="27"/>
      <c r="X803" s="27"/>
      <c r="Y803" s="27"/>
      <c r="Z803" s="27" t="s">
        <v>1902</v>
      </c>
      <c r="AA803" s="29">
        <v>50</v>
      </c>
      <c r="AB803" s="30">
        <f>IF(OR(G803="ALK",G803="PEM",G803="SOEC",G803="Other Electrolysis"),
AA803/VLOOKUP(G803,ElectrolysisConvF,3,FALSE),
AC803*10^6/(H2dens*HoursInYear))</f>
        <v>11111.111111111111</v>
      </c>
      <c r="AC803" s="30">
        <f>AB803*H2dens*HoursInYear/10^6</f>
        <v>8.6626666666666665</v>
      </c>
      <c r="AD803" s="30"/>
      <c r="AE803" s="30">
        <f>IF(AND(G803&lt;&gt;"NG w CCUS",G803&lt;&gt;"Oil w CCUS",G803&lt;&gt;"Coal w CCUS"),AB803,AD803*10^3/(HoursInYear*IF(G803="NG w CCUS",0.9105,1.9075)))</f>
        <v>11111.111111111111</v>
      </c>
      <c r="AF803" s="28" t="s">
        <v>3288</v>
      </c>
      <c r="AG803" s="74" t="s">
        <v>3876</v>
      </c>
    </row>
    <row r="804" spans="1:33" ht="32.25" customHeight="1" x14ac:dyDescent="0.2">
      <c r="A804" s="27">
        <v>1128</v>
      </c>
      <c r="B804" s="27" t="s">
        <v>3203</v>
      </c>
      <c r="C804" s="27" t="s">
        <v>346</v>
      </c>
      <c r="D804" s="27">
        <v>2023</v>
      </c>
      <c r="E804" s="27"/>
      <c r="F804" s="27" t="s">
        <v>753</v>
      </c>
      <c r="G804" s="27" t="s">
        <v>758</v>
      </c>
      <c r="H804" s="27" t="s">
        <v>1406</v>
      </c>
      <c r="I804" s="27" t="s">
        <v>768</v>
      </c>
      <c r="J804" s="27" t="s">
        <v>865</v>
      </c>
      <c r="K804" s="27" t="s">
        <v>739</v>
      </c>
      <c r="L804" s="27"/>
      <c r="M804" s="27"/>
      <c r="N804" s="27">
        <v>1</v>
      </c>
      <c r="O804" s="27"/>
      <c r="P804" s="27"/>
      <c r="Q804" s="27"/>
      <c r="R804" s="27"/>
      <c r="S804" s="27"/>
      <c r="T804" s="27"/>
      <c r="U804" s="27"/>
      <c r="V804" s="27"/>
      <c r="W804" s="27"/>
      <c r="X804" s="27"/>
      <c r="Y804" s="27"/>
      <c r="Z804" s="27" t="s">
        <v>2605</v>
      </c>
      <c r="AA804" s="29">
        <v>12</v>
      </c>
      <c r="AB804" s="30">
        <f>AA804/0.0045</f>
        <v>2666.666666666667</v>
      </c>
      <c r="AC804" s="30">
        <f>AB804*0.089*24*365/10^6</f>
        <v>2.07904</v>
      </c>
      <c r="AD804" s="30"/>
      <c r="AE804" s="30">
        <f>AB804</f>
        <v>2666.666666666667</v>
      </c>
      <c r="AF804" s="28" t="s">
        <v>3202</v>
      </c>
      <c r="AG804" s="28"/>
    </row>
    <row r="805" spans="1:33" ht="32.25" customHeight="1" x14ac:dyDescent="0.2">
      <c r="A805" s="27">
        <v>1129</v>
      </c>
      <c r="B805" s="27" t="s">
        <v>3294</v>
      </c>
      <c r="C805" s="27" t="s">
        <v>344</v>
      </c>
      <c r="D805" s="27">
        <v>2024</v>
      </c>
      <c r="E805" s="27"/>
      <c r="F805" s="27" t="s">
        <v>832</v>
      </c>
      <c r="G805" s="27" t="s">
        <v>758</v>
      </c>
      <c r="H805" s="27" t="s">
        <v>1406</v>
      </c>
      <c r="I805" s="27" t="s">
        <v>768</v>
      </c>
      <c r="J805" s="27" t="s">
        <v>861</v>
      </c>
      <c r="K805" s="27" t="s">
        <v>740</v>
      </c>
      <c r="L805" s="27"/>
      <c r="M805" s="27">
        <v>1</v>
      </c>
      <c r="N805" s="27"/>
      <c r="O805" s="27"/>
      <c r="P805" s="27"/>
      <c r="Q805" s="27"/>
      <c r="R805" s="27"/>
      <c r="S805" s="27"/>
      <c r="T805" s="27"/>
      <c r="U805" s="27"/>
      <c r="V805" s="27"/>
      <c r="W805" s="27"/>
      <c r="X805" s="27"/>
      <c r="Y805" s="27"/>
      <c r="Z805" s="27" t="s">
        <v>3295</v>
      </c>
      <c r="AA805" s="29">
        <f>IF(OR(G805="ALK",G805="PEM",G805="SOEC",G805="Other Electrolysis"),
AB805*VLOOKUP(G805,ElectrolysisConvF,3,FALSE),
"")</f>
        <v>41.574271697289035</v>
      </c>
      <c r="AB805" s="30">
        <f>AC805/(H2dens*HoursInYear/10^6)</f>
        <v>9238.7270438420092</v>
      </c>
      <c r="AC805" s="30">
        <f>40*3/17/0.98</f>
        <v>7.2028811524609839</v>
      </c>
      <c r="AD805" s="30"/>
      <c r="AE805" s="30">
        <f>IF(AND(G805&lt;&gt;"NG w CCUS",G805&lt;&gt;"Oil w CCUS",G805&lt;&gt;"Coal w CCUS"),AB805,AD805*10^3/(HoursInYear*IF(G805="NG w CCUS",0.9105,1.9075)))</f>
        <v>9238.7270438420092</v>
      </c>
      <c r="AF805" s="28" t="s">
        <v>3214</v>
      </c>
      <c r="AG805" s="28"/>
    </row>
    <row r="806" spans="1:33" ht="32.25" customHeight="1" x14ac:dyDescent="0.2">
      <c r="A806" s="27">
        <v>1130</v>
      </c>
      <c r="B806" s="27" t="s">
        <v>3211</v>
      </c>
      <c r="C806" s="27" t="s">
        <v>346</v>
      </c>
      <c r="D806" s="27">
        <v>2030</v>
      </c>
      <c r="E806" s="27"/>
      <c r="F806" s="27" t="s">
        <v>832</v>
      </c>
      <c r="G806" s="27" t="s">
        <v>758</v>
      </c>
      <c r="H806" s="27" t="s">
        <v>1406</v>
      </c>
      <c r="I806" s="27" t="s">
        <v>768</v>
      </c>
      <c r="J806" s="27" t="s">
        <v>865</v>
      </c>
      <c r="K806" s="27" t="s">
        <v>377</v>
      </c>
      <c r="L806" s="27">
        <v>1</v>
      </c>
      <c r="M806" s="27"/>
      <c r="N806" s="27"/>
      <c r="O806" s="27"/>
      <c r="P806" s="27"/>
      <c r="Q806" s="27"/>
      <c r="R806" s="27"/>
      <c r="S806" s="27"/>
      <c r="T806" s="27"/>
      <c r="U806" s="27"/>
      <c r="V806" s="27"/>
      <c r="W806" s="27"/>
      <c r="X806" s="27"/>
      <c r="Y806" s="27"/>
      <c r="Z806" s="27" t="s">
        <v>2531</v>
      </c>
      <c r="AA806" s="29">
        <v>700</v>
      </c>
      <c r="AB806" s="30">
        <f>AA806/0.0045</f>
        <v>155555.55555555556</v>
      </c>
      <c r="AC806" s="30">
        <f>AB806*0.089*24*365/10^6</f>
        <v>121.27733333333335</v>
      </c>
      <c r="AD806" s="30"/>
      <c r="AE806" s="30">
        <f>AB806</f>
        <v>155555.55555555556</v>
      </c>
      <c r="AF806" s="28" t="s">
        <v>1720</v>
      </c>
      <c r="AG806" s="74" t="s">
        <v>3958</v>
      </c>
    </row>
    <row r="807" spans="1:33" ht="32.25" customHeight="1" x14ac:dyDescent="0.2">
      <c r="A807" s="27">
        <v>1134</v>
      </c>
      <c r="B807" s="27" t="s">
        <v>3215</v>
      </c>
      <c r="C807" s="27" t="s">
        <v>350</v>
      </c>
      <c r="D807" s="27"/>
      <c r="E807" s="27"/>
      <c r="F807" s="27" t="s">
        <v>753</v>
      </c>
      <c r="G807" s="27" t="s">
        <v>758</v>
      </c>
      <c r="H807" s="27" t="s">
        <v>1406</v>
      </c>
      <c r="I807" s="27" t="s">
        <v>768</v>
      </c>
      <c r="J807" s="27" t="s">
        <v>865</v>
      </c>
      <c r="K807" s="27" t="s">
        <v>767</v>
      </c>
      <c r="L807" s="27"/>
      <c r="M807" s="27">
        <v>1</v>
      </c>
      <c r="N807" s="27"/>
      <c r="O807" s="27"/>
      <c r="P807" s="27"/>
      <c r="Q807" s="27">
        <v>1</v>
      </c>
      <c r="R807" s="27"/>
      <c r="S807" s="27"/>
      <c r="T807" s="27"/>
      <c r="U807" s="27"/>
      <c r="V807" s="27"/>
      <c r="W807" s="27"/>
      <c r="X807" s="27"/>
      <c r="Y807" s="27"/>
      <c r="Z807" s="27" t="s">
        <v>3216</v>
      </c>
      <c r="AA807" s="29">
        <f>IF(OR(G807="ALK",G807="PEM",G807="SOEC",G807="Other Electrolysis"),
AB807*VLOOKUP(G807,ElectrolysisConvF,3,FALSE),
"")</f>
        <v>4.2134831460674151</v>
      </c>
      <c r="AB807" s="30">
        <f>AC807/(H2dens*HoursInYear/10^6)</f>
        <v>936.32958801498125</v>
      </c>
      <c r="AC807" s="30">
        <f>2*365/1000</f>
        <v>0.73</v>
      </c>
      <c r="AD807" s="30"/>
      <c r="AE807" s="30">
        <f>IF(AND(G807&lt;&gt;"NG w CCUS",G807&lt;&gt;"Oil w CCUS",G807&lt;&gt;"Coal w CCUS"),AB807,AD807*10^3/(HoursInYear*IF(G807="NG w CCUS",0.9105,1.9075)))</f>
        <v>936.32958801498125</v>
      </c>
      <c r="AF807" s="28" t="s">
        <v>3217</v>
      </c>
      <c r="AG807" s="28"/>
    </row>
    <row r="808" spans="1:33" ht="32.25" customHeight="1" x14ac:dyDescent="0.2">
      <c r="A808" s="27">
        <v>1137</v>
      </c>
      <c r="B808" s="27" t="s">
        <v>3218</v>
      </c>
      <c r="C808" s="27" t="s">
        <v>334</v>
      </c>
      <c r="D808" s="27"/>
      <c r="E808" s="27"/>
      <c r="F808" s="27" t="s">
        <v>836</v>
      </c>
      <c r="G808" s="27" t="s">
        <v>761</v>
      </c>
      <c r="H808" s="27"/>
      <c r="I808" s="27"/>
      <c r="J808" s="27"/>
      <c r="K808" s="27" t="s">
        <v>377</v>
      </c>
      <c r="L808" s="27">
        <v>1</v>
      </c>
      <c r="M808" s="27"/>
      <c r="N808" s="27"/>
      <c r="O808" s="27"/>
      <c r="P808" s="27"/>
      <c r="Q808" s="27"/>
      <c r="R808" s="27"/>
      <c r="S808" s="27"/>
      <c r="T808" s="27"/>
      <c r="U808" s="27"/>
      <c r="V808" s="27"/>
      <c r="W808" s="27"/>
      <c r="X808" s="27"/>
      <c r="Y808" s="27"/>
      <c r="Z808" s="27" t="s">
        <v>3219</v>
      </c>
      <c r="AA808" s="29"/>
      <c r="AB808" s="30"/>
      <c r="AC808" s="30"/>
      <c r="AD808" s="30">
        <v>438000</v>
      </c>
      <c r="AE808" s="30">
        <f>IF(AND(G808&lt;&gt;"NG w CCUS",G808&lt;&gt;"Oil w CCUS",G808&lt;&gt;"Coal w CCUS"),AB808,AD808*10^3/(HoursInYear*IF(G808="NG w CCUS",0.9105,1.9075)))</f>
        <v>26212.319790301441</v>
      </c>
      <c r="AF808" s="28" t="s">
        <v>3220</v>
      </c>
      <c r="AG808" s="28"/>
    </row>
    <row r="809" spans="1:33" ht="32.25" customHeight="1" x14ac:dyDescent="0.2">
      <c r="A809" s="27">
        <v>1138</v>
      </c>
      <c r="B809" s="27" t="s">
        <v>3221</v>
      </c>
      <c r="C809" s="27" t="s">
        <v>343</v>
      </c>
      <c r="D809" s="27">
        <v>2024</v>
      </c>
      <c r="E809" s="27"/>
      <c r="F809" s="27" t="s">
        <v>1336</v>
      </c>
      <c r="G809" s="27" t="s">
        <v>758</v>
      </c>
      <c r="H809" s="27" t="s">
        <v>1406</v>
      </c>
      <c r="I809" s="27" t="s">
        <v>768</v>
      </c>
      <c r="J809" s="27" t="s">
        <v>863</v>
      </c>
      <c r="K809" s="27" t="s">
        <v>377</v>
      </c>
      <c r="L809" s="27"/>
      <c r="M809" s="27"/>
      <c r="N809" s="27"/>
      <c r="O809" s="27"/>
      <c r="P809" s="27"/>
      <c r="Q809" s="27"/>
      <c r="R809" s="27"/>
      <c r="S809" s="27"/>
      <c r="T809" s="27"/>
      <c r="U809" s="27"/>
      <c r="V809" s="27"/>
      <c r="W809" s="27"/>
      <c r="X809" s="27"/>
      <c r="Y809" s="27"/>
      <c r="Z809" s="27" t="s">
        <v>3222</v>
      </c>
      <c r="AA809" s="29">
        <v>1500</v>
      </c>
      <c r="AB809" s="30">
        <f>IF(OR(G809="ALK",G809="PEM",G809="SOEC",G809="Other Electrolysis"),
AA809/VLOOKUP(G809,ElectrolysisConvF,3,FALSE),
AC809*10^6/(H2dens*HoursInYear))</f>
        <v>333333.33333333337</v>
      </c>
      <c r="AC809" s="30">
        <f>AB809*H2dens*HoursInYear/10^6</f>
        <v>259.88</v>
      </c>
      <c r="AD809" s="30"/>
      <c r="AE809" s="30">
        <f>IF(AND(G809&lt;&gt;"NG w CCUS",G809&lt;&gt;"Oil w CCUS",G809&lt;&gt;"Coal w CCUS"),AB809,AD809*10^3/(HoursInYear*IF(G809="NG w CCUS",0.9105,1.9075)))</f>
        <v>333333.33333333337</v>
      </c>
      <c r="AF809" s="28" t="s">
        <v>3223</v>
      </c>
      <c r="AG809" s="74" t="s">
        <v>3885</v>
      </c>
    </row>
    <row r="810" spans="1:33" ht="32.25" customHeight="1" x14ac:dyDescent="0.2">
      <c r="A810" s="27">
        <v>1139</v>
      </c>
      <c r="B810" s="27" t="s">
        <v>3224</v>
      </c>
      <c r="C810" s="27" t="s">
        <v>565</v>
      </c>
      <c r="D810" s="27">
        <v>2025</v>
      </c>
      <c r="E810" s="27"/>
      <c r="F810" s="27" t="s">
        <v>832</v>
      </c>
      <c r="G810" s="27" t="s">
        <v>760</v>
      </c>
      <c r="H810" s="27"/>
      <c r="I810" s="27"/>
      <c r="J810" s="27"/>
      <c r="K810" s="27" t="s">
        <v>377</v>
      </c>
      <c r="L810" s="27"/>
      <c r="M810" s="27"/>
      <c r="N810" s="27"/>
      <c r="O810" s="27"/>
      <c r="P810" s="27"/>
      <c r="Q810" s="27"/>
      <c r="R810" s="27">
        <v>1</v>
      </c>
      <c r="S810" s="27"/>
      <c r="T810" s="27"/>
      <c r="U810" s="27"/>
      <c r="V810" s="27"/>
      <c r="W810" s="27"/>
      <c r="X810" s="27"/>
      <c r="Y810" s="27"/>
      <c r="Z810" s="27" t="s">
        <v>3225</v>
      </c>
      <c r="AA810" s="29"/>
      <c r="AB810" s="30">
        <f>AC810/(H2dens*HoursInYear/10^6)</f>
        <v>128264.32712533991</v>
      </c>
      <c r="AC810" s="30">
        <v>100</v>
      </c>
      <c r="AD810" s="30"/>
      <c r="AE810" s="30">
        <f>IF(AND(G810&lt;&gt;"NG w CCUS",G810&lt;&gt;"Oil w CCUS",G810&lt;&gt;"Coal w CCUS"),AB810,AD810*10^3/(HoursInYear*IF(G810="NG w CCUS",0.9105,1.9075)))</f>
        <v>0</v>
      </c>
      <c r="AF810" s="28" t="s">
        <v>3226</v>
      </c>
      <c r="AG810" s="28"/>
    </row>
    <row r="811" spans="1:33" ht="32.25" customHeight="1" x14ac:dyDescent="0.2">
      <c r="A811" s="27">
        <v>1140</v>
      </c>
      <c r="B811" s="27" t="s">
        <v>3227</v>
      </c>
      <c r="C811" s="27" t="s">
        <v>980</v>
      </c>
      <c r="D811" s="27"/>
      <c r="E811" s="27"/>
      <c r="F811" s="27" t="s">
        <v>1336</v>
      </c>
      <c r="G811" s="27" t="s">
        <v>758</v>
      </c>
      <c r="H811" s="27" t="s">
        <v>1406</v>
      </c>
      <c r="I811" s="27" t="s">
        <v>768</v>
      </c>
      <c r="J811" s="27" t="s">
        <v>865</v>
      </c>
      <c r="K811" s="27" t="s">
        <v>766</v>
      </c>
      <c r="L811" s="27"/>
      <c r="M811" s="27"/>
      <c r="N811" s="27"/>
      <c r="O811" s="27"/>
      <c r="P811" s="27"/>
      <c r="Q811" s="27"/>
      <c r="R811" s="27"/>
      <c r="S811" s="27"/>
      <c r="T811" s="27"/>
      <c r="U811" s="27"/>
      <c r="V811" s="27"/>
      <c r="W811" s="27">
        <v>1</v>
      </c>
      <c r="X811" s="27"/>
      <c r="Y811" s="27"/>
      <c r="Z811" s="27"/>
      <c r="AA811" s="29"/>
      <c r="AB811" s="30"/>
      <c r="AC811" s="30"/>
      <c r="AD811" s="30"/>
      <c r="AE811" s="30">
        <f>IF(AND(G811&lt;&gt;"NG w CCUS",G811&lt;&gt;"Oil w CCUS",G811&lt;&gt;"Coal w CCUS"),AB811,AD811*10^3/(HoursInYear*IF(G811="NG w CCUS",0.9105,1.9075)))</f>
        <v>0</v>
      </c>
      <c r="AF811" s="28" t="s">
        <v>3228</v>
      </c>
      <c r="AG811" s="28"/>
    </row>
    <row r="812" spans="1:33" ht="32.25" customHeight="1" x14ac:dyDescent="0.2">
      <c r="A812" s="27">
        <v>1141</v>
      </c>
      <c r="B812" s="27" t="s">
        <v>3229</v>
      </c>
      <c r="C812" s="27" t="s">
        <v>980</v>
      </c>
      <c r="D812" s="27">
        <v>2022</v>
      </c>
      <c r="E812" s="27"/>
      <c r="F812" s="27" t="s">
        <v>754</v>
      </c>
      <c r="G812" s="27" t="s">
        <v>266</v>
      </c>
      <c r="H812" s="27"/>
      <c r="I812" s="27" t="s">
        <v>768</v>
      </c>
      <c r="J812" s="27" t="s">
        <v>861</v>
      </c>
      <c r="K812" s="27" t="s">
        <v>377</v>
      </c>
      <c r="L812" s="27"/>
      <c r="M812" s="27"/>
      <c r="N812" s="27"/>
      <c r="O812" s="27"/>
      <c r="P812" s="27"/>
      <c r="Q812" s="27">
        <v>1</v>
      </c>
      <c r="R812" s="27"/>
      <c r="S812" s="27"/>
      <c r="T812" s="27"/>
      <c r="U812" s="27"/>
      <c r="V812" s="27"/>
      <c r="W812" s="27"/>
      <c r="X812" s="27"/>
      <c r="Y812" s="27"/>
      <c r="Z812" s="27" t="s">
        <v>3230</v>
      </c>
      <c r="AA812" s="29">
        <v>7.5</v>
      </c>
      <c r="AB812" s="30">
        <f>IF(OR(G812="ALK",G812="PEM",G812="SOEC",G812="Other Electrolysis"),
AA812/VLOOKUP(G812,ElectrolysisConvF,3,FALSE),
AC812*10^6/(H2dens*HoursInYear))</f>
        <v>1442.3076923076924</v>
      </c>
      <c r="AC812" s="30">
        <f>AB812*H2dens*HoursInYear/10^6</f>
        <v>1.1244807692307692</v>
      </c>
      <c r="AD812" s="30"/>
      <c r="AE812" s="30">
        <f>IF(AND(G812&lt;&gt;"NG w CCUS",G812&lt;&gt;"Oil w CCUS",G812&lt;&gt;"Coal w CCUS"),AB812,AD812*10^3/(HoursInYear*IF(G812="NG w CCUS",0.9105,1.9075)))</f>
        <v>1442.3076923076924</v>
      </c>
      <c r="AF812" s="28" t="s">
        <v>3231</v>
      </c>
      <c r="AG812" s="28"/>
    </row>
    <row r="813" spans="1:33" ht="32.25" customHeight="1" x14ac:dyDescent="0.2">
      <c r="A813" s="27">
        <v>1142</v>
      </c>
      <c r="B813" s="27" t="s">
        <v>3232</v>
      </c>
      <c r="C813" s="27" t="s">
        <v>344</v>
      </c>
      <c r="D813" s="27"/>
      <c r="E813" s="27"/>
      <c r="F813" s="27" t="s">
        <v>1336</v>
      </c>
      <c r="G813" s="27" t="s">
        <v>762</v>
      </c>
      <c r="H813" s="27"/>
      <c r="I813" s="27"/>
      <c r="J813" s="27"/>
      <c r="K813" s="27" t="s">
        <v>377</v>
      </c>
      <c r="L813" s="27"/>
      <c r="M813" s="27"/>
      <c r="N813" s="27"/>
      <c r="O813" s="27"/>
      <c r="P813" s="27"/>
      <c r="Q813" s="27">
        <v>1</v>
      </c>
      <c r="R813" s="27"/>
      <c r="S813" s="27"/>
      <c r="T813" s="27"/>
      <c r="U813" s="27"/>
      <c r="V813" s="27"/>
      <c r="W813" s="27"/>
      <c r="X813" s="27"/>
      <c r="Y813" s="27"/>
      <c r="Z813" s="27"/>
      <c r="AA813" s="29"/>
      <c r="AB813" s="30"/>
      <c r="AC813" s="30"/>
      <c r="AD813" s="30"/>
      <c r="AE813" s="30">
        <f>IF(AND(G813&lt;&gt;"NG w CCUS",G813&lt;&gt;"Oil w CCUS",G813&lt;&gt;"Coal w CCUS"),AB813,AD813*10^3/(HoursInYear*IF(G813="NG w CCUS",0.9105,1.9075)))</f>
        <v>0</v>
      </c>
      <c r="AF813" s="28" t="s">
        <v>3233</v>
      </c>
      <c r="AG813" s="28"/>
    </row>
    <row r="814" spans="1:33" ht="32.25" customHeight="1" x14ac:dyDescent="0.2">
      <c r="A814" s="27">
        <v>1143</v>
      </c>
      <c r="B814" s="27" t="s">
        <v>3234</v>
      </c>
      <c r="C814" s="27" t="s">
        <v>652</v>
      </c>
      <c r="D814" s="27">
        <v>1975</v>
      </c>
      <c r="E814" s="27"/>
      <c r="F814" s="27" t="s">
        <v>836</v>
      </c>
      <c r="G814" s="27" t="s">
        <v>268</v>
      </c>
      <c r="H814" s="27"/>
      <c r="I814" s="27" t="s">
        <v>768</v>
      </c>
      <c r="J814" s="27" t="s">
        <v>864</v>
      </c>
      <c r="K814" s="27" t="s">
        <v>740</v>
      </c>
      <c r="L814" s="27"/>
      <c r="M814" s="27">
        <v>1</v>
      </c>
      <c r="N814" s="27"/>
      <c r="O814" s="27"/>
      <c r="P814" s="27"/>
      <c r="Q814" s="27"/>
      <c r="R814" s="27"/>
      <c r="S814" s="27"/>
      <c r="T814" s="27"/>
      <c r="U814" s="27"/>
      <c r="V814" s="27"/>
      <c r="W814" s="27"/>
      <c r="X814" s="27"/>
      <c r="Y814" s="27"/>
      <c r="Z814" s="27" t="s">
        <v>3235</v>
      </c>
      <c r="AA814" s="29">
        <f>IF(OR(G814="ALK",G814="PEM",G814="SOEC",G814="Other Electrolysis"),
AB814*VLOOKUP(G814,ElectrolysisConvF,3,FALSE),
"")</f>
        <v>19.389778383263419</v>
      </c>
      <c r="AB814" s="30">
        <f>AC814/(H2dens*HoursInYear/10^6)</f>
        <v>4215.1692137529171</v>
      </c>
      <c r="AC814" s="30">
        <f>0.05*365*3/17/0.98</f>
        <v>3.2863145258103241</v>
      </c>
      <c r="AD814" s="30"/>
      <c r="AE814" s="30">
        <f>IF(AND(G814&lt;&gt;"NG w CCUS",G814&lt;&gt;"Oil w CCUS",G814&lt;&gt;"Coal w CCUS"),AB814,AD814*10^3/(HoursInYear*IF(G814="NG w CCUS",0.9105,1.9075)))</f>
        <v>4215.1692137529171</v>
      </c>
      <c r="AF814" s="28" t="s">
        <v>3236</v>
      </c>
      <c r="AG814" s="28"/>
    </row>
    <row r="815" spans="1:33" ht="32.25" customHeight="1" x14ac:dyDescent="0.2">
      <c r="A815" s="27">
        <v>1145</v>
      </c>
      <c r="B815" s="27" t="s">
        <v>3237</v>
      </c>
      <c r="C815" s="27" t="s">
        <v>331</v>
      </c>
      <c r="D815" s="27">
        <v>2021</v>
      </c>
      <c r="E815" s="27"/>
      <c r="F815" s="27" t="s">
        <v>836</v>
      </c>
      <c r="G815" s="27" t="s">
        <v>758</v>
      </c>
      <c r="H815" s="27" t="s">
        <v>1406</v>
      </c>
      <c r="I815" s="27" t="s">
        <v>768</v>
      </c>
      <c r="J815" s="27" t="s">
        <v>861</v>
      </c>
      <c r="K815" s="27" t="s">
        <v>377</v>
      </c>
      <c r="L815" s="27"/>
      <c r="M815" s="27"/>
      <c r="N815" s="27"/>
      <c r="O815" s="27"/>
      <c r="P815" s="27"/>
      <c r="Q815" s="27">
        <v>1</v>
      </c>
      <c r="R815" s="27"/>
      <c r="S815" s="27"/>
      <c r="T815" s="27"/>
      <c r="U815" s="27"/>
      <c r="V815" s="27"/>
      <c r="W815" s="27"/>
      <c r="X815" s="27"/>
      <c r="Y815" s="27"/>
      <c r="Z815" s="27" t="s">
        <v>3238</v>
      </c>
      <c r="AA815" s="29">
        <v>0.43</v>
      </c>
      <c r="AB815" s="30">
        <f>IF(OR(G815="ALK",G815="PEM",G815="SOEC",G815="Other Electrolysis"),
AA815/VLOOKUP(G815,ElectrolysisConvF,3,FALSE),
AC815*10^6/(H2dens*HoursInYear))</f>
        <v>95.555555555555557</v>
      </c>
      <c r="AC815" s="30">
        <f>AB815*H2dens*HoursInYear/10^6</f>
        <v>7.4498933333333323E-2</v>
      </c>
      <c r="AD815" s="30"/>
      <c r="AE815" s="30">
        <f>IF(AND(G815&lt;&gt;"NG w CCUS",G815&lt;&gt;"Oil w CCUS",G815&lt;&gt;"Coal w CCUS"),AB815,AD815*10^3/(HoursInYear*IF(G815="NG w CCUS",0.9105,1.9075)))</f>
        <v>95.555555555555557</v>
      </c>
      <c r="AF815" s="28" t="s">
        <v>3239</v>
      </c>
      <c r="AG815" s="28"/>
    </row>
    <row r="816" spans="1:33" ht="32.25" customHeight="1" x14ac:dyDescent="0.2">
      <c r="A816" s="69">
        <v>1146</v>
      </c>
      <c r="B816" s="27" t="s">
        <v>3245</v>
      </c>
      <c r="C816" s="27" t="s">
        <v>804</v>
      </c>
      <c r="D816" s="27"/>
      <c r="E816" s="27"/>
      <c r="F816" s="27" t="s">
        <v>1336</v>
      </c>
      <c r="G816" s="27" t="s">
        <v>758</v>
      </c>
      <c r="H816" s="27" t="s">
        <v>1406</v>
      </c>
      <c r="I816" s="27" t="s">
        <v>768</v>
      </c>
      <c r="J816" s="27" t="s">
        <v>865</v>
      </c>
      <c r="K816" s="27" t="s">
        <v>377</v>
      </c>
      <c r="L816" s="27"/>
      <c r="M816" s="27"/>
      <c r="N816" s="27"/>
      <c r="O816" s="27"/>
      <c r="P816" s="27"/>
      <c r="Q816" s="27"/>
      <c r="R816" s="27"/>
      <c r="S816" s="27"/>
      <c r="T816" s="27"/>
      <c r="U816" s="27"/>
      <c r="V816" s="27"/>
      <c r="W816" s="27"/>
      <c r="X816" s="27"/>
      <c r="Y816" s="27"/>
      <c r="Z816" s="27" t="s">
        <v>1900</v>
      </c>
      <c r="AA816" s="29">
        <v>900</v>
      </c>
      <c r="AB816" s="30">
        <f>IF(OR(G816="ALK",G816="PEM",G816="SOEC",G816="Other Electrolysis"),
AA816/VLOOKUP(G816,ElectrolysisConvF,3,FALSE),
AC816*10^6/(H2dens*HoursInYear))</f>
        <v>200000.00000000003</v>
      </c>
      <c r="AC816" s="30">
        <f>AB816*H2dens*HoursInYear/10^6</f>
        <v>155.928</v>
      </c>
      <c r="AD816" s="30"/>
      <c r="AE816" s="30">
        <f>IF(AND(G816&lt;&gt;"NG w CCUS",G816&lt;&gt;"Oil w CCUS",G816&lt;&gt;"Coal w CCUS"),AB816,AD816*10^3/(HoursInYear*IF(G816="NG w CCUS",0.9105,1.9075)))</f>
        <v>200000.00000000003</v>
      </c>
      <c r="AF816" s="28" t="s">
        <v>3244</v>
      </c>
      <c r="AG816" s="28"/>
    </row>
    <row r="817" spans="1:33" ht="32.25" customHeight="1" x14ac:dyDescent="0.2">
      <c r="A817" s="69">
        <v>1147</v>
      </c>
      <c r="B817" s="27" t="s">
        <v>3246</v>
      </c>
      <c r="C817" s="27" t="s">
        <v>804</v>
      </c>
      <c r="D817" s="27"/>
      <c r="E817" s="27"/>
      <c r="F817" s="27" t="s">
        <v>832</v>
      </c>
      <c r="G817" s="27" t="s">
        <v>266</v>
      </c>
      <c r="H817" s="27"/>
      <c r="I817" s="27" t="s">
        <v>768</v>
      </c>
      <c r="J817" s="27" t="s">
        <v>378</v>
      </c>
      <c r="K817" s="27" t="s">
        <v>377</v>
      </c>
      <c r="L817" s="27"/>
      <c r="M817" s="27"/>
      <c r="N817" s="27"/>
      <c r="O817" s="27"/>
      <c r="P817" s="27">
        <v>1</v>
      </c>
      <c r="Q817" s="27"/>
      <c r="R817" s="27"/>
      <c r="S817" s="27"/>
      <c r="T817" s="27"/>
      <c r="U817" s="27"/>
      <c r="V817" s="27"/>
      <c r="W817" s="27"/>
      <c r="X817" s="27"/>
      <c r="Y817" s="27"/>
      <c r="Z817" s="27" t="s">
        <v>1902</v>
      </c>
      <c r="AA817" s="29">
        <v>50</v>
      </c>
      <c r="AB817" s="30">
        <f>IF(OR(G817="ALK",G817="PEM",G817="SOEC",G817="Other Electrolysis"),
AA817/VLOOKUP(G817,ElectrolysisConvF,3,FALSE),
AC817*10^6/(H2dens*HoursInYear))</f>
        <v>9615.3846153846152</v>
      </c>
      <c r="AC817" s="30">
        <f>AB817*H2dens*HoursInYear/10^6</f>
        <v>7.4965384615384609</v>
      </c>
      <c r="AD817" s="30"/>
      <c r="AE817" s="30">
        <f>IF(AND(G817&lt;&gt;"NG w CCUS",G817&lt;&gt;"Oil w CCUS",G817&lt;&gt;"Coal w CCUS"),AB817,AD817*10^3/(HoursInYear*IF(G817="NG w CCUS",0.9105,1.9075)))</f>
        <v>9615.3846153846152</v>
      </c>
      <c r="AF817" s="28" t="s">
        <v>3247</v>
      </c>
      <c r="AG817" s="28"/>
    </row>
    <row r="818" spans="1:33" ht="32.25" customHeight="1" x14ac:dyDescent="0.2">
      <c r="A818" s="70">
        <v>1148</v>
      </c>
      <c r="B818" s="27" t="s">
        <v>3500</v>
      </c>
      <c r="C818" s="27" t="s">
        <v>337</v>
      </c>
      <c r="D818" s="27">
        <v>2021</v>
      </c>
      <c r="E818" s="27"/>
      <c r="F818" s="27" t="s">
        <v>916</v>
      </c>
      <c r="G818" s="27" t="s">
        <v>266</v>
      </c>
      <c r="H818" s="27"/>
      <c r="I818" s="27" t="s">
        <v>927</v>
      </c>
      <c r="J818" s="27" t="str">
        <f>IF(I818&lt;&gt;"Dedicated renewable","N/A",)</f>
        <v>N/A</v>
      </c>
      <c r="K818" s="27" t="s">
        <v>377</v>
      </c>
      <c r="L818" s="27"/>
      <c r="M818" s="27"/>
      <c r="N818" s="27"/>
      <c r="O818" s="27"/>
      <c r="P818" s="27"/>
      <c r="Q818" s="27"/>
      <c r="R818" s="27"/>
      <c r="S818" s="27"/>
      <c r="T818" s="27"/>
      <c r="U818" s="27"/>
      <c r="V818" s="27"/>
      <c r="W818" s="27"/>
      <c r="X818" s="27"/>
      <c r="Y818" s="27"/>
      <c r="Z818" s="27" t="s">
        <v>1938</v>
      </c>
      <c r="AA818" s="29">
        <v>2</v>
      </c>
      <c r="AB818" s="30">
        <f>IF(OR(G818="ALK",G818="PEM",G818="SOEC",G818="Other Electrolysis"),
AA818/VLOOKUP(G818,ElectrolysisConvF,3,FALSE),
AC818*10^6/(H2dens*HoursInYear))</f>
        <v>384.61538461538464</v>
      </c>
      <c r="AC818" s="30">
        <f>AB818*H2dens*HoursInYear/10^6</f>
        <v>0.29986153846153851</v>
      </c>
      <c r="AD818" s="30"/>
      <c r="AE818" s="30">
        <f>IF(AND(G818&lt;&gt;"NG w CCUS",G818&lt;&gt;"Oil w CCUS",G818&lt;&gt;"Coal w CCUS"),AB818,AD818*10^3/(HoursInYear*IF(G818="NG w CCUS",0.9105,1.9075)))</f>
        <v>384.61538461538464</v>
      </c>
      <c r="AF818" s="28"/>
      <c r="AG818" s="28"/>
    </row>
    <row r="819" spans="1:33" ht="32.25" customHeight="1" x14ac:dyDescent="0.2">
      <c r="A819" s="70">
        <v>1149</v>
      </c>
      <c r="B819" s="27" t="s">
        <v>3501</v>
      </c>
      <c r="C819" s="27" t="s">
        <v>337</v>
      </c>
      <c r="D819" s="27">
        <v>2021</v>
      </c>
      <c r="E819" s="27"/>
      <c r="F819" s="27" t="s">
        <v>916</v>
      </c>
      <c r="G819" s="27" t="s">
        <v>267</v>
      </c>
      <c r="H819" s="27"/>
      <c r="I819" s="27" t="s">
        <v>927</v>
      </c>
      <c r="J819" s="27" t="str">
        <f>IF(I819&lt;&gt;"Dedicated renewable","N/A",)</f>
        <v>N/A</v>
      </c>
      <c r="K819" s="27" t="s">
        <v>377</v>
      </c>
      <c r="L819" s="27"/>
      <c r="M819" s="27"/>
      <c r="N819" s="27"/>
      <c r="O819" s="27"/>
      <c r="P819" s="27"/>
      <c r="Q819" s="27"/>
      <c r="R819" s="27"/>
      <c r="S819" s="27"/>
      <c r="T819" s="27"/>
      <c r="U819" s="27"/>
      <c r="V819" s="27"/>
      <c r="W819" s="27"/>
      <c r="X819" s="27"/>
      <c r="Y819" s="27"/>
      <c r="Z819" s="27" t="s">
        <v>1896</v>
      </c>
      <c r="AA819" s="29">
        <v>1</v>
      </c>
      <c r="AB819" s="30">
        <f>IF(OR(G819="ALK",G819="PEM",G819="SOEC",G819="Other Electrolysis"),
AA819/VLOOKUP(G819,ElectrolysisConvF,3,FALSE),
AC819*10^6/(H2dens*HoursInYear))</f>
        <v>263.15789473684208</v>
      </c>
      <c r="AC819" s="30">
        <f>AB819*H2dens*HoursInYear/10^6</f>
        <v>0.20516842105263158</v>
      </c>
      <c r="AD819" s="30"/>
      <c r="AE819" s="30">
        <f>IF(AND(G819&lt;&gt;"NG w CCUS",G819&lt;&gt;"Oil w CCUS",G819&lt;&gt;"Coal w CCUS"),AB819,AD819*10^3/(HoursInYear*IF(G819="NG w CCUS",0.9105,1.9075)))</f>
        <v>263.15789473684208</v>
      </c>
      <c r="AF819" s="28"/>
      <c r="AG819" s="28"/>
    </row>
    <row r="820" spans="1:33" ht="32.25" customHeight="1" x14ac:dyDescent="0.2">
      <c r="A820" s="70">
        <v>1150</v>
      </c>
      <c r="B820" s="27" t="s">
        <v>3502</v>
      </c>
      <c r="C820" s="27" t="s">
        <v>337</v>
      </c>
      <c r="D820" s="27">
        <v>2023</v>
      </c>
      <c r="E820" s="27"/>
      <c r="F820" s="27" t="s">
        <v>832</v>
      </c>
      <c r="G820" s="27" t="s">
        <v>266</v>
      </c>
      <c r="H820" s="27"/>
      <c r="I820" s="27" t="s">
        <v>927</v>
      </c>
      <c r="J820" s="27" t="str">
        <f>IF(I820&lt;&gt;"Dedicated renewable","N/A",)</f>
        <v>N/A</v>
      </c>
      <c r="K820" s="27" t="s">
        <v>377</v>
      </c>
      <c r="L820" s="27"/>
      <c r="M820" s="27"/>
      <c r="N820" s="27"/>
      <c r="O820" s="27"/>
      <c r="P820" s="27"/>
      <c r="Q820" s="27"/>
      <c r="R820" s="27"/>
      <c r="S820" s="27"/>
      <c r="T820" s="27"/>
      <c r="U820" s="27"/>
      <c r="V820" s="27"/>
      <c r="W820" s="27"/>
      <c r="X820" s="27"/>
      <c r="Y820" s="27"/>
      <c r="Z820" s="27" t="s">
        <v>1403</v>
      </c>
      <c r="AA820" s="29">
        <v>20</v>
      </c>
      <c r="AB820" s="30">
        <f>IF(OR(G820="ALK",G820="PEM",G820="SOEC",G820="Other Electrolysis"),
AA820/VLOOKUP(G820,ElectrolysisConvF,3,FALSE),
AC820*10^6/(H2dens*HoursInYear))</f>
        <v>3846.1538461538462</v>
      </c>
      <c r="AC820" s="30">
        <f>AB820*H2dens*HoursInYear/10^6</f>
        <v>2.9986153846153845</v>
      </c>
      <c r="AD820" s="30"/>
      <c r="AE820" s="30">
        <f>IF(AND(G820&lt;&gt;"NG w CCUS",G820&lt;&gt;"Oil w CCUS",G820&lt;&gt;"Coal w CCUS"),AB820,AD820*10^3/(HoursInYear*IF(G820="NG w CCUS",0.9105,1.9075)))</f>
        <v>3846.1538461538462</v>
      </c>
      <c r="AF820" s="28"/>
      <c r="AG820" s="74" t="s">
        <v>4088</v>
      </c>
    </row>
    <row r="821" spans="1:33" ht="32.25" customHeight="1" x14ac:dyDescent="0.2">
      <c r="A821" s="70">
        <v>1151</v>
      </c>
      <c r="B821" s="27" t="s">
        <v>3503</v>
      </c>
      <c r="C821" s="27" t="s">
        <v>334</v>
      </c>
      <c r="D821" s="27">
        <v>2023</v>
      </c>
      <c r="E821" s="27"/>
      <c r="F821" s="27" t="s">
        <v>832</v>
      </c>
      <c r="G821" s="27" t="s">
        <v>758</v>
      </c>
      <c r="H821" s="27" t="s">
        <v>1406</v>
      </c>
      <c r="I821" s="27" t="s">
        <v>927</v>
      </c>
      <c r="J821" s="27" t="str">
        <f>IF(I821&lt;&gt;"Dedicated renewable","N/A",)</f>
        <v>N/A</v>
      </c>
      <c r="K821" s="27" t="s">
        <v>377</v>
      </c>
      <c r="L821" s="27"/>
      <c r="M821" s="27"/>
      <c r="N821" s="27"/>
      <c r="O821" s="27"/>
      <c r="P821" s="27"/>
      <c r="Q821" s="27"/>
      <c r="R821" s="27"/>
      <c r="S821" s="27"/>
      <c r="T821" s="27"/>
      <c r="U821" s="27"/>
      <c r="V821" s="27"/>
      <c r="W821" s="27"/>
      <c r="X821" s="27"/>
      <c r="Y821" s="27"/>
      <c r="Z821" s="27" t="s">
        <v>3504</v>
      </c>
      <c r="AA821" s="29">
        <v>3</v>
      </c>
      <c r="AB821" s="30">
        <f>IF(OR(G821="ALK",G821="PEM",G821="SOEC",G821="Other Electrolysis"),
AA821/VLOOKUP(G821,ElectrolysisConvF,3,FALSE),
AC821*10^6/(H2dens*HoursInYear))</f>
        <v>666.66666666666674</v>
      </c>
      <c r="AC821" s="30">
        <f>AB821*H2dens*HoursInYear/10^6</f>
        <v>0.51976</v>
      </c>
      <c r="AD821" s="30"/>
      <c r="AE821" s="30">
        <f>IF(AND(G821&lt;&gt;"NG w CCUS",G821&lt;&gt;"Oil w CCUS",G821&lt;&gt;"Coal w CCUS"),AB821,AD821*10^3/(HoursInYear*IF(G821="NG w CCUS",0.9105,1.9075)))</f>
        <v>666.66666666666674</v>
      </c>
      <c r="AF821" s="28"/>
      <c r="AG821" s="28"/>
    </row>
    <row r="822" spans="1:33" ht="32.25" customHeight="1" x14ac:dyDescent="0.2">
      <c r="A822" s="70">
        <v>1152</v>
      </c>
      <c r="B822" s="27" t="s">
        <v>3505</v>
      </c>
      <c r="C822" s="27" t="s">
        <v>343</v>
      </c>
      <c r="D822" s="27"/>
      <c r="E822" s="27"/>
      <c r="F822" s="27" t="s">
        <v>916</v>
      </c>
      <c r="G822" s="27" t="s">
        <v>268</v>
      </c>
      <c r="H822" s="27"/>
      <c r="I822" s="27" t="s">
        <v>927</v>
      </c>
      <c r="J822" s="27" t="str">
        <f>IF(I822&lt;&gt;"Dedicated renewable","N/A",)</f>
        <v>N/A</v>
      </c>
      <c r="K822" s="27" t="s">
        <v>377</v>
      </c>
      <c r="L822" s="27"/>
      <c r="M822" s="27"/>
      <c r="N822" s="27"/>
      <c r="O822" s="27"/>
      <c r="P822" s="27"/>
      <c r="Q822" s="27"/>
      <c r="R822" s="27"/>
      <c r="S822" s="27"/>
      <c r="T822" s="27"/>
      <c r="U822" s="27"/>
      <c r="V822" s="27"/>
      <c r="W822" s="27"/>
      <c r="X822" s="27"/>
      <c r="Y822" s="27"/>
      <c r="Z822" s="27" t="s">
        <v>1896</v>
      </c>
      <c r="AA822" s="29">
        <v>1</v>
      </c>
      <c r="AB822" s="30">
        <f>IF(OR(G822="ALK",G822="PEM",G822="SOEC",G822="Other Electrolysis"),
AA822/VLOOKUP(G822,ElectrolysisConvF,3,FALSE),
AC822*10^6/(H2dens*HoursInYear))</f>
        <v>217.39130434782609</v>
      </c>
      <c r="AC822" s="30">
        <f>AB822*H2dens*HoursInYear/10^6</f>
        <v>0.16948695652173912</v>
      </c>
      <c r="AD822" s="30"/>
      <c r="AE822" s="30">
        <f>IF(AND(G822&lt;&gt;"NG w CCUS",G822&lt;&gt;"Oil w CCUS",G822&lt;&gt;"Coal w CCUS"),AB822,AD822*10^3/(HoursInYear*IF(G822="NG w CCUS",0.9105,1.9075)))</f>
        <v>217.39130434782609</v>
      </c>
      <c r="AF822" s="28"/>
      <c r="AG822" s="28"/>
    </row>
    <row r="823" spans="1:33" ht="32.25" customHeight="1" x14ac:dyDescent="0.2">
      <c r="A823" s="70">
        <v>1153</v>
      </c>
      <c r="B823" s="27" t="s">
        <v>3506</v>
      </c>
      <c r="C823" s="27" t="s">
        <v>343</v>
      </c>
      <c r="D823" s="27"/>
      <c r="E823" s="27"/>
      <c r="F823" s="27" t="s">
        <v>916</v>
      </c>
      <c r="G823" s="27" t="s">
        <v>266</v>
      </c>
      <c r="H823" s="27"/>
      <c r="I823" s="27" t="s">
        <v>927</v>
      </c>
      <c r="J823" s="27" t="str">
        <f>IF(I823&lt;&gt;"Dedicated renewable","N/A",)</f>
        <v>N/A</v>
      </c>
      <c r="K823" s="27" t="s">
        <v>377</v>
      </c>
      <c r="L823" s="27"/>
      <c r="M823" s="27"/>
      <c r="N823" s="27"/>
      <c r="O823" s="27"/>
      <c r="P823" s="27"/>
      <c r="Q823" s="27"/>
      <c r="R823" s="27"/>
      <c r="S823" s="27"/>
      <c r="T823" s="27"/>
      <c r="U823" s="27"/>
      <c r="V823" s="27"/>
      <c r="W823" s="27"/>
      <c r="X823" s="27"/>
      <c r="Y823" s="27"/>
      <c r="Z823" s="27" t="s">
        <v>1896</v>
      </c>
      <c r="AA823" s="29">
        <v>1</v>
      </c>
      <c r="AB823" s="30">
        <f>IF(OR(G823="ALK",G823="PEM",G823="SOEC",G823="Other Electrolysis"),
AA823/VLOOKUP(G823,ElectrolysisConvF,3,FALSE),
AC823*10^6/(H2dens*HoursInYear))</f>
        <v>192.30769230769232</v>
      </c>
      <c r="AC823" s="30">
        <f>AB823*H2dens*HoursInYear/10^6</f>
        <v>0.14993076923076926</v>
      </c>
      <c r="AD823" s="30"/>
      <c r="AE823" s="30">
        <f>IF(AND(G823&lt;&gt;"NG w CCUS",G823&lt;&gt;"Oil w CCUS",G823&lt;&gt;"Coal w CCUS"),AB823,AD823*10^3/(HoursInYear*IF(G823="NG w CCUS",0.9105,1.9075)))</f>
        <v>192.30769230769232</v>
      </c>
      <c r="AF823" s="28"/>
      <c r="AG823" s="28"/>
    </row>
    <row r="824" spans="1:33" ht="32.25" customHeight="1" x14ac:dyDescent="0.2">
      <c r="A824" s="70">
        <v>1154</v>
      </c>
      <c r="B824" s="27" t="s">
        <v>3507</v>
      </c>
      <c r="C824" s="27" t="s">
        <v>343</v>
      </c>
      <c r="D824" s="27"/>
      <c r="E824" s="27"/>
      <c r="F824" s="27" t="s">
        <v>916</v>
      </c>
      <c r="G824" s="27" t="s">
        <v>758</v>
      </c>
      <c r="H824" s="27" t="s">
        <v>1406</v>
      </c>
      <c r="I824" s="27" t="s">
        <v>927</v>
      </c>
      <c r="J824" s="27" t="str">
        <f>IF(I824&lt;&gt;"Dedicated renewable","N/A",)</f>
        <v>N/A</v>
      </c>
      <c r="K824" s="27" t="s">
        <v>377</v>
      </c>
      <c r="L824" s="27"/>
      <c r="M824" s="27"/>
      <c r="N824" s="27"/>
      <c r="O824" s="27"/>
      <c r="P824" s="27"/>
      <c r="Q824" s="27"/>
      <c r="R824" s="27"/>
      <c r="S824" s="27"/>
      <c r="T824" s="27"/>
      <c r="U824" s="27"/>
      <c r="V824" s="27"/>
      <c r="W824" s="27"/>
      <c r="X824" s="27"/>
      <c r="Y824" s="27"/>
      <c r="Z824" s="27" t="s">
        <v>1938</v>
      </c>
      <c r="AA824" s="29">
        <v>2</v>
      </c>
      <c r="AB824" s="30">
        <f>IF(OR(G824="ALK",G824="PEM",G824="SOEC",G824="Other Electrolysis"),
AA824/VLOOKUP(G824,ElectrolysisConvF,3,FALSE),
AC824*10^6/(H2dens*HoursInYear))</f>
        <v>444.44444444444446</v>
      </c>
      <c r="AC824" s="30">
        <f>AB824*H2dens*HoursInYear/10^6</f>
        <v>0.34650666666666669</v>
      </c>
      <c r="AD824" s="30"/>
      <c r="AE824" s="30">
        <f>IF(AND(G824&lt;&gt;"NG w CCUS",G824&lt;&gt;"Oil w CCUS",G824&lt;&gt;"Coal w CCUS"),AB824,AD824*10^3/(HoursInYear*IF(G824="NG w CCUS",0.9105,1.9075)))</f>
        <v>444.44444444444446</v>
      </c>
      <c r="AF824" s="28"/>
      <c r="AG824" s="28"/>
    </row>
    <row r="825" spans="1:33" ht="32.25" customHeight="1" x14ac:dyDescent="0.2">
      <c r="A825" s="70">
        <v>1155</v>
      </c>
      <c r="B825" s="27" t="s">
        <v>3508</v>
      </c>
      <c r="C825" s="27" t="s">
        <v>604</v>
      </c>
      <c r="D825" s="27">
        <v>2020</v>
      </c>
      <c r="E825" s="27">
        <v>2022</v>
      </c>
      <c r="F825" s="27" t="s">
        <v>916</v>
      </c>
      <c r="G825" s="27" t="s">
        <v>758</v>
      </c>
      <c r="H825" s="27" t="s">
        <v>1406</v>
      </c>
      <c r="I825" s="27" t="s">
        <v>927</v>
      </c>
      <c r="J825" s="27" t="str">
        <f>IF(I825&lt;&gt;"Dedicated renewable","N/A",)</f>
        <v>N/A</v>
      </c>
      <c r="K825" s="27" t="s">
        <v>377</v>
      </c>
      <c r="L825" s="27"/>
      <c r="M825" s="27"/>
      <c r="N825" s="27"/>
      <c r="O825" s="27"/>
      <c r="P825" s="27"/>
      <c r="Q825" s="27"/>
      <c r="R825" s="27"/>
      <c r="S825" s="27"/>
      <c r="T825" s="27"/>
      <c r="U825" s="27"/>
      <c r="V825" s="27"/>
      <c r="W825" s="27"/>
      <c r="X825" s="27"/>
      <c r="Y825" s="27"/>
      <c r="Z825" s="27" t="s">
        <v>3509</v>
      </c>
      <c r="AA825" s="29">
        <f>IF(OR(G825="ALK",G825="PEM",G825="SOEC",G825="Other Electrolysis"),
AB825*VLOOKUP(G825,ElectrolysisConvF,3,FALSE),
"")</f>
        <v>0.18</v>
      </c>
      <c r="AB825" s="30">
        <v>40</v>
      </c>
      <c r="AC825" s="30">
        <f>AB825*H2dens*HoursInYear/10^6</f>
        <v>3.1185599999999994E-2</v>
      </c>
      <c r="AD825" s="30"/>
      <c r="AE825" s="30">
        <f>IF(AND(G825&lt;&gt;"NG w CCUS",G825&lt;&gt;"Oil w CCUS",G825&lt;&gt;"Coal w CCUS"),AB825,AD825*10^3/(HoursInYear*IF(G825="NG w CCUS",0.9105,1.9075)))</f>
        <v>40</v>
      </c>
      <c r="AF825" s="28"/>
      <c r="AG825" s="28"/>
    </row>
    <row r="826" spans="1:33" ht="32.25" customHeight="1" x14ac:dyDescent="0.2">
      <c r="A826" s="70">
        <v>1156</v>
      </c>
      <c r="B826" s="27" t="s">
        <v>3510</v>
      </c>
      <c r="C826" s="27" t="s">
        <v>804</v>
      </c>
      <c r="D826" s="27">
        <v>2022</v>
      </c>
      <c r="E826" s="27"/>
      <c r="F826" s="27" t="s">
        <v>754</v>
      </c>
      <c r="G826" s="27" t="s">
        <v>758</v>
      </c>
      <c r="H826" s="27" t="s">
        <v>1406</v>
      </c>
      <c r="I826" s="27" t="s">
        <v>768</v>
      </c>
      <c r="J826" s="27" t="s">
        <v>862</v>
      </c>
      <c r="K826" s="27" t="s">
        <v>739</v>
      </c>
      <c r="L826" s="27"/>
      <c r="M826" s="27"/>
      <c r="N826" s="27"/>
      <c r="O826" s="27"/>
      <c r="P826" s="27"/>
      <c r="Q826" s="27"/>
      <c r="R826" s="27"/>
      <c r="S826" s="27"/>
      <c r="T826" s="27"/>
      <c r="U826" s="27"/>
      <c r="V826" s="27"/>
      <c r="W826" s="27">
        <v>1</v>
      </c>
      <c r="X826" s="27"/>
      <c r="Y826" s="27"/>
      <c r="Z826" s="27" t="s">
        <v>1938</v>
      </c>
      <c r="AA826" s="29">
        <v>2</v>
      </c>
      <c r="AB826" s="30">
        <f>IF(OR(G826="ALK",G826="PEM",G826="SOEC",G826="Other Electrolysis"),
AA826/VLOOKUP(G826,ElectrolysisConvF,3,FALSE),
AC826*10^6/(H2dens*HoursInYear))</f>
        <v>444.44444444444446</v>
      </c>
      <c r="AC826" s="30">
        <f>AB826*H2dens*HoursInYear/10^6</f>
        <v>0.34650666666666669</v>
      </c>
      <c r="AD826" s="30"/>
      <c r="AE826" s="30">
        <f>IF(AND(G826&lt;&gt;"NG w CCUS",G826&lt;&gt;"Oil w CCUS",G826&lt;&gt;"Coal w CCUS"),AB826,AD826*10^3/(HoursInYear*IF(G826="NG w CCUS",0.9105,1.9075)))</f>
        <v>444.44444444444446</v>
      </c>
      <c r="AF826" s="28" t="s">
        <v>3511</v>
      </c>
      <c r="AG826" s="28"/>
    </row>
    <row r="827" spans="1:33" ht="32.25" customHeight="1" x14ac:dyDescent="0.2">
      <c r="A827" s="70">
        <v>1157</v>
      </c>
      <c r="B827" s="27" t="s">
        <v>3512</v>
      </c>
      <c r="C827" s="27" t="s">
        <v>804</v>
      </c>
      <c r="D827" s="27"/>
      <c r="E827" s="27"/>
      <c r="F827" s="27" t="s">
        <v>1336</v>
      </c>
      <c r="G827" s="27" t="s">
        <v>758</v>
      </c>
      <c r="H827" s="27" t="s">
        <v>1406</v>
      </c>
      <c r="I827" s="27" t="s">
        <v>768</v>
      </c>
      <c r="J827" s="27" t="s">
        <v>862</v>
      </c>
      <c r="K827" s="27" t="s">
        <v>739</v>
      </c>
      <c r="L827" s="27"/>
      <c r="M827" s="27"/>
      <c r="N827" s="27"/>
      <c r="O827" s="27"/>
      <c r="P827" s="27"/>
      <c r="Q827" s="27"/>
      <c r="R827" s="27"/>
      <c r="S827" s="27"/>
      <c r="T827" s="27"/>
      <c r="U827" s="27"/>
      <c r="V827" s="27"/>
      <c r="W827" s="27">
        <v>1</v>
      </c>
      <c r="X827" s="27"/>
      <c r="Y827" s="27"/>
      <c r="Z827" s="27" t="s">
        <v>1407</v>
      </c>
      <c r="AA827" s="29">
        <v>8</v>
      </c>
      <c r="AB827" s="30">
        <f>IF(OR(G827="ALK",G827="PEM",G827="SOEC",G827="Other Electrolysis"),
AA827/VLOOKUP(G827,ElectrolysisConvF,3,FALSE),
AC827*10^6/(H2dens*HoursInYear))</f>
        <v>1777.7777777777778</v>
      </c>
      <c r="AC827" s="30">
        <f>AB827*H2dens*HoursInYear/10^6</f>
        <v>1.3860266666666667</v>
      </c>
      <c r="AD827" s="30"/>
      <c r="AE827" s="30">
        <f>IF(AND(G827&lt;&gt;"NG w CCUS",G827&lt;&gt;"Oil w CCUS",G827&lt;&gt;"Coal w CCUS"),AB827,AD827*10^3/(HoursInYear*IF(G827="NG w CCUS",0.9105,1.9075)))</f>
        <v>1777.7777777777778</v>
      </c>
      <c r="AF827" s="28" t="s">
        <v>3511</v>
      </c>
      <c r="AG827" s="28"/>
    </row>
    <row r="828" spans="1:33" ht="32.25" customHeight="1" x14ac:dyDescent="0.2">
      <c r="A828" s="70">
        <v>1158</v>
      </c>
      <c r="B828" s="27" t="s">
        <v>3513</v>
      </c>
      <c r="C828" s="27" t="s">
        <v>804</v>
      </c>
      <c r="D828" s="27">
        <v>2021</v>
      </c>
      <c r="E828" s="27"/>
      <c r="F828" s="27" t="s">
        <v>836</v>
      </c>
      <c r="G828" s="27" t="s">
        <v>267</v>
      </c>
      <c r="H828" s="27"/>
      <c r="I828" s="27" t="s">
        <v>768</v>
      </c>
      <c r="J828" s="27" t="s">
        <v>862</v>
      </c>
      <c r="K828" s="27" t="s">
        <v>739</v>
      </c>
      <c r="L828" s="27"/>
      <c r="M828" s="27"/>
      <c r="N828" s="27">
        <v>1</v>
      </c>
      <c r="O828" s="27"/>
      <c r="P828" s="27"/>
      <c r="Q828" s="27"/>
      <c r="R828" s="27"/>
      <c r="S828" s="27"/>
      <c r="T828" s="27"/>
      <c r="U828" s="27"/>
      <c r="V828" s="27"/>
      <c r="W828" s="27"/>
      <c r="X828" s="27"/>
      <c r="Y828" s="27"/>
      <c r="Z828" s="27" t="s">
        <v>1896</v>
      </c>
      <c r="AA828" s="29">
        <v>1</v>
      </c>
      <c r="AB828" s="30">
        <f>IF(OR(G828="ALK",G828="PEM",G828="SOEC",G828="Other Electrolysis"),
AA828/VLOOKUP(G828,ElectrolysisConvF,3,FALSE),
AC828*10^6/(H2dens*HoursInYear))</f>
        <v>263.15789473684208</v>
      </c>
      <c r="AC828" s="30">
        <f>AB828*H2dens*HoursInYear/10^6</f>
        <v>0.20516842105263158</v>
      </c>
      <c r="AD828" s="30"/>
      <c r="AE828" s="30">
        <f>IF(AND(G828&lt;&gt;"NG w CCUS",G828&lt;&gt;"Oil w CCUS",G828&lt;&gt;"Coal w CCUS"),AB828,AD828*10^3/(HoursInYear*IF(G828="NG w CCUS",0.9105,1.9075)))</f>
        <v>263.15789473684208</v>
      </c>
      <c r="AF828" s="28" t="s">
        <v>3511</v>
      </c>
      <c r="AG828" s="28"/>
    </row>
    <row r="829" spans="1:33" ht="32.25" customHeight="1" x14ac:dyDescent="0.2">
      <c r="A829" s="70">
        <v>1159</v>
      </c>
      <c r="B829" s="27" t="s">
        <v>3513</v>
      </c>
      <c r="C829" s="27" t="s">
        <v>804</v>
      </c>
      <c r="D829" s="27"/>
      <c r="E829" s="27"/>
      <c r="F829" s="27" t="s">
        <v>1336</v>
      </c>
      <c r="G829" s="27" t="s">
        <v>758</v>
      </c>
      <c r="H829" s="27" t="s">
        <v>1406</v>
      </c>
      <c r="I829" s="27" t="s">
        <v>768</v>
      </c>
      <c r="J829" s="27" t="s">
        <v>862</v>
      </c>
      <c r="K829" s="27" t="s">
        <v>766</v>
      </c>
      <c r="L829" s="27"/>
      <c r="M829" s="27"/>
      <c r="N829" s="27"/>
      <c r="O829" s="27"/>
      <c r="P829" s="27"/>
      <c r="Q829" s="27"/>
      <c r="R829" s="27"/>
      <c r="S829" s="27"/>
      <c r="T829" s="27"/>
      <c r="U829" s="27"/>
      <c r="V829" s="27"/>
      <c r="W829" s="27">
        <v>1</v>
      </c>
      <c r="X829" s="27"/>
      <c r="Y829" s="27"/>
      <c r="Z829" s="27" t="s">
        <v>1977</v>
      </c>
      <c r="AA829" s="29">
        <v>4</v>
      </c>
      <c r="AB829" s="30">
        <f>IF(OR(G829="ALK",G829="PEM",G829="SOEC",G829="Other Electrolysis"),
AA829/VLOOKUP(G829,ElectrolysisConvF,3,FALSE),
AC829*10^6/(H2dens*HoursInYear))</f>
        <v>888.88888888888891</v>
      </c>
      <c r="AC829" s="30">
        <f>AB829*H2dens*HoursInYear/10^6</f>
        <v>0.69301333333333337</v>
      </c>
      <c r="AD829" s="30"/>
      <c r="AE829" s="30">
        <f>IF(AND(G829&lt;&gt;"NG w CCUS",G829&lt;&gt;"Oil w CCUS",G829&lt;&gt;"Coal w CCUS"),AB829,AD829*10^3/(HoursInYear*IF(G829="NG w CCUS",0.9105,1.9075)))</f>
        <v>888.88888888888891</v>
      </c>
      <c r="AF829" s="28" t="s">
        <v>3511</v>
      </c>
      <c r="AG829" s="28"/>
    </row>
    <row r="830" spans="1:33" ht="32.25" customHeight="1" x14ac:dyDescent="0.2">
      <c r="A830" s="70">
        <v>1160</v>
      </c>
      <c r="B830" s="27" t="s">
        <v>3514</v>
      </c>
      <c r="C830" s="27" t="s">
        <v>804</v>
      </c>
      <c r="D830" s="27">
        <v>2022</v>
      </c>
      <c r="E830" s="27"/>
      <c r="F830" s="27" t="s">
        <v>754</v>
      </c>
      <c r="G830" s="27" t="s">
        <v>758</v>
      </c>
      <c r="H830" s="27" t="s">
        <v>1406</v>
      </c>
      <c r="I830" s="27" t="s">
        <v>756</v>
      </c>
      <c r="J830" s="27" t="str">
        <f>IF(I830&lt;&gt;"Dedicated renewable","N/A",)</f>
        <v>N/A</v>
      </c>
      <c r="K830" s="27" t="s">
        <v>377</v>
      </c>
      <c r="L830" s="27"/>
      <c r="M830" s="27"/>
      <c r="N830" s="27"/>
      <c r="O830" s="27"/>
      <c r="P830" s="27"/>
      <c r="Q830" s="27">
        <v>1</v>
      </c>
      <c r="R830" s="27"/>
      <c r="S830" s="27"/>
      <c r="T830" s="27"/>
      <c r="U830" s="27"/>
      <c r="V830" s="27"/>
      <c r="W830" s="27"/>
      <c r="X830" s="27"/>
      <c r="Y830" s="27"/>
      <c r="Z830" s="27"/>
      <c r="AA830" s="29"/>
      <c r="AB830" s="30"/>
      <c r="AC830" s="30"/>
      <c r="AD830" s="30"/>
      <c r="AE830" s="30">
        <f>IF(AND(G830&lt;&gt;"NG w CCUS",G830&lt;&gt;"Oil w CCUS",G830&lt;&gt;"Coal w CCUS"),AB830,AD830*10^3/(HoursInYear*IF(G830="NG w CCUS",0.9105,1.9075)))</f>
        <v>0</v>
      </c>
      <c r="AF830" s="28" t="s">
        <v>3515</v>
      </c>
      <c r="AG830" s="28"/>
    </row>
    <row r="831" spans="1:33" ht="32.25" customHeight="1" x14ac:dyDescent="0.2">
      <c r="A831" s="70">
        <v>1161</v>
      </c>
      <c r="B831" s="27" t="s">
        <v>3516</v>
      </c>
      <c r="C831" s="27" t="s">
        <v>362</v>
      </c>
      <c r="D831" s="27">
        <v>2030</v>
      </c>
      <c r="E831" s="27"/>
      <c r="F831" s="27" t="s">
        <v>832</v>
      </c>
      <c r="G831" s="27" t="s">
        <v>758</v>
      </c>
      <c r="H831" s="27" t="s">
        <v>1406</v>
      </c>
      <c r="I831" s="27" t="s">
        <v>768</v>
      </c>
      <c r="J831" s="27" t="s">
        <v>863</v>
      </c>
      <c r="K831" s="27" t="s">
        <v>377</v>
      </c>
      <c r="L831" s="27"/>
      <c r="M831" s="27"/>
      <c r="N831" s="27"/>
      <c r="O831" s="27"/>
      <c r="P831" s="27"/>
      <c r="Q831" s="27">
        <v>1</v>
      </c>
      <c r="R831" s="27"/>
      <c r="S831" s="27"/>
      <c r="T831" s="27"/>
      <c r="U831" s="27"/>
      <c r="V831" s="27"/>
      <c r="W831" s="27"/>
      <c r="X831" s="27"/>
      <c r="Y831" s="27"/>
      <c r="Z831" s="27" t="s">
        <v>2021</v>
      </c>
      <c r="AA831" s="29">
        <v>100</v>
      </c>
      <c r="AB831" s="30">
        <f>IF(OR(G831="ALK",G831="PEM",G831="SOEC",G831="Other Electrolysis"),
AA831/VLOOKUP(G831,ElectrolysisConvF,3,FALSE),
AC831*10^6/(H2dens*HoursInYear))</f>
        <v>22222.222222222223</v>
      </c>
      <c r="AC831" s="30">
        <f>AB831*H2dens*HoursInYear/10^6</f>
        <v>17.325333333333333</v>
      </c>
      <c r="AD831" s="30"/>
      <c r="AE831" s="30">
        <f>IF(AND(G831&lt;&gt;"NG w CCUS",G831&lt;&gt;"Oil w CCUS",G831&lt;&gt;"Coal w CCUS"),AB831,AD831*10^3/(HoursInYear*IF(G831="NG w CCUS",0.9105,1.9075)))</f>
        <v>22222.222222222223</v>
      </c>
      <c r="AF831" s="28" t="s">
        <v>3517</v>
      </c>
      <c r="AG831" s="28"/>
    </row>
    <row r="832" spans="1:33" ht="32.25" customHeight="1" x14ac:dyDescent="0.2">
      <c r="A832" s="70">
        <v>1162</v>
      </c>
      <c r="B832" s="27" t="s">
        <v>3516</v>
      </c>
      <c r="C832" s="27" t="s">
        <v>362</v>
      </c>
      <c r="D832" s="27">
        <v>2030</v>
      </c>
      <c r="E832" s="27"/>
      <c r="F832" s="27" t="s">
        <v>832</v>
      </c>
      <c r="G832" s="27" t="s">
        <v>758</v>
      </c>
      <c r="H832" s="27" t="s">
        <v>1406</v>
      </c>
      <c r="I832" s="27" t="s">
        <v>768</v>
      </c>
      <c r="J832" s="27" t="s">
        <v>862</v>
      </c>
      <c r="K832" s="27" t="s">
        <v>377</v>
      </c>
      <c r="L832" s="27"/>
      <c r="M832" s="27"/>
      <c r="N832" s="27"/>
      <c r="O832" s="27"/>
      <c r="P832" s="27"/>
      <c r="Q832" s="27">
        <v>1</v>
      </c>
      <c r="R832" s="27"/>
      <c r="S832" s="27"/>
      <c r="T832" s="27"/>
      <c r="U832" s="27"/>
      <c r="V832" s="27"/>
      <c r="W832" s="27"/>
      <c r="X832" s="27"/>
      <c r="Y832" s="27"/>
      <c r="Z832" s="27" t="s">
        <v>1407</v>
      </c>
      <c r="AA832" s="29">
        <v>10</v>
      </c>
      <c r="AB832" s="30">
        <f>IF(OR(G832="ALK",G832="PEM",G832="SOEC",G832="Other Electrolysis"),
AA832/VLOOKUP(G832,ElectrolysisConvF,3,FALSE),
AC832*10^6/(H2dens*HoursInYear))</f>
        <v>2222.2222222222222</v>
      </c>
      <c r="AC832" s="30">
        <f>AB832*H2dens*HoursInYear/10^6</f>
        <v>1.7325333333333333</v>
      </c>
      <c r="AD832" s="30"/>
      <c r="AE832" s="30">
        <f>IF(AND(G832&lt;&gt;"NG w CCUS",G832&lt;&gt;"Oil w CCUS",G832&lt;&gt;"Coal w CCUS"),AB832,AD832*10^3/(HoursInYear*IF(G832="NG w CCUS",0.9105,1.9075)))</f>
        <v>2222.2222222222222</v>
      </c>
      <c r="AF832" s="28" t="s">
        <v>3517</v>
      </c>
      <c r="AG832" s="28"/>
    </row>
    <row r="833" spans="1:33" ht="32.25" customHeight="1" x14ac:dyDescent="0.2">
      <c r="A833" s="70">
        <v>1163</v>
      </c>
      <c r="B833" s="27" t="s">
        <v>3516</v>
      </c>
      <c r="C833" s="27" t="s">
        <v>362</v>
      </c>
      <c r="D833" s="27">
        <v>2030</v>
      </c>
      <c r="E833" s="27"/>
      <c r="F833" s="27" t="s">
        <v>832</v>
      </c>
      <c r="G833" s="27" t="s">
        <v>762</v>
      </c>
      <c r="H833" s="27" t="s">
        <v>3051</v>
      </c>
      <c r="I833" s="27" t="str">
        <f>IF(AND(G833&lt;&gt;"ALK",G833&lt;&gt;"PEM",G833&lt;&gt;"SOEC",G833&lt;&gt;"Other electrolysis"),"N/A","")</f>
        <v>N/A</v>
      </c>
      <c r="J833" s="27" t="str">
        <f>IF(I833&lt;&gt;"Dedicated renewable","N/A",)</f>
        <v>N/A</v>
      </c>
      <c r="K833" s="27" t="s">
        <v>377</v>
      </c>
      <c r="L833" s="27"/>
      <c r="M833" s="27"/>
      <c r="N833" s="27"/>
      <c r="O833" s="27"/>
      <c r="P833" s="27"/>
      <c r="Q833" s="27">
        <v>1</v>
      </c>
      <c r="R833" s="27"/>
      <c r="S833" s="27"/>
      <c r="T833" s="27"/>
      <c r="U833" s="27"/>
      <c r="V833" s="27"/>
      <c r="W833" s="27"/>
      <c r="X833" s="27"/>
      <c r="Y833" s="27"/>
      <c r="Z833" s="27" t="s">
        <v>3518</v>
      </c>
      <c r="AA833" s="29" t="str">
        <f>IF(OR(G833="ALK",G833="PEM",G833="SOEC",G833="Other Electrolysis"),
AB833*VLOOKUP(G833,ElectrolysisConvF,3,FALSE),
"")</f>
        <v/>
      </c>
      <c r="AB833" s="30">
        <f>AC833/(H2dens*HoursInYear/10^6)</f>
        <v>19239.649068800987</v>
      </c>
      <c r="AC833" s="30">
        <v>15</v>
      </c>
      <c r="AD833" s="30"/>
      <c r="AE833" s="30">
        <f>IF(AND(G833&lt;&gt;"NG w CCUS",G833&lt;&gt;"Oil w CCUS",G833&lt;&gt;"Coal w CCUS"),AB833,AD833*10^3/(HoursInYear*IF(G833="NG w CCUS",0.9105,1.9075)))</f>
        <v>19239.649068800987</v>
      </c>
      <c r="AF833" s="28" t="s">
        <v>3517</v>
      </c>
      <c r="AG833" s="28"/>
    </row>
    <row r="834" spans="1:33" ht="32.25" customHeight="1" x14ac:dyDescent="0.2">
      <c r="A834" s="70">
        <v>1164</v>
      </c>
      <c r="B834" s="27" t="s">
        <v>3519</v>
      </c>
      <c r="C834" s="27" t="s">
        <v>968</v>
      </c>
      <c r="D834" s="27">
        <v>2030</v>
      </c>
      <c r="E834" s="27"/>
      <c r="F834" s="27" t="s">
        <v>832</v>
      </c>
      <c r="G834" s="27" t="s">
        <v>758</v>
      </c>
      <c r="H834" s="27" t="s">
        <v>1406</v>
      </c>
      <c r="I834" s="27" t="s">
        <v>768</v>
      </c>
      <c r="J834" s="27" t="s">
        <v>862</v>
      </c>
      <c r="K834" s="27" t="s">
        <v>377</v>
      </c>
      <c r="L834" s="27"/>
      <c r="M834" s="27"/>
      <c r="N834" s="27"/>
      <c r="O834" s="27"/>
      <c r="P834" s="27"/>
      <c r="Q834" s="27">
        <v>1</v>
      </c>
      <c r="R834" s="27"/>
      <c r="S834" s="27"/>
      <c r="T834" s="27"/>
      <c r="U834" s="27"/>
      <c r="V834" s="27"/>
      <c r="W834" s="27"/>
      <c r="X834" s="27"/>
      <c r="Y834" s="27"/>
      <c r="Z834" s="27" t="s">
        <v>1415</v>
      </c>
      <c r="AA834" s="29">
        <v>26</v>
      </c>
      <c r="AB834" s="30">
        <f>IF(OR(G834="ALK",G834="PEM",G834="SOEC",G834="Other Electrolysis"),
AA834/VLOOKUP(G834,ElectrolysisConvF,3,FALSE),
AC834*10^6/(H2dens*HoursInYear))</f>
        <v>5777.7777777777783</v>
      </c>
      <c r="AC834" s="30">
        <f>AB834*H2dens*HoursInYear/10^6</f>
        <v>4.5045866666666674</v>
      </c>
      <c r="AD834" s="30"/>
      <c r="AE834" s="30">
        <f>IF(AND(G834&lt;&gt;"NG w CCUS",G834&lt;&gt;"Oil w CCUS",G834&lt;&gt;"Coal w CCUS"),AB834,AD834*10^3/(HoursInYear*IF(G834="NG w CCUS",0.9105,1.9075)))</f>
        <v>5777.7777777777783</v>
      </c>
      <c r="AF834" s="28" t="s">
        <v>3517</v>
      </c>
      <c r="AG834" s="28"/>
    </row>
    <row r="835" spans="1:33" ht="32.25" customHeight="1" x14ac:dyDescent="0.2">
      <c r="A835" s="70">
        <v>1165</v>
      </c>
      <c r="B835" s="27" t="s">
        <v>3520</v>
      </c>
      <c r="C835" s="27" t="s">
        <v>968</v>
      </c>
      <c r="D835" s="27">
        <v>2030</v>
      </c>
      <c r="E835" s="27"/>
      <c r="F835" s="27" t="s">
        <v>832</v>
      </c>
      <c r="G835" s="27" t="s">
        <v>758</v>
      </c>
      <c r="H835" s="27" t="s">
        <v>1406</v>
      </c>
      <c r="I835" s="27" t="s">
        <v>768</v>
      </c>
      <c r="J835" s="27" t="s">
        <v>862</v>
      </c>
      <c r="K835" s="27" t="s">
        <v>377</v>
      </c>
      <c r="L835" s="27"/>
      <c r="M835" s="27"/>
      <c r="N835" s="27"/>
      <c r="O835" s="27"/>
      <c r="P835" s="27"/>
      <c r="Q835" s="27">
        <v>1</v>
      </c>
      <c r="R835" s="27"/>
      <c r="S835" s="27"/>
      <c r="T835" s="27"/>
      <c r="U835" s="27"/>
      <c r="V835" s="27"/>
      <c r="W835" s="27"/>
      <c r="X835" s="27"/>
      <c r="Y835" s="27"/>
      <c r="Z835" s="27" t="s">
        <v>3521</v>
      </c>
      <c r="AA835" s="29">
        <v>18</v>
      </c>
      <c r="AB835" s="30">
        <f>IF(OR(G835="ALK",G835="PEM",G835="SOEC",G835="Other Electrolysis"),
AA835/VLOOKUP(G835,ElectrolysisConvF,3,FALSE),
AC835*10^6/(H2dens*HoursInYear))</f>
        <v>4000.0000000000005</v>
      </c>
      <c r="AC835" s="30">
        <f>AB835*H2dens*HoursInYear/10^6</f>
        <v>3.11856</v>
      </c>
      <c r="AD835" s="30"/>
      <c r="AE835" s="30">
        <f>IF(AND(G835&lt;&gt;"NG w CCUS",G835&lt;&gt;"Oil w CCUS",G835&lt;&gt;"Coal w CCUS"),AB835,AD835*10^3/(HoursInYear*IF(G835="NG w CCUS",0.9105,1.9075)))</f>
        <v>4000.0000000000005</v>
      </c>
      <c r="AF835" s="28" t="s">
        <v>3517</v>
      </c>
      <c r="AG835" s="28"/>
    </row>
    <row r="836" spans="1:33" ht="32.25" customHeight="1" x14ac:dyDescent="0.2">
      <c r="A836" s="70">
        <v>1166</v>
      </c>
      <c r="B836" s="27" t="s">
        <v>3520</v>
      </c>
      <c r="C836" s="27" t="s">
        <v>968</v>
      </c>
      <c r="D836" s="27">
        <v>2030</v>
      </c>
      <c r="E836" s="27"/>
      <c r="F836" s="27" t="s">
        <v>832</v>
      </c>
      <c r="G836" s="27" t="s">
        <v>758</v>
      </c>
      <c r="H836" s="27" t="s">
        <v>1406</v>
      </c>
      <c r="I836" s="27" t="s">
        <v>768</v>
      </c>
      <c r="J836" s="27" t="s">
        <v>865</v>
      </c>
      <c r="K836" s="27" t="s">
        <v>377</v>
      </c>
      <c r="L836" s="27"/>
      <c r="M836" s="27"/>
      <c r="N836" s="27"/>
      <c r="O836" s="27"/>
      <c r="P836" s="27"/>
      <c r="Q836" s="27">
        <v>1</v>
      </c>
      <c r="R836" s="27"/>
      <c r="S836" s="27"/>
      <c r="T836" s="27"/>
      <c r="U836" s="27"/>
      <c r="V836" s="27"/>
      <c r="W836" s="27"/>
      <c r="X836" s="27"/>
      <c r="Y836" s="27"/>
      <c r="Z836" s="27" t="s">
        <v>3522</v>
      </c>
      <c r="AA836" s="29">
        <v>36</v>
      </c>
      <c r="AB836" s="30">
        <f>IF(OR(G836="ALK",G836="PEM",G836="SOEC",G836="Other Electrolysis"),
AA836/VLOOKUP(G836,ElectrolysisConvF,3,FALSE),
AC836*10^6/(H2dens*HoursInYear))</f>
        <v>8000.0000000000009</v>
      </c>
      <c r="AC836" s="30">
        <f>AB836*H2dens*HoursInYear/10^6</f>
        <v>6.23712</v>
      </c>
      <c r="AD836" s="30"/>
      <c r="AE836" s="30">
        <f>IF(AND(G836&lt;&gt;"NG w CCUS",G836&lt;&gt;"Oil w CCUS",G836&lt;&gt;"Coal w CCUS"),AB836,AD836*10^3/(HoursInYear*IF(G836="NG w CCUS",0.9105,1.9075)))</f>
        <v>8000.0000000000009</v>
      </c>
      <c r="AF836" s="28" t="s">
        <v>3517</v>
      </c>
      <c r="AG836" s="28"/>
    </row>
    <row r="837" spans="1:33" ht="32.25" customHeight="1" x14ac:dyDescent="0.2">
      <c r="A837" s="70">
        <v>1167</v>
      </c>
      <c r="B837" s="27" t="s">
        <v>3516</v>
      </c>
      <c r="C837" s="27" t="s">
        <v>978</v>
      </c>
      <c r="D837" s="27">
        <v>2030</v>
      </c>
      <c r="E837" s="27"/>
      <c r="F837" s="27" t="s">
        <v>832</v>
      </c>
      <c r="G837" s="27" t="s">
        <v>758</v>
      </c>
      <c r="H837" s="27" t="s">
        <v>1406</v>
      </c>
      <c r="I837" s="27" t="s">
        <v>768</v>
      </c>
      <c r="J837" s="27" t="s">
        <v>862</v>
      </c>
      <c r="K837" s="27" t="s">
        <v>377</v>
      </c>
      <c r="L837" s="27"/>
      <c r="M837" s="27"/>
      <c r="N837" s="27"/>
      <c r="O837" s="27"/>
      <c r="P837" s="27"/>
      <c r="Q837" s="27">
        <v>1</v>
      </c>
      <c r="R837" s="27"/>
      <c r="S837" s="27"/>
      <c r="T837" s="27"/>
      <c r="U837" s="27"/>
      <c r="V837" s="27"/>
      <c r="W837" s="27"/>
      <c r="X837" s="27"/>
      <c r="Y837" s="27"/>
      <c r="Z837" s="27" t="s">
        <v>2091</v>
      </c>
      <c r="AA837" s="29">
        <v>60</v>
      </c>
      <c r="AB837" s="30">
        <f>IF(OR(G837="ALK",G837="PEM",G837="SOEC",G837="Other Electrolysis"),
AA837/VLOOKUP(G837,ElectrolysisConvF,3,FALSE),
AC837*10^6/(H2dens*HoursInYear))</f>
        <v>13333.333333333334</v>
      </c>
      <c r="AC837" s="30">
        <f>AB837*H2dens*HoursInYear/10^6</f>
        <v>10.395200000000001</v>
      </c>
      <c r="AD837" s="30"/>
      <c r="AE837" s="30">
        <f>IF(AND(G837&lt;&gt;"NG w CCUS",G837&lt;&gt;"Oil w CCUS",G837&lt;&gt;"Coal w CCUS"),AB837,AD837*10^3/(HoursInYear*IF(G837="NG w CCUS",0.9105,1.9075)))</f>
        <v>13333.333333333334</v>
      </c>
      <c r="AF837" s="28" t="s">
        <v>3517</v>
      </c>
      <c r="AG837" s="28"/>
    </row>
    <row r="838" spans="1:33" ht="32.25" customHeight="1" x14ac:dyDescent="0.2">
      <c r="A838" s="104">
        <v>1168</v>
      </c>
      <c r="B838" s="27" t="s">
        <v>3523</v>
      </c>
      <c r="C838" s="27" t="s">
        <v>977</v>
      </c>
      <c r="D838" s="92">
        <v>2024</v>
      </c>
      <c r="E838" s="27"/>
      <c r="F838" s="27" t="s">
        <v>832</v>
      </c>
      <c r="G838" s="27" t="s">
        <v>758</v>
      </c>
      <c r="H838" s="27" t="s">
        <v>1406</v>
      </c>
      <c r="I838" s="27" t="s">
        <v>768</v>
      </c>
      <c r="J838" s="27" t="s">
        <v>378</v>
      </c>
      <c r="K838" s="27" t="s">
        <v>377</v>
      </c>
      <c r="L838" s="27">
        <v>1</v>
      </c>
      <c r="M838" s="27"/>
      <c r="N838" s="27"/>
      <c r="O838" s="27"/>
      <c r="P838" s="27"/>
      <c r="Q838" s="27"/>
      <c r="R838" s="27"/>
      <c r="S838" s="27"/>
      <c r="T838" s="27"/>
      <c r="U838" s="27"/>
      <c r="V838" s="27"/>
      <c r="W838" s="27"/>
      <c r="X838" s="27"/>
      <c r="Y838" s="27"/>
      <c r="Z838" s="92" t="s">
        <v>1938</v>
      </c>
      <c r="AA838" s="91">
        <v>2</v>
      </c>
      <c r="AB838" s="30">
        <f>IF(OR(G838="ALK",G838="PEM",G838="SOEC",G838="Other Electrolysis"),
AA838/VLOOKUP(G838,ElectrolysisConvF,3,FALSE),
AC838*10^6/(H2dens*HoursInYear))</f>
        <v>444.44444444444446</v>
      </c>
      <c r="AC838" s="30">
        <f>AB838*H2dens*HoursInYear/10^6</f>
        <v>0.34650666666666669</v>
      </c>
      <c r="AD838" s="30"/>
      <c r="AE838" s="30">
        <f>IF(AND(G838&lt;&gt;"NG w CCUS",G838&lt;&gt;"Oil w CCUS",G838&lt;&gt;"Coal w CCUS"),AB838,AD838*10^3/(HoursInYear*IF(G838="NG w CCUS",0.9105,1.9075)))</f>
        <v>444.44444444444446</v>
      </c>
      <c r="AF838" s="28" t="s">
        <v>3524</v>
      </c>
      <c r="AG838" s="28"/>
    </row>
    <row r="839" spans="1:33" ht="32.25" customHeight="1" x14ac:dyDescent="0.2">
      <c r="A839" s="104">
        <v>1169</v>
      </c>
      <c r="B839" s="27" t="s">
        <v>3525</v>
      </c>
      <c r="C839" s="27" t="s">
        <v>977</v>
      </c>
      <c r="D839" s="92">
        <v>2025</v>
      </c>
      <c r="E839" s="27"/>
      <c r="F839" s="27" t="s">
        <v>1336</v>
      </c>
      <c r="G839" s="27" t="s">
        <v>758</v>
      </c>
      <c r="H839" s="27" t="s">
        <v>1406</v>
      </c>
      <c r="I839" s="27" t="s">
        <v>768</v>
      </c>
      <c r="J839" s="27" t="s">
        <v>378</v>
      </c>
      <c r="K839" s="27" t="s">
        <v>377</v>
      </c>
      <c r="L839" s="27">
        <v>1</v>
      </c>
      <c r="M839" s="27">
        <v>1</v>
      </c>
      <c r="N839" s="27"/>
      <c r="O839" s="27"/>
      <c r="P839" s="27"/>
      <c r="Q839" s="27"/>
      <c r="R839" s="27"/>
      <c r="S839" s="27"/>
      <c r="T839" s="27"/>
      <c r="U839" s="27"/>
      <c r="V839" s="27"/>
      <c r="W839" s="27">
        <v>1</v>
      </c>
      <c r="X839" s="27"/>
      <c r="Y839" s="27"/>
      <c r="Z839" s="92" t="s">
        <v>4151</v>
      </c>
      <c r="AA839" s="91">
        <v>100</v>
      </c>
      <c r="AB839" s="30">
        <f>IF(OR(G839="ALK",G839="PEM",G839="SOEC",G839="Other Electrolysis"),
AA839/VLOOKUP(G839,ElectrolysisConvF,3,FALSE),
AC839*10^6/(H2dens*HoursInYear))</f>
        <v>22222.222222222223</v>
      </c>
      <c r="AC839" s="30">
        <f>AB839*H2dens*HoursInYear/10^6</f>
        <v>17.325333333333333</v>
      </c>
      <c r="AD839" s="30"/>
      <c r="AE839" s="30">
        <f>IF(AND(G839&lt;&gt;"NG w CCUS",G839&lt;&gt;"Oil w CCUS",G839&lt;&gt;"Coal w CCUS"),AB839,AD839*10^3/(HoursInYear*IF(G839="NG w CCUS",0.9105,1.9075)))</f>
        <v>22222.222222222223</v>
      </c>
      <c r="AF839" s="28" t="s">
        <v>3524</v>
      </c>
      <c r="AG839" s="28"/>
    </row>
    <row r="840" spans="1:33" ht="32.25" customHeight="1" x14ac:dyDescent="0.2">
      <c r="A840" s="70">
        <v>1170</v>
      </c>
      <c r="B840" s="27" t="s">
        <v>3526</v>
      </c>
      <c r="C840" s="27" t="s">
        <v>610</v>
      </c>
      <c r="D840" s="27"/>
      <c r="E840" s="27"/>
      <c r="F840" s="27" t="s">
        <v>832</v>
      </c>
      <c r="G840" s="27" t="s">
        <v>758</v>
      </c>
      <c r="H840" s="27" t="s">
        <v>1406</v>
      </c>
      <c r="I840" s="27" t="s">
        <v>768</v>
      </c>
      <c r="J840" s="27" t="s">
        <v>865</v>
      </c>
      <c r="K840" s="27" t="s">
        <v>740</v>
      </c>
      <c r="L840" s="27"/>
      <c r="M840" s="27">
        <v>1</v>
      </c>
      <c r="N840" s="27"/>
      <c r="O840" s="27">
        <v>1</v>
      </c>
      <c r="P840" s="27"/>
      <c r="Q840" s="27"/>
      <c r="R840" s="27"/>
      <c r="S840" s="27"/>
      <c r="T840" s="27"/>
      <c r="U840" s="27"/>
      <c r="V840" s="27"/>
      <c r="W840" s="27">
        <v>1</v>
      </c>
      <c r="X840" s="27"/>
      <c r="Y840" s="27"/>
      <c r="Z840" s="27" t="s">
        <v>2556</v>
      </c>
      <c r="AA840" s="29">
        <v>300</v>
      </c>
      <c r="AB840" s="30">
        <f>IF(OR(G840="ALK",G840="PEM",G840="SOEC",G840="Other Electrolysis"),
AA840/VLOOKUP(G840,ElectrolysisConvF,3,FALSE),
AC840*10^6/(H2dens*HoursInYear))</f>
        <v>66666.666666666672</v>
      </c>
      <c r="AC840" s="30">
        <f>AB840*H2dens*HoursInYear/10^6</f>
        <v>51.975999999999999</v>
      </c>
      <c r="AD840" s="30"/>
      <c r="AE840" s="30">
        <f>IF(AND(G840&lt;&gt;"NG w CCUS",G840&lt;&gt;"Oil w CCUS",G840&lt;&gt;"Coal w CCUS"),AB840,AD840*10^3/(HoursInYear*IF(G840="NG w CCUS",0.9105,1.9075)))</f>
        <v>66666.666666666672</v>
      </c>
      <c r="AF840" s="28" t="s">
        <v>3527</v>
      </c>
      <c r="AG840" s="28"/>
    </row>
    <row r="841" spans="1:33" ht="32.25" customHeight="1" x14ac:dyDescent="0.2">
      <c r="A841" s="70">
        <v>1171</v>
      </c>
      <c r="B841" s="27" t="s">
        <v>3528</v>
      </c>
      <c r="C841" s="27" t="s">
        <v>361</v>
      </c>
      <c r="D841" s="27"/>
      <c r="E841" s="27"/>
      <c r="F841" s="27" t="s">
        <v>1336</v>
      </c>
      <c r="G841" s="27" t="s">
        <v>758</v>
      </c>
      <c r="H841" s="27" t="s">
        <v>1406</v>
      </c>
      <c r="I841" s="27" t="s">
        <v>768</v>
      </c>
      <c r="J841" s="27" t="s">
        <v>861</v>
      </c>
      <c r="K841" s="27" t="s">
        <v>767</v>
      </c>
      <c r="L841" s="27"/>
      <c r="M841" s="27">
        <v>1</v>
      </c>
      <c r="N841" s="27"/>
      <c r="O841" s="27"/>
      <c r="P841" s="27"/>
      <c r="Q841" s="27">
        <v>1</v>
      </c>
      <c r="R841" s="27"/>
      <c r="S841" s="27"/>
      <c r="T841" s="27"/>
      <c r="U841" s="27"/>
      <c r="V841" s="27"/>
      <c r="W841" s="27"/>
      <c r="X841" s="27"/>
      <c r="Y841" s="27"/>
      <c r="Z841" s="27" t="s">
        <v>3529</v>
      </c>
      <c r="AA841" s="29">
        <v>2100</v>
      </c>
      <c r="AB841" s="30">
        <f>IF(OR(G841="ALK",G841="PEM",G841="SOEC",G841="Other Electrolysis"),
AA841/VLOOKUP(G841,ElectrolysisConvF,3,FALSE),
AC841*10^6/(H2dens*HoursInYear))</f>
        <v>466666.66666666669</v>
      </c>
      <c r="AC841" s="30">
        <f>AB841*H2dens*HoursInYear/10^6</f>
        <v>363.83199999999999</v>
      </c>
      <c r="AD841" s="30"/>
      <c r="AE841" s="30">
        <f>IF(AND(G841&lt;&gt;"NG w CCUS",G841&lt;&gt;"Oil w CCUS",G841&lt;&gt;"Coal w CCUS"),AB841,AD841*10^3/(HoursInYear*IF(G841="NG w CCUS",0.9105,1.9075)))</f>
        <v>466666.66666666669</v>
      </c>
      <c r="AF841" s="28" t="s">
        <v>3530</v>
      </c>
      <c r="AG841" s="28"/>
    </row>
    <row r="842" spans="1:33" ht="32.25" customHeight="1" x14ac:dyDescent="0.2">
      <c r="A842" s="70">
        <v>1172</v>
      </c>
      <c r="B842" s="27" t="s">
        <v>3531</v>
      </c>
      <c r="C842" s="27" t="s">
        <v>641</v>
      </c>
      <c r="D842" s="27">
        <v>2022</v>
      </c>
      <c r="E842" s="27"/>
      <c r="F842" s="27" t="s">
        <v>754</v>
      </c>
      <c r="G842" s="27" t="s">
        <v>758</v>
      </c>
      <c r="H842" s="27" t="s">
        <v>1406</v>
      </c>
      <c r="I842" s="27" t="s">
        <v>756</v>
      </c>
      <c r="J842" s="27" t="str">
        <f>IF(I842&lt;&gt;"Dedicated renewable","N/A",)</f>
        <v>N/A</v>
      </c>
      <c r="K842" s="27" t="s">
        <v>377</v>
      </c>
      <c r="L842" s="27">
        <v>1</v>
      </c>
      <c r="M842" s="27"/>
      <c r="N842" s="27"/>
      <c r="O842" s="27"/>
      <c r="P842" s="27"/>
      <c r="Q842" s="27"/>
      <c r="R842" s="27"/>
      <c r="S842" s="27"/>
      <c r="T842" s="27"/>
      <c r="U842" s="27"/>
      <c r="V842" s="27"/>
      <c r="W842" s="27"/>
      <c r="X842" s="27"/>
      <c r="Y842" s="27"/>
      <c r="Z842" s="27" t="s">
        <v>3532</v>
      </c>
      <c r="AA842" s="29">
        <v>0.05</v>
      </c>
      <c r="AB842" s="30">
        <f>IF(OR(G842="ALK",G842="PEM",G842="SOEC",G842="Other Electrolysis"),
AA842/VLOOKUP(G842,ElectrolysisConvF,3,FALSE),
AC842*10^6/(H2dens*HoursInYear))</f>
        <v>11.111111111111112</v>
      </c>
      <c r="AC842" s="30">
        <f>AB842*H2dens*HoursInYear/10^6</f>
        <v>8.6626666666666675E-3</v>
      </c>
      <c r="AD842" s="30"/>
      <c r="AE842" s="30">
        <f>IF(AND(G842&lt;&gt;"NG w CCUS",G842&lt;&gt;"Oil w CCUS",G842&lt;&gt;"Coal w CCUS"),AB842,AD842*10^3/(HoursInYear*IF(G842="NG w CCUS",0.9105,1.9075)))</f>
        <v>11.111111111111112</v>
      </c>
      <c r="AF842" s="28" t="s">
        <v>3533</v>
      </c>
      <c r="AG842" s="28"/>
    </row>
    <row r="843" spans="1:33" ht="32.25" customHeight="1" x14ac:dyDescent="0.2">
      <c r="A843" s="70">
        <v>1173</v>
      </c>
      <c r="B843" s="27" t="s">
        <v>3534</v>
      </c>
      <c r="C843" s="27" t="s">
        <v>361</v>
      </c>
      <c r="D843" s="27"/>
      <c r="E843" s="27"/>
      <c r="F843" s="27" t="s">
        <v>1336</v>
      </c>
      <c r="G843" s="27" t="s">
        <v>758</v>
      </c>
      <c r="H843" s="27" t="s">
        <v>1406</v>
      </c>
      <c r="I843" s="27" t="s">
        <v>768</v>
      </c>
      <c r="J843" s="27" t="s">
        <v>378</v>
      </c>
      <c r="K843" s="27" t="s">
        <v>377</v>
      </c>
      <c r="L843" s="27"/>
      <c r="M843" s="27"/>
      <c r="N843" s="27"/>
      <c r="O843" s="27"/>
      <c r="P843" s="27"/>
      <c r="Q843" s="27">
        <v>1</v>
      </c>
      <c r="R843" s="27"/>
      <c r="S843" s="27"/>
      <c r="T843" s="27"/>
      <c r="U843" s="27"/>
      <c r="V843" s="27"/>
      <c r="W843" s="27"/>
      <c r="X843" s="27"/>
      <c r="Y843" s="27"/>
      <c r="Z843" s="27"/>
      <c r="AA843" s="29"/>
      <c r="AB843" s="30"/>
      <c r="AC843" s="30"/>
      <c r="AD843" s="30"/>
      <c r="AE843" s="30">
        <f>IF(AND(G843&lt;&gt;"NG w CCUS",G843&lt;&gt;"Oil w CCUS",G843&lt;&gt;"Coal w CCUS"),AB843,AD843*10^3/(HoursInYear*IF(G843="NG w CCUS",0.9105,1.9075)))</f>
        <v>0</v>
      </c>
      <c r="AF843" s="28" t="s">
        <v>3535</v>
      </c>
      <c r="AG843" s="28"/>
    </row>
    <row r="844" spans="1:33" ht="32.25" customHeight="1" x14ac:dyDescent="0.2">
      <c r="A844" s="70">
        <v>1174</v>
      </c>
      <c r="B844" s="27" t="s">
        <v>3536</v>
      </c>
      <c r="C844" s="27" t="s">
        <v>361</v>
      </c>
      <c r="D844" s="27"/>
      <c r="E844" s="27"/>
      <c r="F844" s="27" t="s">
        <v>1336</v>
      </c>
      <c r="G844" s="27" t="s">
        <v>758</v>
      </c>
      <c r="H844" s="27" t="s">
        <v>1406</v>
      </c>
      <c r="I844" s="27" t="s">
        <v>756</v>
      </c>
      <c r="J844" s="27" t="s">
        <v>865</v>
      </c>
      <c r="K844" s="27" t="s">
        <v>767</v>
      </c>
      <c r="L844" s="27"/>
      <c r="M844" s="27"/>
      <c r="N844" s="27">
        <v>1</v>
      </c>
      <c r="O844" s="27"/>
      <c r="P844" s="27">
        <v>1</v>
      </c>
      <c r="Q844" s="27">
        <v>1</v>
      </c>
      <c r="R844" s="27"/>
      <c r="S844" s="27"/>
      <c r="T844" s="27"/>
      <c r="U844" s="27"/>
      <c r="V844" s="27"/>
      <c r="W844" s="27"/>
      <c r="X844" s="27"/>
      <c r="Y844" s="27"/>
      <c r="Z844" s="27" t="s">
        <v>3537</v>
      </c>
      <c r="AA844" s="29">
        <v>300</v>
      </c>
      <c r="AB844" s="30">
        <f>IF(OR(G844="ALK",G844="PEM",G844="SOEC",G844="Other Electrolysis"),
AA844/VLOOKUP(G844,ElectrolysisConvF,3,FALSE),
AC844*10^6/(H2dens*HoursInYear))</f>
        <v>66666.666666666672</v>
      </c>
      <c r="AC844" s="30">
        <f>AB844*H2dens*HoursInYear/10^6</f>
        <v>51.975999999999999</v>
      </c>
      <c r="AD844" s="30"/>
      <c r="AE844" s="30">
        <f>IF(AND(G844&lt;&gt;"NG w CCUS",G844&lt;&gt;"Oil w CCUS",G844&lt;&gt;"Coal w CCUS"),AB844,AD844*10^3/(HoursInYear*IF(G844="NG w CCUS",0.9105,1.9075)))</f>
        <v>66666.666666666672</v>
      </c>
      <c r="AF844" s="28"/>
      <c r="AG844" s="28"/>
    </row>
    <row r="845" spans="1:33" ht="32.25" customHeight="1" x14ac:dyDescent="0.2">
      <c r="A845" s="70">
        <v>1175</v>
      </c>
      <c r="B845" s="27" t="s">
        <v>3538</v>
      </c>
      <c r="C845" s="27" t="s">
        <v>348</v>
      </c>
      <c r="D845" s="27"/>
      <c r="E845" s="27"/>
      <c r="F845" s="27" t="s">
        <v>832</v>
      </c>
      <c r="G845" s="27" t="s">
        <v>758</v>
      </c>
      <c r="H845" s="27" t="s">
        <v>1406</v>
      </c>
      <c r="I845" s="27" t="s">
        <v>756</v>
      </c>
      <c r="J845" s="27" t="str">
        <f>IF(I845&lt;&gt;"Dedicated renewable","N/A",)</f>
        <v>N/A</v>
      </c>
      <c r="K845" s="27" t="s">
        <v>377</v>
      </c>
      <c r="L845" s="27"/>
      <c r="M845" s="27"/>
      <c r="N845" s="27"/>
      <c r="O845" s="27"/>
      <c r="P845" s="27"/>
      <c r="Q845" s="27">
        <v>1</v>
      </c>
      <c r="R845" s="27"/>
      <c r="S845" s="27"/>
      <c r="T845" s="27"/>
      <c r="U845" s="27"/>
      <c r="V845" s="27"/>
      <c r="W845" s="27"/>
      <c r="X845" s="27"/>
      <c r="Y845" s="27"/>
      <c r="Z845" s="27" t="s">
        <v>3539</v>
      </c>
      <c r="AA845" s="29">
        <f>IF(OR(G845="ALK",G845="PEM",G845="SOEC",G845="Other Electrolysis"),
AB845*VLOOKUP(G845,ElectrolysisConvF,3,FALSE),
"")</f>
        <v>0.42134831460674149</v>
      </c>
      <c r="AB845" s="30">
        <f>AC845/(H2dens*HoursInYear/10^6)</f>
        <v>93.63295880149812</v>
      </c>
      <c r="AC845" s="30">
        <f>200*365/10^6</f>
        <v>7.2999999999999995E-2</v>
      </c>
      <c r="AD845" s="30"/>
      <c r="AE845" s="30">
        <f>IF(AND(G845&lt;&gt;"NG w CCUS",G845&lt;&gt;"Oil w CCUS",G845&lt;&gt;"Coal w CCUS"),AB845,AD845*10^3/(HoursInYear*IF(G845="NG w CCUS",0.9105,1.9075)))</f>
        <v>93.63295880149812</v>
      </c>
      <c r="AF845" s="28" t="s">
        <v>3540</v>
      </c>
      <c r="AG845" s="28"/>
    </row>
    <row r="846" spans="1:33" ht="32.25" customHeight="1" x14ac:dyDescent="0.2">
      <c r="A846" s="70">
        <v>1176</v>
      </c>
      <c r="B846" s="27" t="s">
        <v>3541</v>
      </c>
      <c r="C846" s="27" t="s">
        <v>348</v>
      </c>
      <c r="D846" s="27"/>
      <c r="E846" s="27"/>
      <c r="F846" s="27" t="s">
        <v>1336</v>
      </c>
      <c r="G846" s="27" t="s">
        <v>758</v>
      </c>
      <c r="H846" s="27" t="s">
        <v>1406</v>
      </c>
      <c r="I846" s="27" t="s">
        <v>756</v>
      </c>
      <c r="J846" s="27" t="str">
        <f>IF(I846&lt;&gt;"Dedicated renewable","N/A",)</f>
        <v>N/A</v>
      </c>
      <c r="K846" s="27" t="s">
        <v>377</v>
      </c>
      <c r="L846" s="27"/>
      <c r="M846" s="27"/>
      <c r="N846" s="27"/>
      <c r="O846" s="27"/>
      <c r="P846" s="27"/>
      <c r="Q846" s="27">
        <v>1</v>
      </c>
      <c r="R846" s="27"/>
      <c r="S846" s="27"/>
      <c r="T846" s="27"/>
      <c r="U846" s="27"/>
      <c r="V846" s="27"/>
      <c r="W846" s="27"/>
      <c r="X846" s="27"/>
      <c r="Y846" s="27"/>
      <c r="Z846" s="27"/>
      <c r="AA846" s="29"/>
      <c r="AB846" s="30"/>
      <c r="AC846" s="30"/>
      <c r="AD846" s="30"/>
      <c r="AE846" s="30">
        <f>IF(AND(G846&lt;&gt;"NG w CCUS",G846&lt;&gt;"Oil w CCUS",G846&lt;&gt;"Coal w CCUS"),AB846,AD846*10^3/(HoursInYear*IF(G846="NG w CCUS",0.9105,1.9075)))</f>
        <v>0</v>
      </c>
      <c r="AF846" s="28" t="s">
        <v>3542</v>
      </c>
      <c r="AG846" s="28"/>
    </row>
    <row r="847" spans="1:33" ht="32.25" customHeight="1" x14ac:dyDescent="0.2">
      <c r="A847" s="70">
        <v>1177</v>
      </c>
      <c r="B847" s="27" t="s">
        <v>3543</v>
      </c>
      <c r="C847" s="27" t="s">
        <v>348</v>
      </c>
      <c r="D847" s="27"/>
      <c r="E847" s="27"/>
      <c r="F847" s="27" t="s">
        <v>1336</v>
      </c>
      <c r="G847" s="27" t="s">
        <v>758</v>
      </c>
      <c r="H847" s="27" t="s">
        <v>1406</v>
      </c>
      <c r="I847" s="27" t="s">
        <v>756</v>
      </c>
      <c r="J847" s="27" t="str">
        <f>IF(I847&lt;&gt;"Dedicated renewable","N/A",)</f>
        <v>N/A</v>
      </c>
      <c r="K847" s="27" t="s">
        <v>377</v>
      </c>
      <c r="L847" s="27"/>
      <c r="M847" s="27"/>
      <c r="N847" s="27"/>
      <c r="O847" s="27"/>
      <c r="P847" s="27"/>
      <c r="Q847" s="27">
        <v>1</v>
      </c>
      <c r="R847" s="27"/>
      <c r="S847" s="27"/>
      <c r="T847" s="27"/>
      <c r="U847" s="27"/>
      <c r="V847" s="27"/>
      <c r="W847" s="27"/>
      <c r="X847" s="27"/>
      <c r="Y847" s="27"/>
      <c r="Z847" s="27"/>
      <c r="AA847" s="29"/>
      <c r="AB847" s="30"/>
      <c r="AC847" s="30"/>
      <c r="AD847" s="30"/>
      <c r="AE847" s="30">
        <f>IF(AND(G847&lt;&gt;"NG w CCUS",G847&lt;&gt;"Oil w CCUS",G847&lt;&gt;"Coal w CCUS"),AB847,AD847*10^3/(HoursInYear*IF(G847="NG w CCUS",0.9105,1.9075)))</f>
        <v>0</v>
      </c>
      <c r="AF847" s="28" t="s">
        <v>3542</v>
      </c>
      <c r="AG847" s="28"/>
    </row>
    <row r="848" spans="1:33" ht="32.25" customHeight="1" x14ac:dyDescent="0.2">
      <c r="A848" s="70">
        <v>1178</v>
      </c>
      <c r="B848" s="27" t="s">
        <v>3544</v>
      </c>
      <c r="C848" s="27" t="s">
        <v>344</v>
      </c>
      <c r="D848" s="27">
        <v>2025</v>
      </c>
      <c r="E848" s="27"/>
      <c r="F848" s="27" t="s">
        <v>832</v>
      </c>
      <c r="G848" s="27" t="s">
        <v>760</v>
      </c>
      <c r="H848" s="27"/>
      <c r="I848" s="27" t="str">
        <f>IF(AND(G848&lt;&gt;"ALK",G848&lt;&gt;"PEM",G848&lt;&gt;"SOEC",G848&lt;&gt;"Other electrolysis"),"N/A","")</f>
        <v>N/A</v>
      </c>
      <c r="J848" s="27" t="str">
        <f>IF(I848&lt;&gt;"Dedicated renewable","N/A",)</f>
        <v>N/A</v>
      </c>
      <c r="K848" s="27" t="s">
        <v>740</v>
      </c>
      <c r="L848" s="27"/>
      <c r="M848" s="27">
        <v>1</v>
      </c>
      <c r="N848" s="27"/>
      <c r="O848" s="27"/>
      <c r="P848" s="27"/>
      <c r="Q848" s="27"/>
      <c r="R848" s="27"/>
      <c r="S848" s="27"/>
      <c r="T848" s="27"/>
      <c r="U848" s="27"/>
      <c r="V848" s="27"/>
      <c r="W848" s="27"/>
      <c r="X848" s="27"/>
      <c r="Y848" s="27"/>
      <c r="Z848" s="27" t="s">
        <v>3545</v>
      </c>
      <c r="AA848" s="29" t="str">
        <f>IF(OR(G848="ALK",G848="PEM",G848="SOEC",G848="Other Electrolysis"),
AB848*VLOOKUP(G848,ElectrolysisConvF,3,FALSE),
"")</f>
        <v/>
      </c>
      <c r="AB848" s="30">
        <f>AC848/(H2dens*HoursInYear/10^6)</f>
        <v>230968.17609605024</v>
      </c>
      <c r="AC848" s="30">
        <f>1000*3/17/0.98</f>
        <v>180.0720288115246</v>
      </c>
      <c r="AD848" s="30"/>
      <c r="AE848" s="30">
        <f>IF(AND(G848&lt;&gt;"NG w CCUS",G848&lt;&gt;"Oil w CCUS",G848&lt;&gt;"Coal w CCUS"),AB848,AD848*10^3/(HoursInYear*IF(G848="NG w CCUS",0.9105,1.9075)))</f>
        <v>0</v>
      </c>
      <c r="AF848" s="28" t="s">
        <v>3546</v>
      </c>
      <c r="AG848" s="28"/>
    </row>
    <row r="849" spans="1:33" ht="32.25" customHeight="1" x14ac:dyDescent="0.2">
      <c r="A849" s="70">
        <v>1179</v>
      </c>
      <c r="B849" s="27" t="s">
        <v>3547</v>
      </c>
      <c r="C849" s="27" t="s">
        <v>336</v>
      </c>
      <c r="D849" s="27">
        <v>2023</v>
      </c>
      <c r="E849" s="27"/>
      <c r="F849" s="27" t="s">
        <v>832</v>
      </c>
      <c r="G849" s="27" t="s">
        <v>758</v>
      </c>
      <c r="H849" s="27" t="s">
        <v>1406</v>
      </c>
      <c r="I849" s="27" t="s">
        <v>768</v>
      </c>
      <c r="J849" s="27" t="s">
        <v>378</v>
      </c>
      <c r="K849" s="27" t="s">
        <v>377</v>
      </c>
      <c r="L849" s="27"/>
      <c r="M849" s="27"/>
      <c r="N849" s="27"/>
      <c r="O849" s="27">
        <v>1</v>
      </c>
      <c r="P849" s="27"/>
      <c r="Q849" s="27">
        <v>1</v>
      </c>
      <c r="R849" s="27">
        <v>1</v>
      </c>
      <c r="S849" s="27"/>
      <c r="T849" s="27"/>
      <c r="U849" s="27"/>
      <c r="V849" s="27"/>
      <c r="W849" s="27"/>
      <c r="X849" s="27"/>
      <c r="Y849" s="27"/>
      <c r="Z849" s="27" t="s">
        <v>1407</v>
      </c>
      <c r="AA849" s="29">
        <v>10</v>
      </c>
      <c r="AB849" s="30">
        <f>IF(OR(G849="ALK",G849="PEM",G849="SOEC",G849="Other Electrolysis"),
AA849/VLOOKUP(G849,ElectrolysisConvF,3,FALSE),
AC849*10^6/(H2dens*HoursInYear))</f>
        <v>2222.2222222222222</v>
      </c>
      <c r="AC849" s="30">
        <f>AB849*H2dens*HoursInYear/10^6</f>
        <v>1.7325333333333333</v>
      </c>
      <c r="AD849" s="30"/>
      <c r="AE849" s="30">
        <f>IF(AND(G849&lt;&gt;"NG w CCUS",G849&lt;&gt;"Oil w CCUS",G849&lt;&gt;"Coal w CCUS"),AB849,AD849*10^3/(HoursInYear*IF(G849="NG w CCUS",0.9105,1.9075)))</f>
        <v>2222.2222222222222</v>
      </c>
      <c r="AF849" s="28" t="s">
        <v>3548</v>
      </c>
      <c r="AG849" s="28"/>
    </row>
    <row r="850" spans="1:33" ht="32.25" customHeight="1" x14ac:dyDescent="0.2">
      <c r="A850" s="70">
        <v>1180</v>
      </c>
      <c r="B850" s="27" t="s">
        <v>3549</v>
      </c>
      <c r="C850" s="27" t="s">
        <v>336</v>
      </c>
      <c r="D850" s="27">
        <v>2023</v>
      </c>
      <c r="E850" s="27"/>
      <c r="F850" s="27" t="s">
        <v>832</v>
      </c>
      <c r="G850" s="27" t="s">
        <v>758</v>
      </c>
      <c r="H850" s="27" t="s">
        <v>1406</v>
      </c>
      <c r="I850" s="27" t="s">
        <v>768</v>
      </c>
      <c r="J850" s="27" t="s">
        <v>378</v>
      </c>
      <c r="K850" s="27" t="s">
        <v>377</v>
      </c>
      <c r="L850" s="27"/>
      <c r="M850" s="27"/>
      <c r="N850" s="27"/>
      <c r="O850" s="27"/>
      <c r="P850" s="27">
        <v>1</v>
      </c>
      <c r="Q850" s="27"/>
      <c r="R850" s="27"/>
      <c r="S850" s="27"/>
      <c r="T850" s="27"/>
      <c r="U850" s="27"/>
      <c r="V850" s="27"/>
      <c r="W850" s="27"/>
      <c r="X850" s="27"/>
      <c r="Y850" s="27"/>
      <c r="Z850" s="27" t="s">
        <v>1407</v>
      </c>
      <c r="AA850" s="29">
        <v>10</v>
      </c>
      <c r="AB850" s="30">
        <f>IF(OR(G850="ALK",G850="PEM",G850="SOEC",G850="Other Electrolysis"),
AA850/VLOOKUP(G850,ElectrolysisConvF,3,FALSE),
AC850*10^6/(H2dens*HoursInYear))</f>
        <v>2222.2222222222222</v>
      </c>
      <c r="AC850" s="30">
        <f>AB850*H2dens*HoursInYear/10^6</f>
        <v>1.7325333333333333</v>
      </c>
      <c r="AD850" s="30"/>
      <c r="AE850" s="30">
        <f>IF(AND(G850&lt;&gt;"NG w CCUS",G850&lt;&gt;"Oil w CCUS",G850&lt;&gt;"Coal w CCUS"),AB850,AD850*10^3/(HoursInYear*IF(G850="NG w CCUS",0.9105,1.9075)))</f>
        <v>2222.2222222222222</v>
      </c>
      <c r="AF850" s="28" t="s">
        <v>3548</v>
      </c>
      <c r="AG850" s="28"/>
    </row>
    <row r="851" spans="1:33" ht="32.25" customHeight="1" x14ac:dyDescent="0.2">
      <c r="A851" s="70">
        <v>1181</v>
      </c>
      <c r="B851" s="27" t="s">
        <v>3550</v>
      </c>
      <c r="C851" s="27" t="s">
        <v>336</v>
      </c>
      <c r="D851" s="27">
        <v>2023</v>
      </c>
      <c r="E851" s="27"/>
      <c r="F851" s="27" t="s">
        <v>832</v>
      </c>
      <c r="G851" s="27" t="s">
        <v>758</v>
      </c>
      <c r="H851" s="27" t="s">
        <v>1406</v>
      </c>
      <c r="I851" s="27" t="s">
        <v>768</v>
      </c>
      <c r="J851" s="27" t="s">
        <v>861</v>
      </c>
      <c r="K851" s="27" t="s">
        <v>377</v>
      </c>
      <c r="L851" s="27"/>
      <c r="M851" s="27"/>
      <c r="N851" s="27"/>
      <c r="O851" s="27"/>
      <c r="P851" s="27"/>
      <c r="Q851" s="27">
        <v>1</v>
      </c>
      <c r="R851" s="27"/>
      <c r="S851" s="27"/>
      <c r="T851" s="27"/>
      <c r="U851" s="27"/>
      <c r="V851" s="27"/>
      <c r="W851" s="27"/>
      <c r="X851" s="27"/>
      <c r="Y851" s="27"/>
      <c r="Z851" s="27" t="s">
        <v>1407</v>
      </c>
      <c r="AA851" s="29">
        <v>10</v>
      </c>
      <c r="AB851" s="30">
        <f>IF(OR(G851="ALK",G851="PEM",G851="SOEC",G851="Other Electrolysis"),
AA851/VLOOKUP(G851,ElectrolysisConvF,3,FALSE),
AC851*10^6/(H2dens*HoursInYear))</f>
        <v>2222.2222222222222</v>
      </c>
      <c r="AC851" s="30">
        <f>AB851*H2dens*HoursInYear/10^6</f>
        <v>1.7325333333333333</v>
      </c>
      <c r="AD851" s="30"/>
      <c r="AE851" s="30">
        <f>IF(AND(G851&lt;&gt;"NG w CCUS",G851&lt;&gt;"Oil w CCUS",G851&lt;&gt;"Coal w CCUS"),AB851,AD851*10^3/(HoursInYear*IF(G851="NG w CCUS",0.9105,1.9075)))</f>
        <v>2222.2222222222222</v>
      </c>
      <c r="AF851" s="28" t="s">
        <v>3548</v>
      </c>
      <c r="AG851" s="28"/>
    </row>
    <row r="852" spans="1:33" ht="32.25" customHeight="1" x14ac:dyDescent="0.2">
      <c r="A852" s="70">
        <v>1182</v>
      </c>
      <c r="B852" s="27" t="s">
        <v>3551</v>
      </c>
      <c r="C852" s="27" t="s">
        <v>337</v>
      </c>
      <c r="D852" s="27">
        <v>2022</v>
      </c>
      <c r="E852" s="27"/>
      <c r="F852" s="27" t="s">
        <v>754</v>
      </c>
      <c r="G852" s="27" t="s">
        <v>266</v>
      </c>
      <c r="H852" s="27"/>
      <c r="I852" s="27" t="s">
        <v>768</v>
      </c>
      <c r="J852" s="27" t="s">
        <v>865</v>
      </c>
      <c r="K852" s="27" t="s">
        <v>377</v>
      </c>
      <c r="L852" s="27"/>
      <c r="M852" s="27"/>
      <c r="N852" s="27"/>
      <c r="O852" s="27"/>
      <c r="P852" s="27"/>
      <c r="Q852" s="27">
        <v>1</v>
      </c>
      <c r="R852" s="27"/>
      <c r="S852" s="27"/>
      <c r="T852" s="27"/>
      <c r="U852" s="27"/>
      <c r="V852" s="27"/>
      <c r="W852" s="27"/>
      <c r="X852" s="27"/>
      <c r="Y852" s="27"/>
      <c r="Z852" s="27" t="s">
        <v>3552</v>
      </c>
      <c r="AA852" s="29">
        <f>IF(OR(G852="ALK",G852="PEM",G852="SOEC",G852="Other Electrolysis"),
AB852*VLOOKUP(G852,ElectrolysisConvF,3,FALSE),
"")</f>
        <v>36.516853932584269</v>
      </c>
      <c r="AB852" s="30">
        <f>AC852/(H2dens*HoursInYear/10^6)</f>
        <v>7022.4719101123592</v>
      </c>
      <c r="AC852" s="30">
        <f>15*365/1000</f>
        <v>5.4749999999999996</v>
      </c>
      <c r="AD852" s="30"/>
      <c r="AE852" s="30">
        <f>IF(AND(G852&lt;&gt;"NG w CCUS",G852&lt;&gt;"Oil w CCUS",G852&lt;&gt;"Coal w CCUS"),AB852,AD852*10^3/(HoursInYear*IF(G852="NG w CCUS",0.9105,1.9075)))</f>
        <v>7022.4719101123592</v>
      </c>
      <c r="AF852" s="28" t="s">
        <v>3553</v>
      </c>
      <c r="AG852" s="74" t="s">
        <v>4011</v>
      </c>
    </row>
    <row r="853" spans="1:33" ht="32.25" customHeight="1" x14ac:dyDescent="0.2">
      <c r="A853" s="70">
        <v>1183</v>
      </c>
      <c r="B853" s="27" t="s">
        <v>3554</v>
      </c>
      <c r="C853" s="27" t="s">
        <v>977</v>
      </c>
      <c r="D853" s="27"/>
      <c r="E853" s="27"/>
      <c r="F853" s="27" t="s">
        <v>832</v>
      </c>
      <c r="G853" s="27" t="s">
        <v>758</v>
      </c>
      <c r="H853" s="27" t="s">
        <v>1406</v>
      </c>
      <c r="I853" s="27" t="s">
        <v>768</v>
      </c>
      <c r="J853" s="27" t="s">
        <v>861</v>
      </c>
      <c r="K853" s="27" t="s">
        <v>377</v>
      </c>
      <c r="L853" s="27"/>
      <c r="M853" s="27"/>
      <c r="N853" s="27"/>
      <c r="O853" s="27"/>
      <c r="P853" s="27"/>
      <c r="Q853" s="27"/>
      <c r="R853" s="27"/>
      <c r="S853" s="27"/>
      <c r="T853" s="27"/>
      <c r="U853" s="27"/>
      <c r="V853" s="27"/>
      <c r="W853" s="27"/>
      <c r="X853" s="27"/>
      <c r="Y853" s="27"/>
      <c r="Z853" s="27" t="s">
        <v>3555</v>
      </c>
      <c r="AA853" s="29">
        <f>IF(OR(G853="ALK",G853="PEM",G853="SOEC",G853="Other Electrolysis"),
AB853*VLOOKUP(G853,ElectrolysisConvF,3,FALSE),
"")</f>
        <v>8.6578420809604424</v>
      </c>
      <c r="AB853" s="30">
        <f>AC853/(H2dens*HoursInYear/10^6)</f>
        <v>1923.9649068800986</v>
      </c>
      <c r="AC853" s="30">
        <f>1.5</f>
        <v>1.5</v>
      </c>
      <c r="AD853" s="30"/>
      <c r="AE853" s="30">
        <f>IF(AND(G853&lt;&gt;"NG w CCUS",G853&lt;&gt;"Oil w CCUS",G853&lt;&gt;"Coal w CCUS"),AB853,AD853*10^3/(HoursInYear*IF(G853="NG w CCUS",0.9105,1.9075)))</f>
        <v>1923.9649068800986</v>
      </c>
      <c r="AF853" s="28" t="s">
        <v>3556</v>
      </c>
      <c r="AG853" s="28"/>
    </row>
    <row r="854" spans="1:33" ht="32.25" customHeight="1" x14ac:dyDescent="0.2">
      <c r="A854" s="70">
        <v>1184</v>
      </c>
      <c r="B854" s="27" t="s">
        <v>3557</v>
      </c>
      <c r="C854" s="27" t="s">
        <v>331</v>
      </c>
      <c r="D854" s="27">
        <v>2022</v>
      </c>
      <c r="E854" s="27"/>
      <c r="F854" s="27" t="s">
        <v>754</v>
      </c>
      <c r="G854" s="27" t="s">
        <v>758</v>
      </c>
      <c r="H854" s="27" t="s">
        <v>1406</v>
      </c>
      <c r="I854" s="27" t="s">
        <v>768</v>
      </c>
      <c r="J854" s="27" t="s">
        <v>863</v>
      </c>
      <c r="K854" s="27" t="s">
        <v>377</v>
      </c>
      <c r="L854" s="27"/>
      <c r="M854" s="27"/>
      <c r="N854" s="27"/>
      <c r="O854" s="27"/>
      <c r="P854" s="27"/>
      <c r="Q854" s="27"/>
      <c r="R854" s="27"/>
      <c r="S854" s="27"/>
      <c r="T854" s="27"/>
      <c r="U854" s="27"/>
      <c r="V854" s="27"/>
      <c r="W854" s="27"/>
      <c r="X854" s="27"/>
      <c r="Y854" s="27"/>
      <c r="Z854" s="27" t="s">
        <v>1938</v>
      </c>
      <c r="AA854" s="29">
        <v>2</v>
      </c>
      <c r="AB854" s="30">
        <f>IF(OR(G854="ALK",G854="PEM",G854="SOEC",G854="Other Electrolysis"),
AA854/VLOOKUP(G854,ElectrolysisConvF,3,FALSE),
AC854*10^6/(H2dens*HoursInYear))</f>
        <v>444.44444444444446</v>
      </c>
      <c r="AC854" s="30">
        <f>AB854*H2dens*HoursInYear/10^6</f>
        <v>0.34650666666666669</v>
      </c>
      <c r="AD854" s="30"/>
      <c r="AE854" s="30">
        <f>IF(AND(G854&lt;&gt;"NG w CCUS",G854&lt;&gt;"Oil w CCUS",G854&lt;&gt;"Coal w CCUS"),AB854,AD854*10^3/(HoursInYear*IF(G854="NG w CCUS",0.9105,1.9075)))</f>
        <v>444.44444444444446</v>
      </c>
      <c r="AF854" s="28" t="s">
        <v>3558</v>
      </c>
      <c r="AG854" s="28"/>
    </row>
    <row r="855" spans="1:33" ht="32.25" customHeight="1" x14ac:dyDescent="0.2">
      <c r="A855" s="70">
        <v>1185</v>
      </c>
      <c r="B855" s="27" t="s">
        <v>3559</v>
      </c>
      <c r="C855" s="27" t="s">
        <v>340</v>
      </c>
      <c r="D855" s="27">
        <v>2021</v>
      </c>
      <c r="E855" s="27"/>
      <c r="F855" s="27" t="s">
        <v>836</v>
      </c>
      <c r="G855" s="27" t="s">
        <v>758</v>
      </c>
      <c r="H855" s="27" t="s">
        <v>1406</v>
      </c>
      <c r="I855" s="27" t="s">
        <v>768</v>
      </c>
      <c r="J855" s="27" t="s">
        <v>861</v>
      </c>
      <c r="K855" s="27" t="s">
        <v>377</v>
      </c>
      <c r="L855" s="27"/>
      <c r="M855" s="27"/>
      <c r="N855" s="27"/>
      <c r="O855" s="27"/>
      <c r="P855" s="27"/>
      <c r="Q855" s="27"/>
      <c r="R855" s="27"/>
      <c r="S855" s="27"/>
      <c r="T855" s="27"/>
      <c r="U855" s="27"/>
      <c r="V855" s="27"/>
      <c r="W855" s="27"/>
      <c r="X855" s="27"/>
      <c r="Y855" s="27"/>
      <c r="Z855" s="27"/>
      <c r="AA855" s="29"/>
      <c r="AB855" s="30"/>
      <c r="AC855" s="30"/>
      <c r="AD855" s="30"/>
      <c r="AE855" s="30">
        <f>IF(AND(G855&lt;&gt;"NG w CCUS",G855&lt;&gt;"Oil w CCUS",G855&lt;&gt;"Coal w CCUS"),AB855,AD855*10^3/(HoursInYear*IF(G855="NG w CCUS",0.9105,1.9075)))</f>
        <v>0</v>
      </c>
      <c r="AF855" s="28" t="s">
        <v>3560</v>
      </c>
      <c r="AG855" s="28"/>
    </row>
    <row r="856" spans="1:33" ht="32.25" customHeight="1" x14ac:dyDescent="0.2">
      <c r="A856" s="70">
        <v>1186</v>
      </c>
      <c r="B856" s="27" t="s">
        <v>3561</v>
      </c>
      <c r="C856" s="27" t="s">
        <v>655</v>
      </c>
      <c r="D856" s="27">
        <v>2025</v>
      </c>
      <c r="E856" s="27"/>
      <c r="F856" s="27" t="s">
        <v>753</v>
      </c>
      <c r="G856" s="27" t="s">
        <v>758</v>
      </c>
      <c r="H856" s="27" t="s">
        <v>1406</v>
      </c>
      <c r="I856" s="27" t="s">
        <v>768</v>
      </c>
      <c r="J856" s="27" t="s">
        <v>378</v>
      </c>
      <c r="K856" s="27" t="s">
        <v>740</v>
      </c>
      <c r="L856" s="27"/>
      <c r="M856" s="27">
        <v>1</v>
      </c>
      <c r="N856" s="27"/>
      <c r="O856" s="27"/>
      <c r="P856" s="27"/>
      <c r="Q856" s="27"/>
      <c r="R856" s="27"/>
      <c r="S856" s="27"/>
      <c r="T856" s="27"/>
      <c r="U856" s="27"/>
      <c r="V856" s="27"/>
      <c r="W856" s="27"/>
      <c r="X856" s="27"/>
      <c r="Y856" s="27"/>
      <c r="Z856" s="27"/>
      <c r="AA856" s="29"/>
      <c r="AB856" s="30"/>
      <c r="AC856" s="30"/>
      <c r="AD856" s="30"/>
      <c r="AE856" s="30">
        <f>IF(AND(G856&lt;&gt;"NG w CCUS",G856&lt;&gt;"Oil w CCUS",G856&lt;&gt;"Coal w CCUS"),AB856,AD856*10^3/(HoursInYear*IF(G856="NG w CCUS",0.9105,1.9075)))</f>
        <v>0</v>
      </c>
      <c r="AF856" s="28" t="s">
        <v>3562</v>
      </c>
      <c r="AG856" s="28"/>
    </row>
    <row r="857" spans="1:33" ht="32.25" customHeight="1" x14ac:dyDescent="0.2">
      <c r="A857" s="70">
        <v>1187</v>
      </c>
      <c r="B857" s="27" t="s">
        <v>3563</v>
      </c>
      <c r="C857" s="27" t="s">
        <v>360</v>
      </c>
      <c r="D857" s="27">
        <v>2022</v>
      </c>
      <c r="E857" s="27"/>
      <c r="F857" s="27" t="s">
        <v>753</v>
      </c>
      <c r="G857" s="27" t="s">
        <v>268</v>
      </c>
      <c r="H857" s="27"/>
      <c r="I857" s="27" t="s">
        <v>866</v>
      </c>
      <c r="J857" s="27" t="str">
        <f>IF(I857&lt;&gt;"Dedicated renewable","N/A",)</f>
        <v>N/A</v>
      </c>
      <c r="K857" s="27" t="s">
        <v>377</v>
      </c>
      <c r="L857" s="27"/>
      <c r="M857" s="27"/>
      <c r="N857" s="27"/>
      <c r="O857" s="27">
        <v>1</v>
      </c>
      <c r="P857" s="27"/>
      <c r="Q857" s="27"/>
      <c r="R857" s="27"/>
      <c r="S857" s="27"/>
      <c r="T857" s="27"/>
      <c r="U857" s="27"/>
      <c r="V857" s="27"/>
      <c r="W857" s="27"/>
      <c r="X857" s="27"/>
      <c r="Y857" s="27"/>
      <c r="Z857" s="27" t="s">
        <v>2061</v>
      </c>
      <c r="AA857" s="29">
        <v>17</v>
      </c>
      <c r="AB857" s="30">
        <f>IF(OR(G857="ALK",G857="PEM",G857="SOEC",G857="Other Electrolysis"),
AA857/VLOOKUP(G857,ElectrolysisConvF,3,FALSE),
AC857*10^6/(H2dens*HoursInYear))</f>
        <v>3695.6521739130435</v>
      </c>
      <c r="AC857" s="30">
        <f>AB857*H2dens*HoursInYear/10^6</f>
        <v>2.8812782608695655</v>
      </c>
      <c r="AD857" s="30"/>
      <c r="AE857" s="30">
        <f>IF(AND(G857&lt;&gt;"NG w CCUS",G857&lt;&gt;"Oil w CCUS",G857&lt;&gt;"Coal w CCUS"),AB857,AD857*10^3/(HoursInYear*IF(G857="NG w CCUS",0.9105,1.9075)))</f>
        <v>3695.6521739130435</v>
      </c>
      <c r="AF857" s="28" t="s">
        <v>3564</v>
      </c>
      <c r="AG857" s="74" t="s">
        <v>4065</v>
      </c>
    </row>
    <row r="858" spans="1:33" ht="32.25" customHeight="1" x14ac:dyDescent="0.2">
      <c r="A858" s="70">
        <v>1188</v>
      </c>
      <c r="B858" s="27" t="s">
        <v>3565</v>
      </c>
      <c r="C858" s="27" t="s">
        <v>1002</v>
      </c>
      <c r="D858" s="27"/>
      <c r="E858" s="27"/>
      <c r="F858" s="27" t="s">
        <v>1336</v>
      </c>
      <c r="G858" s="27" t="s">
        <v>758</v>
      </c>
      <c r="H858" s="27" t="s">
        <v>1406</v>
      </c>
      <c r="I858" s="27" t="s">
        <v>768</v>
      </c>
      <c r="J858" s="27" t="s">
        <v>865</v>
      </c>
      <c r="K858" s="27" t="s">
        <v>377</v>
      </c>
      <c r="L858" s="27"/>
      <c r="M858" s="27"/>
      <c r="N858" s="27"/>
      <c r="O858" s="27"/>
      <c r="P858" s="27"/>
      <c r="Q858" s="27"/>
      <c r="R858" s="27"/>
      <c r="S858" s="27"/>
      <c r="T858" s="27"/>
      <c r="U858" s="27"/>
      <c r="V858" s="27"/>
      <c r="W858" s="27"/>
      <c r="X858" s="27"/>
      <c r="Y858" s="27"/>
      <c r="Z858" s="27" t="s">
        <v>3207</v>
      </c>
      <c r="AA858" s="29">
        <v>30000</v>
      </c>
      <c r="AB858" s="30">
        <f>IF(OR(G858="ALK",G858="PEM",G858="SOEC",G858="Other Electrolysis"),
AA858/VLOOKUP(G858,ElectrolysisConvF,3,FALSE),
AC858*10^6/(H2dens*HoursInYear))</f>
        <v>6666666.666666667</v>
      </c>
      <c r="AC858" s="30">
        <f>AB858*H2dens*HoursInYear/10^6</f>
        <v>5197.6000000000004</v>
      </c>
      <c r="AD858" s="30"/>
      <c r="AE858" s="30">
        <f>IF(AND(G858&lt;&gt;"NG w CCUS",G858&lt;&gt;"Oil w CCUS",G858&lt;&gt;"Coal w CCUS"),AB858,AD858*10^3/(HoursInYear*IF(G858="NG w CCUS",0.9105,1.9075)))</f>
        <v>6666666.666666667</v>
      </c>
      <c r="AF858" s="28" t="s">
        <v>3566</v>
      </c>
      <c r="AG858" s="28"/>
    </row>
    <row r="859" spans="1:33" ht="32.25" customHeight="1" x14ac:dyDescent="0.2">
      <c r="A859" s="70">
        <v>1189</v>
      </c>
      <c r="B859" s="27" t="s">
        <v>3567</v>
      </c>
      <c r="C859" s="27" t="s">
        <v>336</v>
      </c>
      <c r="D859" s="27">
        <v>2022</v>
      </c>
      <c r="E859" s="27"/>
      <c r="F859" s="27" t="s">
        <v>753</v>
      </c>
      <c r="G859" s="27" t="s">
        <v>758</v>
      </c>
      <c r="H859" s="27" t="s">
        <v>1406</v>
      </c>
      <c r="I859" s="27" t="s">
        <v>768</v>
      </c>
      <c r="J859" s="27" t="s">
        <v>861</v>
      </c>
      <c r="K859" s="27" t="s">
        <v>377</v>
      </c>
      <c r="L859" s="27"/>
      <c r="M859" s="27"/>
      <c r="N859" s="27"/>
      <c r="O859" s="27"/>
      <c r="P859" s="27"/>
      <c r="Q859" s="27"/>
      <c r="R859" s="27">
        <v>1</v>
      </c>
      <c r="S859" s="27"/>
      <c r="T859" s="27"/>
      <c r="U859" s="27"/>
      <c r="V859" s="27"/>
      <c r="W859" s="27"/>
      <c r="X859" s="27"/>
      <c r="Y859" s="27"/>
      <c r="Z859" s="27" t="s">
        <v>1938</v>
      </c>
      <c r="AA859" s="29">
        <v>2</v>
      </c>
      <c r="AB859" s="30">
        <f>IF(OR(G859="ALK",G859="PEM",G859="SOEC",G859="Other Electrolysis"),
AA859/VLOOKUP(G859,ElectrolysisConvF,3,FALSE),
AC859*10^6/(H2dens*HoursInYear))</f>
        <v>444.44444444444446</v>
      </c>
      <c r="AC859" s="30">
        <f>AB859*H2dens*HoursInYear/10^6</f>
        <v>0.34650666666666669</v>
      </c>
      <c r="AD859" s="30"/>
      <c r="AE859" s="30">
        <f>IF(AND(G859&lt;&gt;"NG w CCUS",G859&lt;&gt;"Oil w CCUS",G859&lt;&gt;"Coal w CCUS"),AB859,AD859*10^3/(HoursInYear*IF(G859="NG w CCUS",0.9105,1.9075)))</f>
        <v>444.44444444444446</v>
      </c>
      <c r="AF859" s="28" t="s">
        <v>3568</v>
      </c>
      <c r="AG859" s="28"/>
    </row>
    <row r="860" spans="1:33" ht="32.25" customHeight="1" x14ac:dyDescent="0.2">
      <c r="A860" s="70">
        <v>1190</v>
      </c>
      <c r="B860" s="27" t="s">
        <v>3569</v>
      </c>
      <c r="C860" s="27" t="s">
        <v>434</v>
      </c>
      <c r="D860" s="27">
        <v>2038</v>
      </c>
      <c r="E860" s="27"/>
      <c r="F860" s="27" t="s">
        <v>1336</v>
      </c>
      <c r="G860" s="27" t="s">
        <v>758</v>
      </c>
      <c r="H860" s="27" t="s">
        <v>1406</v>
      </c>
      <c r="I860" s="27" t="s">
        <v>768</v>
      </c>
      <c r="J860" s="27" t="s">
        <v>865</v>
      </c>
      <c r="K860" s="27" t="s">
        <v>377</v>
      </c>
      <c r="L860" s="27"/>
      <c r="M860" s="27"/>
      <c r="N860" s="27"/>
      <c r="O860" s="27"/>
      <c r="P860" s="27"/>
      <c r="Q860" s="27"/>
      <c r="R860" s="27"/>
      <c r="S860" s="27"/>
      <c r="T860" s="27"/>
      <c r="U860" s="27"/>
      <c r="V860" s="27"/>
      <c r="W860" s="27"/>
      <c r="X860" s="27"/>
      <c r="Y860" s="27"/>
      <c r="Z860" s="27" t="s">
        <v>3570</v>
      </c>
      <c r="AA860" s="29">
        <f>14000-4667</f>
        <v>9333</v>
      </c>
      <c r="AB860" s="30">
        <f>IF(OR(G860="ALK",G860="PEM",G860="SOEC",G860="Other Electrolysis"),
AA860/VLOOKUP(G860,ElectrolysisConvF,3,FALSE),
AC860*10^6/(H2dens*HoursInYear))</f>
        <v>2074000.0000000002</v>
      </c>
      <c r="AC860" s="30">
        <f>AB860*0.089*24*365/10^6</f>
        <v>1616.97336</v>
      </c>
      <c r="AD860" s="30"/>
      <c r="AE860" s="30">
        <f>AB860</f>
        <v>2074000.0000000002</v>
      </c>
      <c r="AF860" s="28" t="s">
        <v>3282</v>
      </c>
      <c r="AG860" s="28"/>
    </row>
    <row r="861" spans="1:33" ht="32.25" customHeight="1" x14ac:dyDescent="0.2">
      <c r="A861" s="70">
        <v>1191</v>
      </c>
      <c r="B861" s="27" t="s">
        <v>3571</v>
      </c>
      <c r="C861" s="27" t="s">
        <v>804</v>
      </c>
      <c r="D861" s="27">
        <v>2035</v>
      </c>
      <c r="E861" s="27"/>
      <c r="F861" s="27" t="s">
        <v>1336</v>
      </c>
      <c r="G861" s="27" t="s">
        <v>758</v>
      </c>
      <c r="H861" s="27" t="s">
        <v>1406</v>
      </c>
      <c r="I861" s="27" t="s">
        <v>768</v>
      </c>
      <c r="J861" s="27" t="s">
        <v>863</v>
      </c>
      <c r="K861" s="27" t="s">
        <v>377</v>
      </c>
      <c r="L861" s="27"/>
      <c r="M861" s="27"/>
      <c r="N861" s="27"/>
      <c r="O861" s="27"/>
      <c r="P861" s="27"/>
      <c r="Q861" s="27"/>
      <c r="R861" s="27"/>
      <c r="S861" s="27"/>
      <c r="T861" s="27"/>
      <c r="U861" s="27"/>
      <c r="V861" s="27"/>
      <c r="W861" s="27"/>
      <c r="X861" s="27"/>
      <c r="Y861" s="27"/>
      <c r="Z861" s="27" t="s">
        <v>2590</v>
      </c>
      <c r="AA861" s="29">
        <f>5000</f>
        <v>5000</v>
      </c>
      <c r="AB861" s="30">
        <f>IF(OR(G861="ALK",G861="PEM",G861="SOEC",G861="Other Electrolysis"),
AA861/VLOOKUP(G861,ElectrolysisConvF,3,FALSE),
AC861*10^6/(H2dens*HoursInYear))</f>
        <v>1111111.1111111112</v>
      </c>
      <c r="AC861" s="30">
        <f>AB861*H2dens*HoursInYear/10^6</f>
        <v>866.26666666666665</v>
      </c>
      <c r="AD861" s="30"/>
      <c r="AE861" s="30">
        <f>IF(AND(G861&lt;&gt;"NG w CCUS",G861&lt;&gt;"Oil w CCUS",G861&lt;&gt;"Coal w CCUS"),AB861,AD861*10^3/(HoursInYear*IF(G861="NG w CCUS",0.9105,1.9075)))</f>
        <v>1111111.1111111112</v>
      </c>
      <c r="AF861" s="28" t="s">
        <v>3283</v>
      </c>
      <c r="AG861" s="28"/>
    </row>
    <row r="862" spans="1:33" ht="32.25" customHeight="1" x14ac:dyDescent="0.2">
      <c r="A862" s="70">
        <v>1192</v>
      </c>
      <c r="B862" s="27" t="s">
        <v>3572</v>
      </c>
      <c r="C862" s="27" t="s">
        <v>972</v>
      </c>
      <c r="D862" s="27">
        <v>2028</v>
      </c>
      <c r="E862" s="27"/>
      <c r="F862" s="27" t="s">
        <v>1336</v>
      </c>
      <c r="G862" s="27" t="s">
        <v>758</v>
      </c>
      <c r="H862" s="27" t="s">
        <v>1406</v>
      </c>
      <c r="I862" s="27" t="s">
        <v>768</v>
      </c>
      <c r="J862" s="27" t="s">
        <v>863</v>
      </c>
      <c r="K862" s="27" t="s">
        <v>377</v>
      </c>
      <c r="L862" s="27">
        <v>1</v>
      </c>
      <c r="M862" s="27"/>
      <c r="N862" s="27"/>
      <c r="O862" s="27"/>
      <c r="P862" s="27">
        <v>1</v>
      </c>
      <c r="Q862" s="27">
        <v>1</v>
      </c>
      <c r="R862" s="27"/>
      <c r="S862" s="27"/>
      <c r="T862" s="27"/>
      <c r="U862" s="27"/>
      <c r="V862" s="27"/>
      <c r="W862" s="27"/>
      <c r="X862" s="27"/>
      <c r="Y862" s="27"/>
      <c r="Z862" s="27" t="s">
        <v>3573</v>
      </c>
      <c r="AA862" s="29">
        <v>2650</v>
      </c>
      <c r="AB862" s="30">
        <f>IF(OR(G862="ALK",G862="PEM",G862="SOEC",G862="Other Electrolysis"),
AA862/VLOOKUP(G862,ElectrolysisConvF,3,FALSE),
AC862*10^6/(H2dens*HoursInYear))</f>
        <v>588888.88888888888</v>
      </c>
      <c r="AC862" s="30">
        <f>AB862*H2dens*HoursInYear/10^6</f>
        <v>459.12133333333333</v>
      </c>
      <c r="AD862" s="30"/>
      <c r="AE862" s="30">
        <f>IF(AND(G862&lt;&gt;"NG w CCUS",G862&lt;&gt;"Oil w CCUS",G862&lt;&gt;"Coal w CCUS"),AB862,AD862*10^3/(HoursInYear*IF(G862="NG w CCUS",0.9105,1.9075)))</f>
        <v>588888.88888888888</v>
      </c>
      <c r="AF862" s="28" t="s">
        <v>3574</v>
      </c>
      <c r="AG862" s="74" t="s">
        <v>3876</v>
      </c>
    </row>
    <row r="863" spans="1:33" ht="32.25" customHeight="1" x14ac:dyDescent="0.2">
      <c r="A863" s="70">
        <v>1193</v>
      </c>
      <c r="B863" s="27" t="s">
        <v>3575</v>
      </c>
      <c r="C863" s="27" t="s">
        <v>972</v>
      </c>
      <c r="D863" s="27">
        <v>2028</v>
      </c>
      <c r="E863" s="27"/>
      <c r="F863" s="27" t="s">
        <v>1336</v>
      </c>
      <c r="G863" s="27" t="s">
        <v>758</v>
      </c>
      <c r="H863" s="27" t="s">
        <v>1406</v>
      </c>
      <c r="I863" s="27" t="s">
        <v>768</v>
      </c>
      <c r="J863" s="27" t="s">
        <v>863</v>
      </c>
      <c r="K863" s="27" t="s">
        <v>740</v>
      </c>
      <c r="L863" s="27"/>
      <c r="M863" s="27">
        <v>1</v>
      </c>
      <c r="N863" s="27"/>
      <c r="O863" s="27"/>
      <c r="P863" s="27"/>
      <c r="Q863" s="27"/>
      <c r="R863" s="27"/>
      <c r="S863" s="27"/>
      <c r="T863" s="27"/>
      <c r="U863" s="27"/>
      <c r="V863" s="27"/>
      <c r="W863" s="27"/>
      <c r="X863" s="27"/>
      <c r="Y863" s="27"/>
      <c r="Z863" s="27" t="s">
        <v>2568</v>
      </c>
      <c r="AA863" s="29">
        <v>500</v>
      </c>
      <c r="AB863" s="30">
        <f>IF(OR(G863="ALK",G863="PEM",G863="SOEC",G863="Other Electrolysis"),
AA863/VLOOKUP(G863,ElectrolysisConvF,3,FALSE),
AC863*10^6/(H2dens*HoursInYear))</f>
        <v>111111.11111111112</v>
      </c>
      <c r="AC863" s="30">
        <f>AB863*H2dens*HoursInYear/10^6</f>
        <v>86.626666666666665</v>
      </c>
      <c r="AD863" s="30"/>
      <c r="AE863" s="30">
        <f>IF(AND(G863&lt;&gt;"NG w CCUS",G863&lt;&gt;"Oil w CCUS",G863&lt;&gt;"Coal w CCUS"),AB863,AD863*10^3/(HoursInYear*IF(G863="NG w CCUS",0.9105,1.9075)))</f>
        <v>111111.11111111112</v>
      </c>
      <c r="AF863" s="28" t="s">
        <v>3574</v>
      </c>
      <c r="AG863" s="74" t="s">
        <v>3874</v>
      </c>
    </row>
    <row r="864" spans="1:33" ht="32.25" customHeight="1" x14ac:dyDescent="0.2">
      <c r="A864" s="70">
        <v>1194</v>
      </c>
      <c r="B864" s="27" t="s">
        <v>3576</v>
      </c>
      <c r="C864" s="27" t="s">
        <v>343</v>
      </c>
      <c r="D864" s="27">
        <v>2030</v>
      </c>
      <c r="E864" s="27"/>
      <c r="F864" s="27" t="s">
        <v>832</v>
      </c>
      <c r="G864" s="27" t="s">
        <v>760</v>
      </c>
      <c r="H864" s="27"/>
      <c r="I864" s="27" t="str">
        <f>IF(AND(G864&lt;&gt;"ALK",G864&lt;&gt;"PEM",G864&lt;&gt;"SOEC",G864&lt;&gt;"Other electrolysis"),"N/A","")</f>
        <v>N/A</v>
      </c>
      <c r="J864" s="27" t="str">
        <f>IF(I864&lt;&gt;"Dedicated renewable","N/A",)</f>
        <v>N/A</v>
      </c>
      <c r="K864" s="27" t="s">
        <v>377</v>
      </c>
      <c r="L864" s="27"/>
      <c r="M864" s="27"/>
      <c r="N864" s="27"/>
      <c r="O864" s="27"/>
      <c r="P864" s="27"/>
      <c r="Q864" s="27"/>
      <c r="R864" s="27">
        <v>1</v>
      </c>
      <c r="S864" s="27"/>
      <c r="T864" s="27"/>
      <c r="U864" s="27"/>
      <c r="V864" s="27"/>
      <c r="W864" s="27"/>
      <c r="X864" s="27"/>
      <c r="Y864" s="27"/>
      <c r="Z864" s="27" t="s">
        <v>3577</v>
      </c>
      <c r="AA864" s="29" t="str">
        <f>IF(OR(G864="ALK",G864="PEM",G864="SOEC",G864="Other Electrolysis"),
AB864*VLOOKUP(G864,ElectrolysisConvF,3,FALSE),
"")</f>
        <v/>
      </c>
      <c r="AB864" s="30">
        <f>IF(OR(G864="ALK",G864="PEM",G864="SOEC",G864="Other Electrolysis"),
AA864/VLOOKUP(G864,ElectrolysisConvF,3,FALSE),
AC864*10^6/(H2dens*HoursInYear))</f>
        <v>384269.6629213483</v>
      </c>
      <c r="AC864" s="30">
        <f>1200*365*24*0.95*3.6/120/1000</f>
        <v>299.59199999999998</v>
      </c>
      <c r="AD864" s="30"/>
      <c r="AE864" s="30">
        <f>IF(AND(G864&lt;&gt;"NG w CCUS",G864&lt;&gt;"Oil w CCUS",G864&lt;&gt;"Coal w CCUS"),AB864,AD864*10^3/(HoursInYear*IF(G864="NG w CCUS",0.9105,1.9075)))</f>
        <v>0</v>
      </c>
      <c r="AF864" s="28" t="s">
        <v>3578</v>
      </c>
      <c r="AG864" s="28"/>
    </row>
    <row r="865" spans="1:33" ht="32.25" customHeight="1" x14ac:dyDescent="0.2">
      <c r="A865" s="70">
        <v>1195</v>
      </c>
      <c r="B865" s="27" t="s">
        <v>3579</v>
      </c>
      <c r="C865" s="27" t="s">
        <v>337</v>
      </c>
      <c r="D865" s="27"/>
      <c r="E865" s="27"/>
      <c r="F865" s="27" t="s">
        <v>832</v>
      </c>
      <c r="G865" s="27" t="s">
        <v>758</v>
      </c>
      <c r="H865" s="27" t="s">
        <v>1406</v>
      </c>
      <c r="I865" s="27" t="s">
        <v>768</v>
      </c>
      <c r="J865" s="27" t="s">
        <v>863</v>
      </c>
      <c r="K865" s="27" t="s">
        <v>377</v>
      </c>
      <c r="L865" s="27"/>
      <c r="M865" s="27"/>
      <c r="N865" s="27"/>
      <c r="O865" s="27"/>
      <c r="P865" s="27"/>
      <c r="Q865" s="27"/>
      <c r="R865" s="27"/>
      <c r="S865" s="27"/>
      <c r="T865" s="27"/>
      <c r="U865" s="27"/>
      <c r="V865" s="27"/>
      <c r="W865" s="27"/>
      <c r="X865" s="27"/>
      <c r="Y865" s="27"/>
      <c r="Z865" s="27" t="s">
        <v>3168</v>
      </c>
      <c r="AA865" s="29">
        <v>7.5</v>
      </c>
      <c r="AB865" s="30">
        <f>IF(OR(G865="ALK",G865="PEM",G865="SOEC",G865="Other Electrolysis"),
AA865/VLOOKUP(G865,ElectrolysisConvF,3,FALSE),
AC865*10^6/(H2dens*HoursInYear))</f>
        <v>1666.6666666666667</v>
      </c>
      <c r="AC865" s="30">
        <f>AB865*H2dens*HoursInYear/10^6</f>
        <v>1.2994000000000001</v>
      </c>
      <c r="AD865" s="30"/>
      <c r="AE865" s="30">
        <f>IF(AND(G865&lt;&gt;"NG w CCUS",G865&lt;&gt;"Oil w CCUS",G865&lt;&gt;"Coal w CCUS"),AB865,AD865*10^3/(HoursInYear*IF(G865="NG w CCUS",0.9105,1.9075)))</f>
        <v>1666.6666666666667</v>
      </c>
      <c r="AF865" s="28" t="s">
        <v>3580</v>
      </c>
      <c r="AG865" s="28"/>
    </row>
    <row r="866" spans="1:33" ht="32.25" customHeight="1" x14ac:dyDescent="0.2">
      <c r="A866" s="70">
        <v>1196</v>
      </c>
      <c r="B866" s="27" t="s">
        <v>3581</v>
      </c>
      <c r="C866" s="27" t="s">
        <v>625</v>
      </c>
      <c r="D866" s="27">
        <v>2026</v>
      </c>
      <c r="E866" s="27"/>
      <c r="F866" s="27" t="s">
        <v>832</v>
      </c>
      <c r="G866" s="27" t="s">
        <v>758</v>
      </c>
      <c r="H866" s="27" t="s">
        <v>1406</v>
      </c>
      <c r="I866" s="27" t="s">
        <v>768</v>
      </c>
      <c r="J866" s="27" t="s">
        <v>861</v>
      </c>
      <c r="K866" s="27" t="s">
        <v>377</v>
      </c>
      <c r="L866" s="27"/>
      <c r="M866" s="27"/>
      <c r="N866" s="27"/>
      <c r="O866" s="27"/>
      <c r="P866" s="27"/>
      <c r="Q866" s="27"/>
      <c r="R866" s="27"/>
      <c r="S866" s="27"/>
      <c r="T866" s="27"/>
      <c r="U866" s="27"/>
      <c r="V866" s="27"/>
      <c r="W866" s="27"/>
      <c r="X866" s="27"/>
      <c r="Y866" s="27"/>
      <c r="Z866" s="27" t="s">
        <v>3582</v>
      </c>
      <c r="AA866" s="29">
        <v>35</v>
      </c>
      <c r="AB866" s="30">
        <f>IF(OR(G866="ALK",G866="PEM",G866="SOEC",G866="Other Electrolysis"),
AA866/VLOOKUP(G866,ElectrolysisConvF,3,FALSE),
AC866*10^6/(H2dens*HoursInYear))</f>
        <v>7777.7777777777783</v>
      </c>
      <c r="AC866" s="30">
        <f>AB866*H2dens*HoursInYear/10^6</f>
        <v>6.0638666666666667</v>
      </c>
      <c r="AD866" s="30"/>
      <c r="AE866" s="30">
        <f>IF(AND(G866&lt;&gt;"NG w CCUS",G866&lt;&gt;"Oil w CCUS",G866&lt;&gt;"Coal w CCUS"),AB866,AD866*10^3/(HoursInYear*IF(G866="NG w CCUS",0.9105,1.9075)))</f>
        <v>7777.7777777777783</v>
      </c>
      <c r="AF866" s="28" t="s">
        <v>3583</v>
      </c>
      <c r="AG866" s="28"/>
    </row>
    <row r="867" spans="1:33" ht="32.25" customHeight="1" x14ac:dyDescent="0.2">
      <c r="A867" s="70">
        <v>1197</v>
      </c>
      <c r="B867" s="27" t="s">
        <v>3584</v>
      </c>
      <c r="C867" s="27" t="s">
        <v>364</v>
      </c>
      <c r="D867" s="27"/>
      <c r="E867" s="27"/>
      <c r="F867" s="27" t="s">
        <v>1336</v>
      </c>
      <c r="G867" s="27" t="s">
        <v>758</v>
      </c>
      <c r="H867" s="27" t="s">
        <v>1406</v>
      </c>
      <c r="I867" s="27" t="s">
        <v>768</v>
      </c>
      <c r="J867" s="27" t="s">
        <v>378</v>
      </c>
      <c r="K867" s="27" t="s">
        <v>377</v>
      </c>
      <c r="L867" s="27"/>
      <c r="M867" s="27"/>
      <c r="N867" s="27"/>
      <c r="O867" s="27"/>
      <c r="P867" s="27"/>
      <c r="Q867" s="27"/>
      <c r="R867" s="27"/>
      <c r="S867" s="27"/>
      <c r="T867" s="27"/>
      <c r="U867" s="27"/>
      <c r="V867" s="27"/>
      <c r="W867" s="27"/>
      <c r="X867" s="27"/>
      <c r="Y867" s="27"/>
      <c r="Z867" s="27"/>
      <c r="AA867" s="29"/>
      <c r="AB867" s="30"/>
      <c r="AC867" s="30"/>
      <c r="AD867" s="30"/>
      <c r="AE867" s="30">
        <f>IF(AND(G867&lt;&gt;"NG w CCUS",G867&lt;&gt;"Oil w CCUS",G867&lt;&gt;"Coal w CCUS"),AB867,AD867*10^3/(HoursInYear*IF(G867="NG w CCUS",0.9105,1.9075)))</f>
        <v>0</v>
      </c>
      <c r="AF867" s="28" t="s">
        <v>3585</v>
      </c>
      <c r="AG867" s="28"/>
    </row>
    <row r="868" spans="1:33" ht="32.25" customHeight="1" x14ac:dyDescent="0.2">
      <c r="A868" s="70">
        <v>1198</v>
      </c>
      <c r="B868" s="27" t="s">
        <v>3586</v>
      </c>
      <c r="C868" s="27" t="s">
        <v>625</v>
      </c>
      <c r="D868" s="27"/>
      <c r="E868" s="27"/>
      <c r="F868" s="27" t="s">
        <v>1336</v>
      </c>
      <c r="G868" s="27" t="s">
        <v>758</v>
      </c>
      <c r="H868" s="27" t="s">
        <v>1406</v>
      </c>
      <c r="I868" s="27" t="s">
        <v>768</v>
      </c>
      <c r="J868" s="27" t="s">
        <v>861</v>
      </c>
      <c r="K868" s="27" t="s">
        <v>377</v>
      </c>
      <c r="L868" s="27"/>
      <c r="M868" s="27"/>
      <c r="N868" s="27"/>
      <c r="O868" s="27"/>
      <c r="P868" s="27"/>
      <c r="Q868" s="27"/>
      <c r="R868" s="27"/>
      <c r="S868" s="27"/>
      <c r="T868" s="27"/>
      <c r="U868" s="27"/>
      <c r="V868" s="27"/>
      <c r="W868" s="27"/>
      <c r="X868" s="27"/>
      <c r="Y868" s="27"/>
      <c r="Z868" s="27"/>
      <c r="AA868" s="29"/>
      <c r="AB868" s="30"/>
      <c r="AC868" s="30"/>
      <c r="AD868" s="30"/>
      <c r="AE868" s="30">
        <f>IF(AND(G868&lt;&gt;"NG w CCUS",G868&lt;&gt;"Oil w CCUS",G868&lt;&gt;"Coal w CCUS"),AB868,AD868*10^3/(HoursInYear*IF(G868="NG w CCUS",0.9105,1.9075)))</f>
        <v>0</v>
      </c>
      <c r="AF868" s="28" t="s">
        <v>3587</v>
      </c>
      <c r="AG868" s="28"/>
    </row>
    <row r="869" spans="1:33" ht="32.25" customHeight="1" x14ac:dyDescent="0.2">
      <c r="A869" s="70">
        <v>1199</v>
      </c>
      <c r="B869" s="27" t="s">
        <v>3588</v>
      </c>
      <c r="C869" s="27" t="s">
        <v>625</v>
      </c>
      <c r="D869" s="27"/>
      <c r="E869" s="27"/>
      <c r="F869" s="27" t="s">
        <v>1336</v>
      </c>
      <c r="G869" s="27" t="s">
        <v>758</v>
      </c>
      <c r="H869" s="27" t="s">
        <v>1406</v>
      </c>
      <c r="I869" s="27" t="s">
        <v>768</v>
      </c>
      <c r="J869" s="27" t="s">
        <v>861</v>
      </c>
      <c r="K869" s="27" t="s">
        <v>740</v>
      </c>
      <c r="L869" s="27"/>
      <c r="M869" s="27">
        <v>1</v>
      </c>
      <c r="N869" s="27"/>
      <c r="O869" s="27"/>
      <c r="P869" s="27"/>
      <c r="Q869" s="27"/>
      <c r="R869" s="27"/>
      <c r="S869" s="27"/>
      <c r="T869" s="27"/>
      <c r="U869" s="27"/>
      <c r="V869" s="27"/>
      <c r="W869" s="27"/>
      <c r="X869" s="27"/>
      <c r="Y869" s="27"/>
      <c r="Z869" s="27"/>
      <c r="AA869" s="29"/>
      <c r="AB869" s="30"/>
      <c r="AC869" s="30"/>
      <c r="AD869" s="30"/>
      <c r="AE869" s="30">
        <f>IF(AND(G869&lt;&gt;"NG w CCUS",G869&lt;&gt;"Oil w CCUS",G869&lt;&gt;"Coal w CCUS"),AB869,AD869*10^3/(HoursInYear*IF(G869="NG w CCUS",0.9105,1.9075)))</f>
        <v>0</v>
      </c>
      <c r="AF869" s="28" t="s">
        <v>3589</v>
      </c>
      <c r="AG869" s="28"/>
    </row>
    <row r="870" spans="1:33" ht="32.25" customHeight="1" x14ac:dyDescent="0.2">
      <c r="A870" s="70">
        <v>1200</v>
      </c>
      <c r="B870" s="27" t="s">
        <v>3590</v>
      </c>
      <c r="C870" s="27" t="s">
        <v>980</v>
      </c>
      <c r="D870" s="27"/>
      <c r="E870" s="27"/>
      <c r="F870" s="27" t="s">
        <v>832</v>
      </c>
      <c r="G870" s="27" t="s">
        <v>758</v>
      </c>
      <c r="H870" s="27" t="s">
        <v>1406</v>
      </c>
      <c r="I870" s="27" t="s">
        <v>768</v>
      </c>
      <c r="J870" s="27" t="s">
        <v>378</v>
      </c>
      <c r="K870" s="27" t="s">
        <v>377</v>
      </c>
      <c r="L870" s="27"/>
      <c r="M870" s="27"/>
      <c r="N870" s="27"/>
      <c r="O870" s="27"/>
      <c r="P870" s="27">
        <v>1</v>
      </c>
      <c r="Q870" s="27">
        <v>1</v>
      </c>
      <c r="R870" s="27"/>
      <c r="S870" s="27"/>
      <c r="T870" s="27"/>
      <c r="U870" s="27"/>
      <c r="V870" s="27"/>
      <c r="W870" s="27"/>
      <c r="X870" s="27"/>
      <c r="Y870" s="27"/>
      <c r="Z870" s="27" t="s">
        <v>3591</v>
      </c>
      <c r="AA870" s="29">
        <v>237</v>
      </c>
      <c r="AB870" s="30">
        <f>IF(OR(G870="ALK",G870="PEM",G870="SOEC",G870="Other Electrolysis"),
AA870/VLOOKUP(G870,ElectrolysisConvF,3,FALSE),
AC870*10^6/(H2dens*HoursInYear))</f>
        <v>52666.666666666672</v>
      </c>
      <c r="AC870" s="30">
        <f>AB870*H2dens*HoursInYear/10^6</f>
        <v>41.061040000000006</v>
      </c>
      <c r="AD870" s="30"/>
      <c r="AE870" s="30">
        <f>IF(AND(G870&lt;&gt;"NG w CCUS",G870&lt;&gt;"Oil w CCUS",G870&lt;&gt;"Coal w CCUS"),AB870,AD870*10^3/(HoursInYear*IF(G870="NG w CCUS",0.9105,1.9075)))</f>
        <v>52666.666666666672</v>
      </c>
      <c r="AF870" s="28" t="s">
        <v>3592</v>
      </c>
      <c r="AG870" s="28"/>
    </row>
    <row r="871" spans="1:33" ht="32.25" customHeight="1" x14ac:dyDescent="0.2">
      <c r="A871" s="70">
        <v>1201</v>
      </c>
      <c r="B871" s="27" t="s">
        <v>3593</v>
      </c>
      <c r="C871" s="27" t="s">
        <v>334</v>
      </c>
      <c r="D871" s="27"/>
      <c r="E871" s="27"/>
      <c r="F871" s="27" t="s">
        <v>753</v>
      </c>
      <c r="G871" s="27" t="s">
        <v>758</v>
      </c>
      <c r="H871" s="27" t="s">
        <v>1406</v>
      </c>
      <c r="I871" s="27" t="s">
        <v>768</v>
      </c>
      <c r="J871" s="27" t="s">
        <v>378</v>
      </c>
      <c r="K871" s="27" t="s">
        <v>377</v>
      </c>
      <c r="L871" s="27"/>
      <c r="M871" s="27"/>
      <c r="N871" s="27"/>
      <c r="O871" s="27"/>
      <c r="P871" s="27"/>
      <c r="Q871" s="27"/>
      <c r="R871" s="27"/>
      <c r="S871" s="27">
        <v>1</v>
      </c>
      <c r="T871" s="27"/>
      <c r="U871" s="27"/>
      <c r="V871" s="27"/>
      <c r="W871" s="27"/>
      <c r="X871" s="27"/>
      <c r="Y871" s="27"/>
      <c r="Z871" s="27" t="s">
        <v>1403</v>
      </c>
      <c r="AA871" s="29">
        <v>20</v>
      </c>
      <c r="AB871" s="30">
        <f>IF(OR(G871="ALK",G871="PEM",G871="SOEC",G871="Other Electrolysis"),
AA871/VLOOKUP(G871,ElectrolysisConvF,3,FALSE),
AC871*10^6/(H2dens*HoursInYear))</f>
        <v>4444.4444444444443</v>
      </c>
      <c r="AC871" s="30">
        <f>AB871*H2dens*HoursInYear/10^6</f>
        <v>3.4650666666666665</v>
      </c>
      <c r="AD871" s="30"/>
      <c r="AE871" s="30">
        <f>IF(AND(G871&lt;&gt;"NG w CCUS",G871&lt;&gt;"Oil w CCUS",G871&lt;&gt;"Coal w CCUS"),AB871,AD871*10^3/(HoursInYear*IF(G871="NG w CCUS",0.9105,1.9075)))</f>
        <v>4444.4444444444443</v>
      </c>
      <c r="AF871" s="28" t="s">
        <v>3594</v>
      </c>
      <c r="AG871" s="28"/>
    </row>
    <row r="872" spans="1:33" ht="32.25" customHeight="1" x14ac:dyDescent="0.2">
      <c r="A872" s="70">
        <v>1202</v>
      </c>
      <c r="B872" s="27" t="s">
        <v>3595</v>
      </c>
      <c r="C872" s="27" t="s">
        <v>980</v>
      </c>
      <c r="D872" s="27">
        <v>2023</v>
      </c>
      <c r="E872" s="27"/>
      <c r="F872" s="27" t="s">
        <v>753</v>
      </c>
      <c r="G872" s="27" t="s">
        <v>758</v>
      </c>
      <c r="H872" s="27" t="s">
        <v>1406</v>
      </c>
      <c r="I872" s="27" t="s">
        <v>768</v>
      </c>
      <c r="J872" s="27" t="s">
        <v>378</v>
      </c>
      <c r="K872" s="27" t="s">
        <v>377</v>
      </c>
      <c r="L872" s="27"/>
      <c r="M872" s="27"/>
      <c r="N872" s="27"/>
      <c r="O872" s="27"/>
      <c r="P872" s="27"/>
      <c r="Q872" s="27">
        <v>1</v>
      </c>
      <c r="R872" s="27"/>
      <c r="S872" s="27"/>
      <c r="T872" s="27"/>
      <c r="U872" s="27"/>
      <c r="V872" s="27"/>
      <c r="W872" s="27"/>
      <c r="X872" s="27"/>
      <c r="Y872" s="27"/>
      <c r="Z872" s="27"/>
      <c r="AA872" s="29"/>
      <c r="AB872" s="30"/>
      <c r="AC872" s="30"/>
      <c r="AD872" s="30"/>
      <c r="AE872" s="30">
        <f>IF(AND(G872&lt;&gt;"NG w CCUS",G872&lt;&gt;"Oil w CCUS",G872&lt;&gt;"Coal w CCUS"),AB872,AD872*10^3/(HoursInYear*IF(G872="NG w CCUS",0.9105,1.9075)))</f>
        <v>0</v>
      </c>
      <c r="AF872" s="28" t="s">
        <v>3596</v>
      </c>
      <c r="AG872" s="28"/>
    </row>
    <row r="873" spans="1:33" ht="32.25" customHeight="1" x14ac:dyDescent="0.2">
      <c r="A873" s="70">
        <v>1203</v>
      </c>
      <c r="B873" s="27" t="s">
        <v>3597</v>
      </c>
      <c r="C873" s="27" t="s">
        <v>343</v>
      </c>
      <c r="D873" s="27">
        <v>2025</v>
      </c>
      <c r="E873" s="27"/>
      <c r="F873" s="27" t="s">
        <v>832</v>
      </c>
      <c r="G873" s="27" t="s">
        <v>266</v>
      </c>
      <c r="H873" s="27"/>
      <c r="I873" s="27" t="s">
        <v>768</v>
      </c>
      <c r="J873" s="27" t="s">
        <v>863</v>
      </c>
      <c r="K873" s="27" t="s">
        <v>377</v>
      </c>
      <c r="L873" s="27"/>
      <c r="M873" s="27"/>
      <c r="N873" s="27"/>
      <c r="O873" s="27"/>
      <c r="P873" s="27">
        <v>1</v>
      </c>
      <c r="Q873" s="27">
        <v>1</v>
      </c>
      <c r="R873" s="27"/>
      <c r="S873" s="27"/>
      <c r="T873" s="27"/>
      <c r="U873" s="27"/>
      <c r="V873" s="27"/>
      <c r="W873" s="27"/>
      <c r="X873" s="27"/>
      <c r="Y873" s="27"/>
      <c r="Z873" s="27" t="s">
        <v>1403</v>
      </c>
      <c r="AA873" s="29">
        <v>20</v>
      </c>
      <c r="AB873" s="30">
        <f>IF(OR(G873="ALK",G873="PEM",G873="SOEC",G873="Other Electrolysis"),
AA873/VLOOKUP(G873,ElectrolysisConvF,3,FALSE),
AC873*10^6/(H2dens*HoursInYear))</f>
        <v>3846.1538461538462</v>
      </c>
      <c r="AC873" s="30">
        <f>AB873*H2dens*HoursInYear/10^6</f>
        <v>2.9986153846153845</v>
      </c>
      <c r="AD873" s="30"/>
      <c r="AE873" s="30">
        <f>IF(AND(G873&lt;&gt;"NG w CCUS",G873&lt;&gt;"Oil w CCUS",G873&lt;&gt;"Coal w CCUS"),AB873,AD873*10^3/(HoursInYear*IF(G873="NG w CCUS",0.9105,1.9075)))</f>
        <v>3846.1538461538462</v>
      </c>
      <c r="AF873" s="28" t="s">
        <v>3598</v>
      </c>
      <c r="AG873" s="28"/>
    </row>
    <row r="874" spans="1:33" ht="32.25" customHeight="1" x14ac:dyDescent="0.2">
      <c r="A874" s="70">
        <v>1204</v>
      </c>
      <c r="B874" s="27" t="s">
        <v>3599</v>
      </c>
      <c r="C874" s="27" t="s">
        <v>350</v>
      </c>
      <c r="D874" s="27">
        <v>2024</v>
      </c>
      <c r="E874" s="27"/>
      <c r="F874" s="27" t="s">
        <v>832</v>
      </c>
      <c r="G874" s="27" t="s">
        <v>760</v>
      </c>
      <c r="H874" s="27" t="s">
        <v>3600</v>
      </c>
      <c r="I874" s="27" t="str">
        <f>IF(AND(G874&lt;&gt;"ALK",G874&lt;&gt;"PEM",G874&lt;&gt;"SOEC",G874&lt;&gt;"Other electrolysis"),"N/A","")</f>
        <v>N/A</v>
      </c>
      <c r="J874" s="27" t="str">
        <f>IF(I874&lt;&gt;"Dedicated renewable","N/A",)</f>
        <v>N/A</v>
      </c>
      <c r="K874" s="27" t="s">
        <v>740</v>
      </c>
      <c r="L874" s="27"/>
      <c r="M874" s="27">
        <v>1</v>
      </c>
      <c r="N874" s="27"/>
      <c r="O874" s="27"/>
      <c r="P874" s="27"/>
      <c r="Q874" s="27"/>
      <c r="R874" s="27"/>
      <c r="S874" s="27"/>
      <c r="T874" s="27"/>
      <c r="U874" s="27"/>
      <c r="V874" s="27"/>
      <c r="W874" s="27"/>
      <c r="X874" s="27"/>
      <c r="Y874" s="27"/>
      <c r="Z874" s="27" t="s">
        <v>3601</v>
      </c>
      <c r="AA874" s="29" t="str">
        <f>IF(OR(G874="ALK",G874="PEM",G874="SOEC",G874="Other Electrolysis"),
AB874*VLOOKUP(G874,ElectrolysisConvF,3,FALSE),
"")</f>
        <v/>
      </c>
      <c r="AB874" s="30">
        <f>AC874/(H2dens*HoursInYear/10^6)</f>
        <v>286631.50653519836</v>
      </c>
      <c r="AC874" s="30">
        <f>3.4*365*3/17/0.98</f>
        <v>223.46938775510205</v>
      </c>
      <c r="AD874" s="30"/>
      <c r="AE874" s="30">
        <f>IF(AND(G874&lt;&gt;"NG w CCUS",G874&lt;&gt;"Oil w CCUS",G874&lt;&gt;"Coal w CCUS"),AB874,AD874*10^3/(HoursInYear*IF(G874="NG w CCUS",0.9105,1.9075)))</f>
        <v>0</v>
      </c>
      <c r="AF874" s="28" t="s">
        <v>3602</v>
      </c>
      <c r="AG874" s="28"/>
    </row>
    <row r="875" spans="1:33" ht="32.25" customHeight="1" x14ac:dyDescent="0.2">
      <c r="A875" s="70">
        <v>1205</v>
      </c>
      <c r="B875" s="27" t="s">
        <v>3603</v>
      </c>
      <c r="C875" s="27" t="s">
        <v>350</v>
      </c>
      <c r="D875" s="27">
        <v>2024</v>
      </c>
      <c r="E875" s="27"/>
      <c r="F875" s="27" t="s">
        <v>832</v>
      </c>
      <c r="G875" s="27" t="s">
        <v>760</v>
      </c>
      <c r="H875" s="27" t="s">
        <v>3600</v>
      </c>
      <c r="I875" s="27" t="str">
        <f>IF(AND(G875&lt;&gt;"ALK",G875&lt;&gt;"PEM",G875&lt;&gt;"SOEC",G875&lt;&gt;"Other electrolysis"),"N/A","")</f>
        <v>N/A</v>
      </c>
      <c r="J875" s="27" t="str">
        <f>IF(I875&lt;&gt;"Dedicated renewable","N/A",)</f>
        <v>N/A</v>
      </c>
      <c r="K875" s="27" t="s">
        <v>377</v>
      </c>
      <c r="L875" s="27"/>
      <c r="M875" s="27"/>
      <c r="N875" s="27"/>
      <c r="O875" s="27"/>
      <c r="P875" s="27"/>
      <c r="Q875" s="27"/>
      <c r="R875" s="27"/>
      <c r="S875" s="27"/>
      <c r="T875" s="27"/>
      <c r="U875" s="27"/>
      <c r="V875" s="27"/>
      <c r="W875" s="27"/>
      <c r="X875" s="27"/>
      <c r="Y875" s="27"/>
      <c r="Z875" s="27" t="s">
        <v>3604</v>
      </c>
      <c r="AA875" s="29" t="str">
        <f>IF(OR(G875="ALK",G875="PEM",G875="SOEC",G875="Other Electrolysis"),
AB875*VLOOKUP(G875,ElectrolysisConvF,3,FALSE),
"")</f>
        <v/>
      </c>
      <c r="AB875" s="30">
        <f>AC875/(H2dens*HoursInYear/10^6)</f>
        <v>280898.8764044944</v>
      </c>
      <c r="AC875" s="30">
        <f>0.6*365</f>
        <v>219</v>
      </c>
      <c r="AD875" s="30"/>
      <c r="AE875" s="30">
        <f>IF(AND(G875&lt;&gt;"NG w CCUS",G875&lt;&gt;"Oil w CCUS",G875&lt;&gt;"Coal w CCUS"),AB875,AD875*10^3/(HoursInYear*IF(G875="NG w CCUS",0.9105,1.9075)))</f>
        <v>0</v>
      </c>
      <c r="AF875" s="28" t="s">
        <v>3602</v>
      </c>
      <c r="AG875" s="28"/>
    </row>
    <row r="876" spans="1:33" ht="32.25" customHeight="1" x14ac:dyDescent="0.2">
      <c r="A876" s="70">
        <v>1215</v>
      </c>
      <c r="B876" s="27" t="s">
        <v>3605</v>
      </c>
      <c r="C876" s="27" t="s">
        <v>338</v>
      </c>
      <c r="D876" s="27"/>
      <c r="E876" s="27"/>
      <c r="F876" s="27" t="s">
        <v>753</v>
      </c>
      <c r="G876" s="27" t="s">
        <v>762</v>
      </c>
      <c r="H876" s="27" t="s">
        <v>2412</v>
      </c>
      <c r="I876" s="27" t="str">
        <f>IF(AND(G876&lt;&gt;"ALK",G876&lt;&gt;"PEM",G876&lt;&gt;"SOEC",G876&lt;&gt;"Other electrolysis"),"N/A","")</f>
        <v>N/A</v>
      </c>
      <c r="J876" s="27" t="str">
        <f>IF(I876&lt;&gt;"Dedicated renewable","N/A",)</f>
        <v>N/A</v>
      </c>
      <c r="K876" s="27" t="s">
        <v>377</v>
      </c>
      <c r="L876" s="27"/>
      <c r="M876" s="27"/>
      <c r="N876" s="27"/>
      <c r="O876" s="27"/>
      <c r="P876" s="27"/>
      <c r="Q876" s="27"/>
      <c r="R876" s="27"/>
      <c r="S876" s="27"/>
      <c r="T876" s="27"/>
      <c r="U876" s="27"/>
      <c r="V876" s="27"/>
      <c r="W876" s="27"/>
      <c r="X876" s="27"/>
      <c r="Y876" s="27"/>
      <c r="Z876" s="27" t="s">
        <v>3850</v>
      </c>
      <c r="AA876" s="29" t="str">
        <f>IF(OR(G876="ALK",G876="PEM",G876="SOEC",G876="Other Electrolysis"),
AB876*VLOOKUP(G876,ElectrolysisConvF,3,FALSE),
"")</f>
        <v/>
      </c>
      <c r="AB876" s="30">
        <f>200000000/365/24</f>
        <v>22831.050228310502</v>
      </c>
      <c r="AC876" s="30">
        <f>AB876*(H2dens*HoursInYear/10^6)</f>
        <v>17.799999999999997</v>
      </c>
      <c r="AD876" s="30"/>
      <c r="AE876" s="30">
        <f>IF(AND(G876&lt;&gt;"NG w CCUS",G876&lt;&gt;"Oil w CCUS",G876&lt;&gt;"Coal w CCUS"),AB876,AD876*10^3/(HoursInYear*IF(G876="NG w CCUS",0.9105,1.9075)))</f>
        <v>22831.050228310502</v>
      </c>
      <c r="AF876" s="28"/>
      <c r="AG876" s="28"/>
    </row>
    <row r="877" spans="1:33" ht="32.25" customHeight="1" x14ac:dyDescent="0.2">
      <c r="A877" s="70">
        <v>1216</v>
      </c>
      <c r="B877" s="27" t="s">
        <v>3606</v>
      </c>
      <c r="C877" s="27" t="s">
        <v>338</v>
      </c>
      <c r="D877" s="81"/>
      <c r="E877" s="27"/>
      <c r="F877" s="27" t="s">
        <v>832</v>
      </c>
      <c r="G877" s="27" t="s">
        <v>758</v>
      </c>
      <c r="H877" s="27" t="s">
        <v>1406</v>
      </c>
      <c r="I877" s="27" t="s">
        <v>756</v>
      </c>
      <c r="J877" s="27" t="str">
        <f>IF(I877&lt;&gt;"Dedicated renewable","N/A",)</f>
        <v>N/A</v>
      </c>
      <c r="K877" s="27" t="s">
        <v>377</v>
      </c>
      <c r="L877" s="27"/>
      <c r="M877" s="27"/>
      <c r="N877" s="27"/>
      <c r="O877" s="27"/>
      <c r="P877" s="27"/>
      <c r="Q877" s="27"/>
      <c r="R877" s="27"/>
      <c r="S877" s="27"/>
      <c r="T877" s="27"/>
      <c r="U877" s="27"/>
      <c r="V877" s="27"/>
      <c r="W877" s="27"/>
      <c r="X877" s="27"/>
      <c r="Y877" s="27"/>
      <c r="Z877" s="27" t="s">
        <v>3222</v>
      </c>
      <c r="AA877" s="80"/>
      <c r="AB877" s="30">
        <f>IF(OR(G877="ALK",G877="PEM",G877="SOEC",G877="Other Electrolysis"),
AA877/VLOOKUP(G877,ElectrolysisConvF,3,FALSE),
AC877*10^6/(H2dens*HoursInYear))</f>
        <v>0</v>
      </c>
      <c r="AC877" s="30">
        <f>AB877*H2dens*HoursInYear/10^6</f>
        <v>0</v>
      </c>
      <c r="AD877" s="30"/>
      <c r="AE877" s="30">
        <f>IF(AND(G877&lt;&gt;"NG w CCUS",G877&lt;&gt;"Oil w CCUS",G877&lt;&gt;"Coal w CCUS"),AB877,AD877*10^3/(HoursInYear*IF(G877="NG w CCUS",0.9105,1.9075)))</f>
        <v>0</v>
      </c>
      <c r="AF877" s="28"/>
      <c r="AG877" s="79" t="s">
        <v>3890</v>
      </c>
    </row>
    <row r="878" spans="1:33" ht="32.25" customHeight="1" x14ac:dyDescent="0.2">
      <c r="A878" s="70">
        <v>1217</v>
      </c>
      <c r="B878" s="27" t="s">
        <v>3607</v>
      </c>
      <c r="C878" s="27" t="s">
        <v>344</v>
      </c>
      <c r="D878" s="27">
        <v>2026</v>
      </c>
      <c r="E878" s="27"/>
      <c r="F878" s="27" t="s">
        <v>832</v>
      </c>
      <c r="G878" s="27" t="s">
        <v>758</v>
      </c>
      <c r="H878" s="27" t="s">
        <v>1406</v>
      </c>
      <c r="I878" s="27" t="s">
        <v>768</v>
      </c>
      <c r="J878" s="27" t="s">
        <v>861</v>
      </c>
      <c r="K878" s="27" t="s">
        <v>740</v>
      </c>
      <c r="L878" s="27"/>
      <c r="M878" s="27">
        <v>1</v>
      </c>
      <c r="N878" s="27"/>
      <c r="O878" s="27"/>
      <c r="P878" s="27"/>
      <c r="Q878" s="27"/>
      <c r="R878" s="27"/>
      <c r="S878" s="27"/>
      <c r="T878" s="27"/>
      <c r="U878" s="27"/>
      <c r="V878" s="27"/>
      <c r="W878" s="27"/>
      <c r="X878" s="27"/>
      <c r="Y878" s="27"/>
      <c r="Z878" s="27" t="s">
        <v>3608</v>
      </c>
      <c r="AA878" s="29">
        <f>IF(OR(G878="ALK",G878="PEM",G878="SOEC",G878="Other Electrolysis"),
AB878*VLOOKUP(G878,ElectrolysisConvF,3,FALSE),
"")</f>
        <v>166.29708678915614</v>
      </c>
      <c r="AB878" s="30">
        <f>AC878/(H2dens*HoursInYear/10^6)</f>
        <v>36954.908175368037</v>
      </c>
      <c r="AC878" s="30">
        <f>(200-40)*3/17/0.98</f>
        <v>28.811524609843936</v>
      </c>
      <c r="AD878" s="30"/>
      <c r="AE878" s="30">
        <f>IF(AND(G878&lt;&gt;"NG w CCUS",G878&lt;&gt;"Oil w CCUS",G878&lt;&gt;"Coal w CCUS"),AB878,AD878*10^3/(HoursInYear*IF(G878="NG w CCUS",0.9105,1.9075)))</f>
        <v>36954.908175368037</v>
      </c>
      <c r="AF878" s="28" t="s">
        <v>3214</v>
      </c>
      <c r="AG878" s="28"/>
    </row>
    <row r="879" spans="1:33" ht="32.25" customHeight="1" x14ac:dyDescent="0.2">
      <c r="A879" s="70">
        <v>1218</v>
      </c>
      <c r="B879" s="27" t="s">
        <v>3609</v>
      </c>
      <c r="C879" s="27" t="s">
        <v>331</v>
      </c>
      <c r="D879" s="27">
        <v>2021</v>
      </c>
      <c r="E879" s="27"/>
      <c r="F879" s="27" t="s">
        <v>836</v>
      </c>
      <c r="G879" s="27" t="s">
        <v>762</v>
      </c>
      <c r="H879" s="27" t="s">
        <v>3051</v>
      </c>
      <c r="I879" s="27" t="str">
        <f>IF(AND(G879&lt;&gt;"ALK",G879&lt;&gt;"PEM",G879&lt;&gt;"SOEC",G879&lt;&gt;"Other electrolysis"),"N/A","")</f>
        <v>N/A</v>
      </c>
      <c r="J879" s="27" t="str">
        <f>IF(I879&lt;&gt;"Dedicated renewable","N/A",)</f>
        <v>N/A</v>
      </c>
      <c r="K879" s="27" t="s">
        <v>377</v>
      </c>
      <c r="L879" s="27"/>
      <c r="M879" s="27"/>
      <c r="N879" s="27"/>
      <c r="O879" s="27"/>
      <c r="P879" s="27"/>
      <c r="Q879" s="27">
        <v>1</v>
      </c>
      <c r="R879" s="27"/>
      <c r="S879" s="27"/>
      <c r="T879" s="27"/>
      <c r="U879" s="27"/>
      <c r="V879" s="27"/>
      <c r="W879" s="27"/>
      <c r="X879" s="27"/>
      <c r="Y879" s="27"/>
      <c r="Z879" s="27"/>
      <c r="AA879" s="29"/>
      <c r="AB879" s="30"/>
      <c r="AC879" s="30"/>
      <c r="AD879" s="30"/>
      <c r="AE879" s="30">
        <f>IF(AND(G879&lt;&gt;"NG w CCUS",G879&lt;&gt;"Oil w CCUS",G879&lt;&gt;"Coal w CCUS"),AB879,AD879*10^3/(HoursInYear*IF(G879="NG w CCUS",0.9105,1.9075)))</f>
        <v>0</v>
      </c>
      <c r="AF879" s="28" t="s">
        <v>3610</v>
      </c>
      <c r="AG879" s="28"/>
    </row>
    <row r="880" spans="1:33" ht="32.25" customHeight="1" x14ac:dyDescent="0.2">
      <c r="A880" s="70">
        <v>1219</v>
      </c>
      <c r="B880" s="27" t="s">
        <v>3611</v>
      </c>
      <c r="C880" s="27" t="s">
        <v>603</v>
      </c>
      <c r="D880" s="27"/>
      <c r="E880" s="27"/>
      <c r="F880" s="27" t="s">
        <v>832</v>
      </c>
      <c r="G880" s="27" t="s">
        <v>758</v>
      </c>
      <c r="H880" s="27" t="s">
        <v>1406</v>
      </c>
      <c r="I880" s="27" t="s">
        <v>768</v>
      </c>
      <c r="J880" s="27" t="s">
        <v>861</v>
      </c>
      <c r="K880" s="27" t="s">
        <v>377</v>
      </c>
      <c r="L880" s="27"/>
      <c r="M880" s="27"/>
      <c r="N880" s="27"/>
      <c r="O880" s="27"/>
      <c r="P880" s="27"/>
      <c r="Q880" s="27"/>
      <c r="R880" s="27"/>
      <c r="S880" s="27"/>
      <c r="T880" s="27"/>
      <c r="U880" s="27"/>
      <c r="V880" s="27"/>
      <c r="W880" s="27"/>
      <c r="X880" s="27"/>
      <c r="Y880" s="27"/>
      <c r="Z880" s="27"/>
      <c r="AA880" s="29"/>
      <c r="AB880" s="30"/>
      <c r="AC880" s="30"/>
      <c r="AD880" s="30"/>
      <c r="AE880" s="30">
        <f>IF(AND(G880&lt;&gt;"NG w CCUS",G880&lt;&gt;"Oil w CCUS",G880&lt;&gt;"Coal w CCUS"),AB880,AD880*10^3/(HoursInYear*IF(G880="NG w CCUS",0.9105,1.9075)))</f>
        <v>0</v>
      </c>
      <c r="AF880" s="28" t="s">
        <v>3612</v>
      </c>
      <c r="AG880" s="28"/>
    </row>
    <row r="881" spans="1:33" ht="32.25" customHeight="1" x14ac:dyDescent="0.2">
      <c r="A881" s="70">
        <v>1220</v>
      </c>
      <c r="B881" s="27" t="s">
        <v>3613</v>
      </c>
      <c r="C881" s="27" t="s">
        <v>804</v>
      </c>
      <c r="D881" s="27"/>
      <c r="E881" s="27"/>
      <c r="F881" s="27" t="s">
        <v>832</v>
      </c>
      <c r="G881" s="27" t="s">
        <v>758</v>
      </c>
      <c r="H881" s="27" t="s">
        <v>1406</v>
      </c>
      <c r="I881" s="27" t="s">
        <v>768</v>
      </c>
      <c r="J881" s="27" t="s">
        <v>864</v>
      </c>
      <c r="K881" s="27" t="s">
        <v>377</v>
      </c>
      <c r="L881" s="27"/>
      <c r="M881" s="27"/>
      <c r="N881" s="27"/>
      <c r="O881" s="27"/>
      <c r="P881" s="27"/>
      <c r="Q881" s="27"/>
      <c r="R881" s="27"/>
      <c r="S881" s="27"/>
      <c r="T881" s="27"/>
      <c r="U881" s="27"/>
      <c r="V881" s="27"/>
      <c r="W881" s="27"/>
      <c r="X881" s="27"/>
      <c r="Y881" s="27"/>
      <c r="Z881" s="27" t="s">
        <v>1403</v>
      </c>
      <c r="AA881" s="29">
        <v>20</v>
      </c>
      <c r="AB881" s="30">
        <f>IF(OR(G881="ALK",G881="PEM",G881="SOEC",G881="Other Electrolysis"),
AA881/VLOOKUP(G881,ElectrolysisConvF,3,FALSE),
AC881*10^6/(H2dens*HoursInYear))</f>
        <v>4444.4444444444443</v>
      </c>
      <c r="AC881" s="30">
        <f>AB881*H2dens*HoursInYear/10^6</f>
        <v>3.4650666666666665</v>
      </c>
      <c r="AD881" s="30"/>
      <c r="AE881" s="30">
        <f>AB881</f>
        <v>4444.4444444444443</v>
      </c>
      <c r="AF881" s="28" t="s">
        <v>3614</v>
      </c>
      <c r="AG881" s="28"/>
    </row>
    <row r="882" spans="1:33" ht="32.25" customHeight="1" x14ac:dyDescent="0.2">
      <c r="A882" s="70">
        <v>1221</v>
      </c>
      <c r="B882" s="27" t="s">
        <v>3615</v>
      </c>
      <c r="C882" s="27" t="s">
        <v>804</v>
      </c>
      <c r="D882" s="27"/>
      <c r="E882" s="27"/>
      <c r="F882" s="27" t="s">
        <v>832</v>
      </c>
      <c r="G882" s="27" t="s">
        <v>758</v>
      </c>
      <c r="H882" s="27" t="s">
        <v>1406</v>
      </c>
      <c r="I882" s="27" t="s">
        <v>768</v>
      </c>
      <c r="J882" s="27" t="s">
        <v>378</v>
      </c>
      <c r="K882" s="27" t="s">
        <v>377</v>
      </c>
      <c r="L882" s="27">
        <v>1</v>
      </c>
      <c r="M882" s="27"/>
      <c r="N882" s="27"/>
      <c r="O882" s="27"/>
      <c r="P882" s="27"/>
      <c r="Q882" s="27"/>
      <c r="R882" s="27"/>
      <c r="S882" s="27"/>
      <c r="T882" s="27"/>
      <c r="U882" s="27"/>
      <c r="V882" s="27"/>
      <c r="W882" s="27"/>
      <c r="X882" s="27"/>
      <c r="Y882" s="27"/>
      <c r="Z882" s="27"/>
      <c r="AA882" s="29"/>
      <c r="AB882" s="30"/>
      <c r="AC882" s="30"/>
      <c r="AD882" s="30"/>
      <c r="AE882" s="30">
        <f>IF(AND(G882&lt;&gt;"NG w CCUS",G882&lt;&gt;"Oil w CCUS",G882&lt;&gt;"Coal w CCUS"),AB882,AD882*10^3/(HoursInYear*IF(G882="NG w CCUS",0.9105,1.9075)))</f>
        <v>0</v>
      </c>
      <c r="AF882" s="28" t="s">
        <v>3614</v>
      </c>
      <c r="AG882" s="28"/>
    </row>
    <row r="883" spans="1:33" ht="32.25" customHeight="1" x14ac:dyDescent="0.2">
      <c r="A883" s="70">
        <v>1222</v>
      </c>
      <c r="B883" s="27" t="s">
        <v>3616</v>
      </c>
      <c r="C883" s="27" t="s">
        <v>337</v>
      </c>
      <c r="D883" s="27">
        <v>1982</v>
      </c>
      <c r="E883" s="27"/>
      <c r="F883" s="27" t="s">
        <v>836</v>
      </c>
      <c r="G883" s="27" t="s">
        <v>760</v>
      </c>
      <c r="H883" s="27"/>
      <c r="I883" s="27" t="str">
        <f>IF(AND(G883&lt;&gt;"ALK",G883&lt;&gt;"PEM",G883&lt;&gt;"SOEC",G883&lt;&gt;"Other electrolysis"),"N/A","")</f>
        <v>N/A</v>
      </c>
      <c r="J883" s="27" t="str">
        <f>IF(I883&lt;&gt;"Dedicated renewable","N/A",)</f>
        <v>N/A</v>
      </c>
      <c r="K883" s="27" t="s">
        <v>740</v>
      </c>
      <c r="L883" s="27"/>
      <c r="M883" s="27">
        <v>1</v>
      </c>
      <c r="N883" s="27"/>
      <c r="O883" s="27"/>
      <c r="P883" s="27"/>
      <c r="Q883" s="27"/>
      <c r="R883" s="27"/>
      <c r="S883" s="27"/>
      <c r="T883" s="27"/>
      <c r="U883" s="27"/>
      <c r="V883" s="27"/>
      <c r="W883" s="27"/>
      <c r="X883" s="27"/>
      <c r="Y883" s="27"/>
      <c r="Z883" s="27" t="s">
        <v>3617</v>
      </c>
      <c r="AA883" s="29" t="str">
        <f>IF(OR(G883="ALK",G883="PEM",G883="SOEC",G883="Other Electrolysis"),
AB883*VLOOKUP(G883,ElectrolysisConvF,3,FALSE),
"")</f>
        <v/>
      </c>
      <c r="AB883" s="30"/>
      <c r="AC883" s="30"/>
      <c r="AD883" s="30">
        <v>700000</v>
      </c>
      <c r="AE883" s="30">
        <f>IF(AND(G883&lt;&gt;"NG w CCUS",G883&lt;&gt;"Oil w CCUS",G883&lt;&gt;"Coal w CCUS"),AB883,AD883*10^3/(HoursInYear*IF(G883="NG w CCUS",0.9105,1.9075)))</f>
        <v>87763.509938590621</v>
      </c>
      <c r="AF883" s="28" t="s">
        <v>3618</v>
      </c>
      <c r="AG883" s="28"/>
    </row>
    <row r="884" spans="1:33" ht="32.25" customHeight="1" x14ac:dyDescent="0.2">
      <c r="A884" s="70">
        <v>1223</v>
      </c>
      <c r="B884" s="27" t="s">
        <v>3619</v>
      </c>
      <c r="C884" s="27" t="s">
        <v>972</v>
      </c>
      <c r="D884" s="27"/>
      <c r="E884" s="27"/>
      <c r="F884" s="27" t="s">
        <v>832</v>
      </c>
      <c r="G884" s="27" t="s">
        <v>760</v>
      </c>
      <c r="H884" s="27"/>
      <c r="I884" s="27" t="str">
        <f>IF(AND(G884&lt;&gt;"ALK",G884&lt;&gt;"PEM",G884&lt;&gt;"SOEC",G884&lt;&gt;"Other electrolysis"),"N/A","")</f>
        <v>N/A</v>
      </c>
      <c r="J884" s="27" t="str">
        <f>IF(I884&lt;&gt;"Dedicated renewable","N/A",)</f>
        <v>N/A</v>
      </c>
      <c r="K884" s="27" t="s">
        <v>377</v>
      </c>
      <c r="L884" s="27">
        <v>1</v>
      </c>
      <c r="M884" s="27"/>
      <c r="N884" s="27"/>
      <c r="O884" s="27"/>
      <c r="P884" s="27"/>
      <c r="Q884" s="27"/>
      <c r="R884" s="27"/>
      <c r="S884" s="27"/>
      <c r="T884" s="27"/>
      <c r="U884" s="27"/>
      <c r="V884" s="27"/>
      <c r="W884" s="27"/>
      <c r="X884" s="27"/>
      <c r="Y884" s="27"/>
      <c r="Z884" s="27" t="s">
        <v>3620</v>
      </c>
      <c r="AA884" s="29" t="str">
        <f>IF(OR(G884="ALK",G884="PEM",G884="SOEC",G884="Other Electrolysis"),
AB884*VLOOKUP(G884,ElectrolysisConvF,3,FALSE),
"")</f>
        <v/>
      </c>
      <c r="AB884" s="30"/>
      <c r="AC884" s="30"/>
      <c r="AD884" s="30">
        <v>2500000</v>
      </c>
      <c r="AE884" s="30">
        <f>IF(AND(G884&lt;&gt;"NG w CCUS",G884&lt;&gt;"Oil w CCUS",G884&lt;&gt;"Coal w CCUS"),AB884,AD884*10^3/(HoursInYear*IF(G884="NG w CCUS",0.9105,1.9075)))</f>
        <v>313441.10692353791</v>
      </c>
      <c r="AF884" s="28" t="s">
        <v>3621</v>
      </c>
      <c r="AG884" s="28"/>
    </row>
    <row r="885" spans="1:33" ht="32.25" customHeight="1" x14ac:dyDescent="0.2">
      <c r="A885" s="70">
        <v>1224</v>
      </c>
      <c r="B885" s="27" t="s">
        <v>3622</v>
      </c>
      <c r="C885" s="27" t="s">
        <v>355</v>
      </c>
      <c r="D885" s="27"/>
      <c r="E885" s="27"/>
      <c r="F885" s="27" t="s">
        <v>832</v>
      </c>
      <c r="G885" s="27" t="s">
        <v>760</v>
      </c>
      <c r="H885" s="27" t="s">
        <v>1437</v>
      </c>
      <c r="I885" s="27" t="str">
        <f>IF(AND(G885&lt;&gt;"ALK",G885&lt;&gt;"PEM",G885&lt;&gt;"SOEC",G885&lt;&gt;"Other electrolysis"),"N/A","")</f>
        <v>N/A</v>
      </c>
      <c r="J885" s="27" t="str">
        <f>IF(I885&lt;&gt;"Dedicated renewable","N/A",)</f>
        <v>N/A</v>
      </c>
      <c r="K885" s="27" t="s">
        <v>377</v>
      </c>
      <c r="L885" s="27"/>
      <c r="M885" s="27"/>
      <c r="N885" s="27"/>
      <c r="O885" s="27"/>
      <c r="P885" s="27"/>
      <c r="Q885" s="27"/>
      <c r="R885" s="27"/>
      <c r="S885" s="27"/>
      <c r="T885" s="27"/>
      <c r="U885" s="27"/>
      <c r="V885" s="27"/>
      <c r="W885" s="27"/>
      <c r="X885" s="27"/>
      <c r="Y885" s="27"/>
      <c r="Z885" s="27" t="s">
        <v>3620</v>
      </c>
      <c r="AA885" s="29" t="str">
        <f>IF(OR(G885="ALK",G885="PEM",G885="SOEC",G885="Other Electrolysis"),
AB885*VLOOKUP(G885,ElectrolysisConvF,3,FALSE),
"")</f>
        <v/>
      </c>
      <c r="AB885" s="30"/>
      <c r="AC885" s="30"/>
      <c r="AD885" s="30">
        <v>2500000</v>
      </c>
      <c r="AE885" s="30">
        <f>IF(AND(G885&lt;&gt;"NG w CCUS",G885&lt;&gt;"Oil w CCUS",G885&lt;&gt;"Coal w CCUS"),AB885,AD885*10^3/(HoursInYear*IF(G885="NG w CCUS",0.9105,1.9075)))</f>
        <v>313441.10692353791</v>
      </c>
      <c r="AF885" s="28" t="s">
        <v>3623</v>
      </c>
      <c r="AG885" s="28"/>
    </row>
    <row r="886" spans="1:33" ht="32.25" customHeight="1" x14ac:dyDescent="0.2">
      <c r="A886" s="70">
        <v>1225</v>
      </c>
      <c r="B886" s="27" t="s">
        <v>3624</v>
      </c>
      <c r="C886" s="27" t="s">
        <v>331</v>
      </c>
      <c r="D886" s="27">
        <v>2030</v>
      </c>
      <c r="E886" s="27"/>
      <c r="F886" s="27" t="s">
        <v>1336</v>
      </c>
      <c r="G886" s="27" t="s">
        <v>760</v>
      </c>
      <c r="H886" s="27"/>
      <c r="I886" s="27" t="str">
        <f>IF(AND(G886&lt;&gt;"ALK",G886&lt;&gt;"PEM",G886&lt;&gt;"SOEC",G886&lt;&gt;"Other electrolysis"),"N/A","")</f>
        <v>N/A</v>
      </c>
      <c r="J886" s="27" t="str">
        <f>IF(I886&lt;&gt;"Dedicated renewable","N/A",)</f>
        <v>N/A</v>
      </c>
      <c r="K886" s="27" t="s">
        <v>377</v>
      </c>
      <c r="L886" s="27"/>
      <c r="M886" s="27"/>
      <c r="N886" s="27"/>
      <c r="O886" s="27">
        <v>1</v>
      </c>
      <c r="P886" s="27"/>
      <c r="Q886" s="27"/>
      <c r="R886" s="27"/>
      <c r="S886" s="27"/>
      <c r="T886" s="27"/>
      <c r="U886" s="27"/>
      <c r="V886" s="27"/>
      <c r="W886" s="27"/>
      <c r="X886" s="27"/>
      <c r="Y886" s="27"/>
      <c r="Z886" s="27" t="s">
        <v>3625</v>
      </c>
      <c r="AA886" s="29" t="str">
        <f>IF(OR(G886="ALK",G886="PEM",G886="SOEC",G886="Other Electrolysis"),
AB886*VLOOKUP(G886,ElectrolysisConvF,3,FALSE),
"")</f>
        <v/>
      </c>
      <c r="AB886" s="30"/>
      <c r="AC886" s="30"/>
      <c r="AD886" s="30">
        <v>2850000</v>
      </c>
      <c r="AE886" s="30">
        <f>IF(AND(G886&lt;&gt;"NG w CCUS",G886&lt;&gt;"Oil w CCUS",G886&lt;&gt;"Coal w CCUS"),AB886,AD886*10^3/(HoursInYear*IF(G886="NG w CCUS",0.9105,1.9075)))</f>
        <v>357322.86189283326</v>
      </c>
      <c r="AF886" s="28" t="s">
        <v>3626</v>
      </c>
      <c r="AG886" s="28"/>
    </row>
    <row r="887" spans="1:33" ht="32.25" customHeight="1" x14ac:dyDescent="0.2">
      <c r="A887" s="70">
        <v>1226</v>
      </c>
      <c r="B887" s="27" t="s">
        <v>3627</v>
      </c>
      <c r="C887" s="27" t="s">
        <v>343</v>
      </c>
      <c r="D887" s="27"/>
      <c r="E887" s="27"/>
      <c r="F887" s="27" t="s">
        <v>832</v>
      </c>
      <c r="G887" s="27" t="s">
        <v>760</v>
      </c>
      <c r="H887" s="27"/>
      <c r="I887" s="27" t="str">
        <f>IF(AND(G887&lt;&gt;"ALK",G887&lt;&gt;"PEM",G887&lt;&gt;"SOEC",G887&lt;&gt;"Other electrolysis"),"N/A","")</f>
        <v>N/A</v>
      </c>
      <c r="J887" s="27" t="str">
        <f>IF(I887&lt;&gt;"Dedicated renewable","N/A",)</f>
        <v>N/A</v>
      </c>
      <c r="K887" s="27" t="s">
        <v>740</v>
      </c>
      <c r="L887" s="27"/>
      <c r="M887" s="27">
        <v>1</v>
      </c>
      <c r="N887" s="27"/>
      <c r="O887" s="27"/>
      <c r="P887" s="27"/>
      <c r="Q887" s="27"/>
      <c r="R887" s="27"/>
      <c r="S887" s="27"/>
      <c r="T887" s="27"/>
      <c r="U887" s="27"/>
      <c r="V887" s="27"/>
      <c r="W887" s="27"/>
      <c r="X887" s="27"/>
      <c r="Y887" s="27"/>
      <c r="Z887" s="27" t="s">
        <v>3628</v>
      </c>
      <c r="AA887" s="29" t="str">
        <f>IF(OR(G887="ALK",G887="PEM",G887="SOEC",G887="Other Electrolysis"),
AB887*VLOOKUP(G887,ElectrolysisConvF,3,FALSE),
"")</f>
        <v/>
      </c>
      <c r="AB887" s="30"/>
      <c r="AC887" s="30"/>
      <c r="AD887" s="30">
        <v>330000</v>
      </c>
      <c r="AE887" s="30">
        <f>IF(AND(G887&lt;&gt;"NG w CCUS",G887&lt;&gt;"Oil w CCUS",G887&lt;&gt;"Coal w CCUS"),AB887,AD887*10^3/(HoursInYear*IF(G887="NG w CCUS",0.9105,1.9075)))</f>
        <v>41374.226113907011</v>
      </c>
      <c r="AF887" s="28" t="s">
        <v>3629</v>
      </c>
      <c r="AG887" s="28"/>
    </row>
    <row r="888" spans="1:33" ht="32.25" customHeight="1" x14ac:dyDescent="0.2">
      <c r="A888" s="70">
        <v>1227</v>
      </c>
      <c r="B888" s="27" t="s">
        <v>3630</v>
      </c>
      <c r="C888" s="27" t="s">
        <v>338</v>
      </c>
      <c r="D888" s="27">
        <v>2015</v>
      </c>
      <c r="E888" s="27"/>
      <c r="F888" s="27" t="s">
        <v>836</v>
      </c>
      <c r="G888" s="27" t="s">
        <v>759</v>
      </c>
      <c r="H888" s="27"/>
      <c r="I888" s="27" t="str">
        <f>IF(AND(G888&lt;&gt;"ALK",G888&lt;&gt;"PEM",G888&lt;&gt;"SOEC",G888&lt;&gt;"Other electrolysis"),"N/A","")</f>
        <v>N/A</v>
      </c>
      <c r="J888" s="27" t="str">
        <f>IF(I888&lt;&gt;"Dedicated renewable","N/A",)</f>
        <v>N/A</v>
      </c>
      <c r="K888" s="27" t="s">
        <v>740</v>
      </c>
      <c r="L888" s="27"/>
      <c r="M888" s="27">
        <v>1</v>
      </c>
      <c r="N888" s="27"/>
      <c r="O888" s="27"/>
      <c r="P888" s="27"/>
      <c r="Q888" s="27"/>
      <c r="R888" s="27"/>
      <c r="S888" s="27"/>
      <c r="T888" s="27"/>
      <c r="U888" s="27"/>
      <c r="V888" s="27"/>
      <c r="W888" s="27"/>
      <c r="X888" s="27"/>
      <c r="Y888" s="27"/>
      <c r="Z888" s="27" t="s">
        <v>2208</v>
      </c>
      <c r="AA888" s="29" t="str">
        <f>IF(OR(G888="ALK",G888="PEM",G888="SOEC",G888="Other Electrolysis"),
AB888*VLOOKUP(G888,ElectrolysisConvF,3,FALSE),
"")</f>
        <v/>
      </c>
      <c r="AB888" s="30"/>
      <c r="AC888" s="30"/>
      <c r="AD888" s="30">
        <v>100000</v>
      </c>
      <c r="AE888" s="30">
        <f>IF(AND(G888&lt;&gt;"NG w CCUS",G888&lt;&gt;"Oil w CCUS",G888&lt;&gt;"Coal w CCUS"),AB888,AD888*10^3/(HoursInYear*IF(G888="NG w CCUS",0.9105,1.9075)))</f>
        <v>5984.5478973290956</v>
      </c>
      <c r="AF888" s="28"/>
      <c r="AG888" s="28"/>
    </row>
    <row r="889" spans="1:33" ht="32.25" customHeight="1" x14ac:dyDescent="0.2">
      <c r="A889" s="70">
        <v>1228</v>
      </c>
      <c r="B889" s="27" t="s">
        <v>3631</v>
      </c>
      <c r="C889" s="27" t="s">
        <v>338</v>
      </c>
      <c r="D889" s="27">
        <v>2015</v>
      </c>
      <c r="E889" s="27"/>
      <c r="F889" s="27" t="s">
        <v>836</v>
      </c>
      <c r="G889" s="27" t="s">
        <v>759</v>
      </c>
      <c r="H889" s="27"/>
      <c r="I889" s="27" t="str">
        <f>IF(AND(G889&lt;&gt;"ALK",G889&lt;&gt;"PEM",G889&lt;&gt;"SOEC",G889&lt;&gt;"Other electrolysis"),"N/A","")</f>
        <v>N/A</v>
      </c>
      <c r="J889" s="27" t="str">
        <f>IF(I889&lt;&gt;"Dedicated renewable","N/A",)</f>
        <v>N/A</v>
      </c>
      <c r="K889" s="27" t="s">
        <v>739</v>
      </c>
      <c r="L889" s="27"/>
      <c r="M889" s="27"/>
      <c r="N889" s="27">
        <v>1</v>
      </c>
      <c r="O889" s="27"/>
      <c r="P889" s="27"/>
      <c r="Q889" s="27"/>
      <c r="R889" s="27"/>
      <c r="S889" s="27"/>
      <c r="T889" s="27"/>
      <c r="U889" s="27"/>
      <c r="V889" s="27"/>
      <c r="W889" s="27"/>
      <c r="X889" s="27"/>
      <c r="Y889" s="27"/>
      <c r="Z889" s="27" t="s">
        <v>3632</v>
      </c>
      <c r="AA889" s="29" t="str">
        <f>IF(OR(G889="ALK",G889="PEM",G889="SOEC",G889="Other Electrolysis"),
AB889*VLOOKUP(G889,ElectrolysisConvF,3,FALSE),
"")</f>
        <v/>
      </c>
      <c r="AB889" s="30"/>
      <c r="AC889" s="30"/>
      <c r="AD889" s="30">
        <v>50000</v>
      </c>
      <c r="AE889" s="30">
        <f>IF(AND(G889&lt;&gt;"NG w CCUS",G889&lt;&gt;"Oil w CCUS",G889&lt;&gt;"Coal w CCUS"),AB889,AD889*10^3/(HoursInYear*IF(G889="NG w CCUS",0.9105,1.9075)))</f>
        <v>2992.2739486645478</v>
      </c>
      <c r="AF889" s="28"/>
      <c r="AG889" s="28"/>
    </row>
    <row r="890" spans="1:33" ht="32.25" customHeight="1" x14ac:dyDescent="0.2">
      <c r="A890" s="70">
        <v>1229</v>
      </c>
      <c r="B890" s="27" t="s">
        <v>3633</v>
      </c>
      <c r="C890" s="27" t="s">
        <v>610</v>
      </c>
      <c r="D890" s="27">
        <v>2030</v>
      </c>
      <c r="E890" s="27"/>
      <c r="F890" s="27" t="s">
        <v>1336</v>
      </c>
      <c r="G890" s="27" t="s">
        <v>758</v>
      </c>
      <c r="H890" s="27" t="s">
        <v>1406</v>
      </c>
      <c r="I890" s="27" t="s">
        <v>768</v>
      </c>
      <c r="J890" s="27" t="s">
        <v>863</v>
      </c>
      <c r="K890" s="27" t="s">
        <v>377</v>
      </c>
      <c r="L890" s="27"/>
      <c r="M890" s="27"/>
      <c r="N890" s="27"/>
      <c r="O890" s="27"/>
      <c r="P890" s="27"/>
      <c r="Q890" s="27"/>
      <c r="R890" s="27"/>
      <c r="S890" s="27"/>
      <c r="T890" s="27"/>
      <c r="U890" s="27"/>
      <c r="V890" s="27"/>
      <c r="W890" s="27"/>
      <c r="X890" s="27"/>
      <c r="Y890" s="27"/>
      <c r="Z890" s="27" t="s">
        <v>3634</v>
      </c>
      <c r="AA890" s="30"/>
      <c r="AB890" s="30"/>
      <c r="AC890" s="30"/>
      <c r="AD890" s="30"/>
      <c r="AE890" s="30">
        <f>IF(AND(G890&lt;&gt;"NG w CCUS",G890&lt;&gt;"Oil w CCUS",G890&lt;&gt;"Coal w CCUS"),AB890,AD890*10^3/(HoursInYear*IF(G890="NG w CCUS",0.9105,1.9075)))</f>
        <v>0</v>
      </c>
      <c r="AF890" s="28" t="s">
        <v>3635</v>
      </c>
      <c r="AG890" s="28"/>
    </row>
    <row r="891" spans="1:33" ht="32.25" customHeight="1" x14ac:dyDescent="0.2">
      <c r="A891" s="70">
        <v>1230</v>
      </c>
      <c r="B891" s="27" t="s">
        <v>3636</v>
      </c>
      <c r="C891" s="27" t="s">
        <v>610</v>
      </c>
      <c r="D891" s="27">
        <v>2023</v>
      </c>
      <c r="E891" s="27"/>
      <c r="F891" s="27" t="s">
        <v>1336</v>
      </c>
      <c r="G891" s="27" t="s">
        <v>758</v>
      </c>
      <c r="H891" s="27" t="s">
        <v>1406</v>
      </c>
      <c r="I891" s="27" t="s">
        <v>768</v>
      </c>
      <c r="J891" s="27" t="s">
        <v>863</v>
      </c>
      <c r="K891" s="27" t="s">
        <v>377</v>
      </c>
      <c r="L891" s="27"/>
      <c r="M891" s="27"/>
      <c r="N891" s="27"/>
      <c r="O891" s="27"/>
      <c r="P891" s="27"/>
      <c r="Q891" s="27"/>
      <c r="R891" s="27"/>
      <c r="S891" s="27"/>
      <c r="T891" s="27"/>
      <c r="U891" s="27"/>
      <c r="V891" s="27"/>
      <c r="W891" s="27"/>
      <c r="X891" s="27"/>
      <c r="Y891" s="27"/>
      <c r="Z891" s="27" t="s">
        <v>3637</v>
      </c>
      <c r="AA891" s="30"/>
      <c r="AB891" s="30"/>
      <c r="AC891" s="30"/>
      <c r="AD891" s="30"/>
      <c r="AE891" s="30">
        <f>IF(AND(G891&lt;&gt;"NG w CCUS",G891&lt;&gt;"Oil w CCUS",G891&lt;&gt;"Coal w CCUS"),AB891,AD891*10^3/(HoursInYear*IF(G891="NG w CCUS",0.9105,1.9075)))</f>
        <v>0</v>
      </c>
      <c r="AF891" s="28" t="s">
        <v>3635</v>
      </c>
      <c r="AG891" s="28"/>
    </row>
    <row r="892" spans="1:33" ht="32.25" customHeight="1" x14ac:dyDescent="0.2">
      <c r="A892" s="70">
        <v>1231</v>
      </c>
      <c r="B892" s="27" t="s">
        <v>3638</v>
      </c>
      <c r="C892" s="27" t="s">
        <v>565</v>
      </c>
      <c r="D892" s="27"/>
      <c r="E892" s="27"/>
      <c r="F892" s="27" t="s">
        <v>916</v>
      </c>
      <c r="G892" s="27" t="s">
        <v>758</v>
      </c>
      <c r="H892" s="27" t="s">
        <v>1406</v>
      </c>
      <c r="I892" s="27" t="s">
        <v>927</v>
      </c>
      <c r="J892" s="27" t="str">
        <f>IF(I892&lt;&gt;"Dedicated renewable","N/A",)</f>
        <v>N/A</v>
      </c>
      <c r="K892" s="27" t="s">
        <v>377</v>
      </c>
      <c r="L892" s="27"/>
      <c r="M892" s="27"/>
      <c r="N892" s="27"/>
      <c r="O892" s="27"/>
      <c r="P892" s="27"/>
      <c r="Q892" s="27"/>
      <c r="R892" s="27"/>
      <c r="S892" s="27"/>
      <c r="T892" s="27"/>
      <c r="U892" s="27"/>
      <c r="V892" s="27"/>
      <c r="W892" s="27"/>
      <c r="X892" s="27"/>
      <c r="Y892" s="27"/>
      <c r="Z892" s="27"/>
      <c r="AA892" s="29"/>
      <c r="AB892" s="30"/>
      <c r="AC892" s="30"/>
      <c r="AD892" s="30"/>
      <c r="AE892" s="30">
        <f>IF(AND(G892&lt;&gt;"NG w CCUS",G892&lt;&gt;"Oil w CCUS",G892&lt;&gt;"Coal w CCUS"),AB892,AD892*10^3/(HoursInYear*IF(G892="NG w CCUS",0.9105,1.9075)))</f>
        <v>0</v>
      </c>
      <c r="AF892" s="28" t="s">
        <v>3639</v>
      </c>
      <c r="AG892" s="28"/>
    </row>
    <row r="893" spans="1:33" ht="32.25" customHeight="1" x14ac:dyDescent="0.2">
      <c r="A893" s="70">
        <v>1232</v>
      </c>
      <c r="B893" s="27" t="s">
        <v>3640</v>
      </c>
      <c r="C893" s="27" t="s">
        <v>972</v>
      </c>
      <c r="D893" s="27"/>
      <c r="E893" s="27"/>
      <c r="F893" s="27" t="s">
        <v>916</v>
      </c>
      <c r="G893" s="27" t="s">
        <v>758</v>
      </c>
      <c r="H893" s="27" t="s">
        <v>1406</v>
      </c>
      <c r="I893" s="27" t="s">
        <v>768</v>
      </c>
      <c r="J893" s="27" t="s">
        <v>378</v>
      </c>
      <c r="K893" s="27" t="s">
        <v>377</v>
      </c>
      <c r="L893" s="27"/>
      <c r="M893" s="27"/>
      <c r="N893" s="27"/>
      <c r="O893" s="27"/>
      <c r="P893" s="27"/>
      <c r="Q893" s="27"/>
      <c r="R893" s="27"/>
      <c r="S893" s="27"/>
      <c r="T893" s="27"/>
      <c r="U893" s="27"/>
      <c r="V893" s="27"/>
      <c r="W893" s="27"/>
      <c r="X893" s="27"/>
      <c r="Y893" s="27"/>
      <c r="Z893" s="27"/>
      <c r="AA893" s="29"/>
      <c r="AB893" s="30"/>
      <c r="AC893" s="30"/>
      <c r="AD893" s="30"/>
      <c r="AE893" s="30">
        <f>IF(AND(G893&lt;&gt;"NG w CCUS",G893&lt;&gt;"Oil w CCUS",G893&lt;&gt;"Coal w CCUS"),AB893,AD893*10^3/(HoursInYear*IF(G893="NG w CCUS",0.9105,1.9075)))</f>
        <v>0</v>
      </c>
      <c r="AF893" s="28" t="s">
        <v>3641</v>
      </c>
      <c r="AG893" s="28"/>
    </row>
    <row r="894" spans="1:33" ht="32.25" customHeight="1" x14ac:dyDescent="0.2">
      <c r="A894" s="70">
        <v>1233</v>
      </c>
      <c r="B894" s="27" t="s">
        <v>3642</v>
      </c>
      <c r="C894" s="27" t="s">
        <v>360</v>
      </c>
      <c r="D894" s="27"/>
      <c r="E894" s="27"/>
      <c r="F894" s="27" t="s">
        <v>832</v>
      </c>
      <c r="G894" s="27" t="s">
        <v>758</v>
      </c>
      <c r="H894" s="27" t="s">
        <v>1406</v>
      </c>
      <c r="I894" s="27" t="s">
        <v>768</v>
      </c>
      <c r="J894" s="27" t="s">
        <v>865</v>
      </c>
      <c r="K894" s="27" t="s">
        <v>377</v>
      </c>
      <c r="L894" s="27"/>
      <c r="M894" s="27"/>
      <c r="N894" s="27"/>
      <c r="O894" s="27"/>
      <c r="P894" s="27"/>
      <c r="Q894" s="27"/>
      <c r="R894" s="27"/>
      <c r="S894" s="27"/>
      <c r="T894" s="27"/>
      <c r="U894" s="27"/>
      <c r="V894" s="27">
        <v>1</v>
      </c>
      <c r="W894" s="27"/>
      <c r="X894" s="27"/>
      <c r="Y894" s="27"/>
      <c r="Z894" s="27" t="s">
        <v>3643</v>
      </c>
      <c r="AA894" s="29">
        <v>300</v>
      </c>
      <c r="AB894" s="30">
        <f>IF(OR(G894="ALK",G894="PEM",G894="SOEC",G894="Other Electrolysis"),
AA894/VLOOKUP(G894,ElectrolysisConvF,3,FALSE),
AC894*10^6/(H2dens*HoursInYear))</f>
        <v>66666.666666666672</v>
      </c>
      <c r="AC894" s="30">
        <f>AB894*H2dens*HoursInYear/10^6</f>
        <v>51.975999999999999</v>
      </c>
      <c r="AD894" s="30"/>
      <c r="AE894" s="30">
        <f>IF(AND(G894&lt;&gt;"NG w CCUS",G894&lt;&gt;"Oil w CCUS",G894&lt;&gt;"Coal w CCUS"),AB894,AD894*10^3/(HoursInYear*IF(G894="NG w CCUS",0.9105,1.9075)))</f>
        <v>66666.666666666672</v>
      </c>
      <c r="AF894" s="28" t="s">
        <v>3644</v>
      </c>
      <c r="AG894" s="28"/>
    </row>
    <row r="895" spans="1:33" ht="32.25" customHeight="1" x14ac:dyDescent="0.2">
      <c r="A895" s="70">
        <v>1234</v>
      </c>
      <c r="B895" s="27" t="s">
        <v>3645</v>
      </c>
      <c r="C895" s="27" t="s">
        <v>603</v>
      </c>
      <c r="D895" s="27">
        <v>2000</v>
      </c>
      <c r="E895" s="27">
        <v>2019</v>
      </c>
      <c r="F895" s="27" t="s">
        <v>755</v>
      </c>
      <c r="G895" s="27" t="s">
        <v>268</v>
      </c>
      <c r="H895" s="27"/>
      <c r="I895" s="27" t="s">
        <v>768</v>
      </c>
      <c r="J895" s="27" t="s">
        <v>864</v>
      </c>
      <c r="K895" s="27" t="s">
        <v>740</v>
      </c>
      <c r="L895" s="27"/>
      <c r="M895" s="27">
        <v>1</v>
      </c>
      <c r="N895" s="27"/>
      <c r="O895" s="27"/>
      <c r="P895" s="27"/>
      <c r="Q895" s="27"/>
      <c r="R895" s="27"/>
      <c r="S895" s="27"/>
      <c r="T895" s="27"/>
      <c r="U895" s="27"/>
      <c r="V895" s="27"/>
      <c r="W895" s="27"/>
      <c r="X895" s="27"/>
      <c r="Y895" s="27"/>
      <c r="Z895" s="27" t="s">
        <v>3646</v>
      </c>
      <c r="AA895" s="29">
        <v>165</v>
      </c>
      <c r="AB895" s="30">
        <f>IF(OR(G895="ALK",G895="PEM",G895="SOEC",G895="Other Electrolysis"),
AA895/VLOOKUP(G895,ElectrolysisConvF,3,FALSE),
AC895*10^6/(H2dens*HoursInYear))</f>
        <v>35869.565217391304</v>
      </c>
      <c r="AC895" s="30">
        <f>AB895*H2dens*HoursInYear/10^6</f>
        <v>27.965347826086958</v>
      </c>
      <c r="AD895" s="30"/>
      <c r="AE895" s="30">
        <f>IF(AND(G895&lt;&gt;"NG w CCUS",G895&lt;&gt;"Oil w CCUS",G895&lt;&gt;"Coal w CCUS"),AB895,AD895*10^3/(HoursInYear*IF(G895="NG w CCUS",0.9105,1.9075)))</f>
        <v>35869.565217391304</v>
      </c>
      <c r="AF895" s="28" t="s">
        <v>3647</v>
      </c>
      <c r="AG895" s="28"/>
    </row>
    <row r="896" spans="1:33" ht="32.25" customHeight="1" x14ac:dyDescent="0.2">
      <c r="A896" s="70">
        <v>1235</v>
      </c>
      <c r="B896" s="27" t="s">
        <v>3648</v>
      </c>
      <c r="C896" s="27" t="s">
        <v>1178</v>
      </c>
      <c r="D896" s="27">
        <v>1975</v>
      </c>
      <c r="E896" s="27">
        <v>2015</v>
      </c>
      <c r="F896" s="27" t="s">
        <v>755</v>
      </c>
      <c r="G896" s="27" t="s">
        <v>268</v>
      </c>
      <c r="H896" s="27"/>
      <c r="I896" s="27" t="s">
        <v>756</v>
      </c>
      <c r="J896" s="27" t="str">
        <f>IF(I896&lt;&gt;"Dedicated renewable","N/A",)</f>
        <v>N/A</v>
      </c>
      <c r="K896" s="27" t="s">
        <v>740</v>
      </c>
      <c r="L896" s="27"/>
      <c r="M896" s="27">
        <v>1</v>
      </c>
      <c r="N896" s="27"/>
      <c r="O896" s="27"/>
      <c r="P896" s="27"/>
      <c r="Q896" s="27"/>
      <c r="R896" s="27"/>
      <c r="S896" s="27"/>
      <c r="T896" s="27"/>
      <c r="U896" s="27"/>
      <c r="V896" s="27"/>
      <c r="W896" s="27"/>
      <c r="X896" s="27"/>
      <c r="Y896" s="27"/>
      <c r="Z896" s="27" t="s">
        <v>2021</v>
      </c>
      <c r="AA896" s="29">
        <v>100</v>
      </c>
      <c r="AB896" s="30">
        <f>IF(OR(G896="ALK",G896="PEM",G896="SOEC",G896="Other Electrolysis"),
AA896/VLOOKUP(G896,ElectrolysisConvF,3,FALSE),
AC896*10^6/(H2dens*HoursInYear))</f>
        <v>21739.130434782608</v>
      </c>
      <c r="AC896" s="30">
        <f>AB896*H2dens*HoursInYear/10^6</f>
        <v>16.94869565217391</v>
      </c>
      <c r="AD896" s="30"/>
      <c r="AE896" s="30">
        <f>IF(AND(G896&lt;&gt;"NG w CCUS",G896&lt;&gt;"Oil w CCUS",G896&lt;&gt;"Coal w CCUS"),AB896,AD896*10^3/(HoursInYear*IF(G896="NG w CCUS",0.9105,1.9075)))</f>
        <v>21739.130434782608</v>
      </c>
      <c r="AF896" s="28" t="s">
        <v>3649</v>
      </c>
      <c r="AG896" s="28"/>
    </row>
    <row r="897" spans="1:33" ht="32.25" customHeight="1" x14ac:dyDescent="0.2">
      <c r="A897" s="70">
        <v>1236</v>
      </c>
      <c r="B897" s="27" t="s">
        <v>3650</v>
      </c>
      <c r="C897" s="27" t="s">
        <v>334</v>
      </c>
      <c r="D897" s="27">
        <v>2025</v>
      </c>
      <c r="E897" s="27"/>
      <c r="F897" s="27" t="s">
        <v>1336</v>
      </c>
      <c r="G897" s="27" t="s">
        <v>760</v>
      </c>
      <c r="H897" s="27"/>
      <c r="I897" s="27" t="str">
        <f>IF(AND(G897&lt;&gt;"ALK",G897&lt;&gt;"PEM",G897&lt;&gt;"SOEC",G897&lt;&gt;"Other electrolysis"),"N/A","")</f>
        <v>N/A</v>
      </c>
      <c r="J897" s="27" t="str">
        <f>IF(I897&lt;&gt;"Dedicated renewable","N/A",)</f>
        <v>N/A</v>
      </c>
      <c r="K897" s="27" t="s">
        <v>377</v>
      </c>
      <c r="L897" s="27">
        <v>1</v>
      </c>
      <c r="M897" s="27"/>
      <c r="N897" s="27"/>
      <c r="O897" s="27"/>
      <c r="P897" s="27"/>
      <c r="Q897" s="27"/>
      <c r="R897" s="27"/>
      <c r="S897" s="27"/>
      <c r="T897" s="27"/>
      <c r="U897" s="27"/>
      <c r="V897" s="27"/>
      <c r="W897" s="27"/>
      <c r="X897" s="27"/>
      <c r="Y897" s="27"/>
      <c r="Z897" s="27" t="s">
        <v>3651</v>
      </c>
      <c r="AA897" s="29" t="str">
        <f>IF(OR(G897="ALK",G897="PEM",G897="SOEC",G897="Other Electrolysis"),
AB897*VLOOKUP(G897,ElectrolysisConvF,3,FALSE),
"")</f>
        <v/>
      </c>
      <c r="AB897" s="30"/>
      <c r="AC897" s="30"/>
      <c r="AD897" s="30">
        <v>750000</v>
      </c>
      <c r="AE897" s="30">
        <f>IF(AND(G897&lt;&gt;"NG w CCUS",G897&lt;&gt;"Oil w CCUS",G897&lt;&gt;"Coal w CCUS"),AB897,AD897*10^3/(HoursInYear*IF(G897="NG w CCUS",0.9105,1.9075)))</f>
        <v>94032.332077061379</v>
      </c>
      <c r="AF897" s="28" t="s">
        <v>3652</v>
      </c>
      <c r="AG897" s="28"/>
    </row>
    <row r="898" spans="1:33" ht="32.25" customHeight="1" x14ac:dyDescent="0.2">
      <c r="A898" s="70">
        <v>1237</v>
      </c>
      <c r="B898" s="27" t="s">
        <v>3653</v>
      </c>
      <c r="C898" s="27" t="s">
        <v>332</v>
      </c>
      <c r="D898" s="27"/>
      <c r="E898" s="27"/>
      <c r="F898" s="27" t="s">
        <v>1336</v>
      </c>
      <c r="G898" s="27" t="s">
        <v>760</v>
      </c>
      <c r="H898" s="27"/>
      <c r="I898" s="27" t="str">
        <f>IF(AND(G898&lt;&gt;"ALK",G898&lt;&gt;"PEM",G898&lt;&gt;"SOEC",G898&lt;&gt;"Other electrolysis"),"N/A","")</f>
        <v>N/A</v>
      </c>
      <c r="J898" s="27" t="str">
        <f>IF(I898&lt;&gt;"Dedicated renewable","N/A",)</f>
        <v>N/A</v>
      </c>
      <c r="K898" s="27" t="s">
        <v>377</v>
      </c>
      <c r="L898" s="27"/>
      <c r="M898" s="27"/>
      <c r="N898" s="27"/>
      <c r="O898" s="27"/>
      <c r="P898" s="27">
        <v>1</v>
      </c>
      <c r="Q898" s="27">
        <v>1</v>
      </c>
      <c r="R898" s="27"/>
      <c r="S898" s="27"/>
      <c r="T898" s="27"/>
      <c r="U898" s="27"/>
      <c r="V898" s="27"/>
      <c r="W898" s="27"/>
      <c r="X898" s="27"/>
      <c r="Y898" s="27"/>
      <c r="Z898" s="27"/>
      <c r="AA898" s="29"/>
      <c r="AB898" s="30"/>
      <c r="AC898" s="30"/>
      <c r="AD898" s="30"/>
      <c r="AE898" s="30">
        <f>IF(AND(G898&lt;&gt;"NG w CCUS",G898&lt;&gt;"Oil w CCUS",G898&lt;&gt;"Coal w CCUS"),AB898,AD898*10^3/(HoursInYear*IF(G898="NG w CCUS",0.9105,1.9075)))</f>
        <v>0</v>
      </c>
      <c r="AF898" s="28" t="s">
        <v>3654</v>
      </c>
      <c r="AG898" s="28"/>
    </row>
    <row r="899" spans="1:33" ht="32.25" customHeight="1" x14ac:dyDescent="0.2">
      <c r="A899" s="70">
        <v>1238</v>
      </c>
      <c r="B899" s="27" t="s">
        <v>3655</v>
      </c>
      <c r="C899" s="27" t="s">
        <v>980</v>
      </c>
      <c r="D899" s="27">
        <v>2025</v>
      </c>
      <c r="E899" s="27"/>
      <c r="F899" s="27" t="s">
        <v>832</v>
      </c>
      <c r="G899" s="27" t="s">
        <v>758</v>
      </c>
      <c r="H899" s="27" t="s">
        <v>1406</v>
      </c>
      <c r="I899" s="27" t="s">
        <v>768</v>
      </c>
      <c r="J899" s="27" t="s">
        <v>861</v>
      </c>
      <c r="K899" s="27" t="s">
        <v>377</v>
      </c>
      <c r="L899" s="27"/>
      <c r="M899" s="27"/>
      <c r="N899" s="27"/>
      <c r="O899" s="27">
        <v>1</v>
      </c>
      <c r="P899" s="27"/>
      <c r="Q899" s="27"/>
      <c r="R899" s="27"/>
      <c r="S899" s="27"/>
      <c r="T899" s="27"/>
      <c r="U899" s="27"/>
      <c r="V899" s="27"/>
      <c r="W899" s="27"/>
      <c r="X899" s="27"/>
      <c r="Y899" s="27"/>
      <c r="Z899" s="27" t="s">
        <v>3656</v>
      </c>
      <c r="AA899" s="29"/>
      <c r="AB899" s="30"/>
      <c r="AC899" s="30">
        <f>AB899*H2dens*HoursInYear/10^6</f>
        <v>0</v>
      </c>
      <c r="AD899" s="30"/>
      <c r="AE899" s="30">
        <f>IF(AND(G899&lt;&gt;"NG w CCUS",G899&lt;&gt;"Oil w CCUS",G899&lt;&gt;"Coal w CCUS"),AB899,AD899*10^3/(HoursInYear*IF(G899="NG w CCUS",0.9105,1.9075)))</f>
        <v>0</v>
      </c>
      <c r="AF899" s="28" t="s">
        <v>3657</v>
      </c>
      <c r="AG899" s="28"/>
    </row>
    <row r="900" spans="1:33" ht="32.25" customHeight="1" x14ac:dyDescent="0.2">
      <c r="A900" s="70">
        <v>1239</v>
      </c>
      <c r="B900" s="27" t="s">
        <v>3658</v>
      </c>
      <c r="C900" s="27" t="s">
        <v>337</v>
      </c>
      <c r="D900" s="27"/>
      <c r="E900" s="27"/>
      <c r="F900" s="27" t="s">
        <v>832</v>
      </c>
      <c r="G900" s="27" t="s">
        <v>266</v>
      </c>
      <c r="H900" s="27"/>
      <c r="I900" s="27" t="s">
        <v>768</v>
      </c>
      <c r="J900" s="27" t="s">
        <v>862</v>
      </c>
      <c r="K900" s="27" t="s">
        <v>377</v>
      </c>
      <c r="L900" s="27"/>
      <c r="M900" s="27"/>
      <c r="N900" s="27"/>
      <c r="O900" s="27"/>
      <c r="P900" s="27"/>
      <c r="Q900" s="27">
        <v>1</v>
      </c>
      <c r="R900" s="27"/>
      <c r="S900" s="27"/>
      <c r="T900" s="27"/>
      <c r="U900" s="27"/>
      <c r="V900" s="27"/>
      <c r="W900" s="27"/>
      <c r="X900" s="27"/>
      <c r="Y900" s="27"/>
      <c r="Z900" s="27" t="s">
        <v>3659</v>
      </c>
      <c r="AA900" s="29">
        <f>IF(OR(G900="ALK",G900="PEM",G900="SOEC",G900="Other Electrolysis"),
AB900*VLOOKUP(G900,ElectrolysisConvF,3,FALSE),
"")</f>
        <v>73.033707865168537</v>
      </c>
      <c r="AB900" s="30">
        <f>AC900/(H2dens*HoursInYear/10^6)</f>
        <v>14044.943820224718</v>
      </c>
      <c r="AC900" s="30">
        <f>30*365/1000</f>
        <v>10.95</v>
      </c>
      <c r="AD900" s="30"/>
      <c r="AE900" s="30">
        <f>IF(AND(G900&lt;&gt;"NG w CCUS",G900&lt;&gt;"Oil w CCUS",G900&lt;&gt;"Coal w CCUS"),AB900,AD900*10^3/(HoursInYear*IF(G900="NG w CCUS",0.9105,1.9075)))</f>
        <v>14044.943820224718</v>
      </c>
      <c r="AF900" s="28" t="s">
        <v>3657</v>
      </c>
      <c r="AG900" s="28"/>
    </row>
    <row r="901" spans="1:33" ht="32.25" customHeight="1" x14ac:dyDescent="0.2">
      <c r="A901" s="70">
        <v>1240</v>
      </c>
      <c r="B901" s="27" t="s">
        <v>3660</v>
      </c>
      <c r="C901" s="27" t="s">
        <v>337</v>
      </c>
      <c r="D901" s="27">
        <v>2000</v>
      </c>
      <c r="E901" s="27"/>
      <c r="F901" s="27" t="s">
        <v>836</v>
      </c>
      <c r="G901" s="27" t="s">
        <v>266</v>
      </c>
      <c r="H901" s="27"/>
      <c r="I901" s="27" t="s">
        <v>756</v>
      </c>
      <c r="J901" s="27" t="str">
        <f>IF(I901&lt;&gt;"Dedicated renewable","N/A",)</f>
        <v>N/A</v>
      </c>
      <c r="K901" s="27" t="s">
        <v>377</v>
      </c>
      <c r="L901" s="27"/>
      <c r="M901" s="27"/>
      <c r="N901" s="27"/>
      <c r="O901" s="27"/>
      <c r="P901" s="27"/>
      <c r="Q901" s="27"/>
      <c r="R901" s="27"/>
      <c r="S901" s="27"/>
      <c r="T901" s="27"/>
      <c r="U901" s="27"/>
      <c r="V901" s="27"/>
      <c r="W901" s="27"/>
      <c r="X901" s="27"/>
      <c r="Y901" s="27"/>
      <c r="Z901" s="27" t="s">
        <v>3661</v>
      </c>
      <c r="AA901" s="29">
        <v>3.75</v>
      </c>
      <c r="AB901" s="30">
        <f>IF(OR(G901="ALK",G901="PEM",G901="SOEC",G901="Other Electrolysis"),
AA901/VLOOKUP(G901,ElectrolysisConvF,3,FALSE),
AC901*10^6/(H2dens*HoursInYear))</f>
        <v>721.15384615384619</v>
      </c>
      <c r="AC901" s="30">
        <f>AB901*H2dens*HoursInYear/10^6</f>
        <v>0.56224038461538461</v>
      </c>
      <c r="AD901" s="30"/>
      <c r="AE901" s="30">
        <f>IF(AND(G901&lt;&gt;"NG w CCUS",G901&lt;&gt;"Oil w CCUS",G901&lt;&gt;"Coal w CCUS"),AB901,AD901*10^3/(HoursInYear*IF(G901="NG w CCUS",0.9105,1.9075)))</f>
        <v>721.15384615384619</v>
      </c>
      <c r="AF901" s="28" t="s">
        <v>3662</v>
      </c>
      <c r="AG901" s="28"/>
    </row>
    <row r="902" spans="1:33" ht="32.25" customHeight="1" x14ac:dyDescent="0.2">
      <c r="A902" s="70">
        <v>1241</v>
      </c>
      <c r="B902" s="27" t="s">
        <v>3663</v>
      </c>
      <c r="C902" s="27" t="s">
        <v>337</v>
      </c>
      <c r="D902" s="27">
        <v>2000</v>
      </c>
      <c r="E902" s="27"/>
      <c r="F902" s="27" t="s">
        <v>836</v>
      </c>
      <c r="G902" s="27" t="s">
        <v>266</v>
      </c>
      <c r="H902" s="27"/>
      <c r="I902" s="27" t="s">
        <v>756</v>
      </c>
      <c r="J902" s="27" t="str">
        <f>IF(I902&lt;&gt;"Dedicated renewable","N/A",)</f>
        <v>N/A</v>
      </c>
      <c r="K902" s="27" t="s">
        <v>377</v>
      </c>
      <c r="L902" s="27"/>
      <c r="M902" s="27"/>
      <c r="N902" s="27"/>
      <c r="O902" s="27"/>
      <c r="P902" s="27"/>
      <c r="Q902" s="27"/>
      <c r="R902" s="27"/>
      <c r="S902" s="27"/>
      <c r="T902" s="27"/>
      <c r="U902" s="27"/>
      <c r="V902" s="27"/>
      <c r="W902" s="27"/>
      <c r="X902" s="27"/>
      <c r="Y902" s="27"/>
      <c r="Z902" s="27" t="s">
        <v>3664</v>
      </c>
      <c r="AA902" s="29">
        <v>0.5</v>
      </c>
      <c r="AB902" s="30">
        <f>IF(OR(G902="ALK",G902="PEM",G902="SOEC",G902="Other Electrolysis"),
AA902/VLOOKUP(G902,ElectrolysisConvF,3,FALSE),
AC902*10^6/(H2dens*HoursInYear))</f>
        <v>96.15384615384616</v>
      </c>
      <c r="AC902" s="30">
        <f>AB902*H2dens*HoursInYear/10^6</f>
        <v>7.4965384615384628E-2</v>
      </c>
      <c r="AD902" s="30"/>
      <c r="AE902" s="30">
        <f>IF(AND(G902&lt;&gt;"NG w CCUS",G902&lt;&gt;"Oil w CCUS",G902&lt;&gt;"Coal w CCUS"),AB902,AD902*10^3/(HoursInYear*IF(G902="NG w CCUS",0.9105,1.9075)))</f>
        <v>96.15384615384616</v>
      </c>
      <c r="AF902" s="28" t="s">
        <v>3662</v>
      </c>
      <c r="AG902" s="28"/>
    </row>
    <row r="903" spans="1:33" ht="32.25" customHeight="1" x14ac:dyDescent="0.2">
      <c r="A903" s="70">
        <v>1242</v>
      </c>
      <c r="B903" s="27" t="s">
        <v>3663</v>
      </c>
      <c r="C903" s="27" t="s">
        <v>337</v>
      </c>
      <c r="D903" s="27">
        <v>2021</v>
      </c>
      <c r="E903" s="27"/>
      <c r="F903" s="27" t="s">
        <v>754</v>
      </c>
      <c r="G903" s="27" t="s">
        <v>266</v>
      </c>
      <c r="H903" s="27"/>
      <c r="I903" s="27" t="s">
        <v>756</v>
      </c>
      <c r="J903" s="27" t="str">
        <f>IF(I903&lt;&gt;"Dedicated renewable","N/A",)</f>
        <v>N/A</v>
      </c>
      <c r="K903" s="27" t="s">
        <v>377</v>
      </c>
      <c r="L903" s="27"/>
      <c r="M903" s="27"/>
      <c r="N903" s="27"/>
      <c r="O903" s="27"/>
      <c r="P903" s="27"/>
      <c r="Q903" s="27"/>
      <c r="R903" s="27"/>
      <c r="S903" s="27"/>
      <c r="T903" s="27"/>
      <c r="U903" s="27"/>
      <c r="V903" s="27"/>
      <c r="W903" s="27"/>
      <c r="X903" s="27"/>
      <c r="Y903" s="27"/>
      <c r="Z903" s="27" t="s">
        <v>3664</v>
      </c>
      <c r="AA903" s="29">
        <v>0.5</v>
      </c>
      <c r="AB903" s="30">
        <f>IF(OR(G903="ALK",G903="PEM",G903="SOEC",G903="Other Electrolysis"),
AA903/VLOOKUP(G903,ElectrolysisConvF,3,FALSE),
AC903*10^6/(H2dens*HoursInYear))</f>
        <v>96.15384615384616</v>
      </c>
      <c r="AC903" s="30">
        <f>AB903*H2dens*HoursInYear/10^6</f>
        <v>7.4965384615384628E-2</v>
      </c>
      <c r="AD903" s="30"/>
      <c r="AE903" s="30">
        <f>IF(AND(G903&lt;&gt;"NG w CCUS",G903&lt;&gt;"Oil w CCUS",G903&lt;&gt;"Coal w CCUS"),AB903,AD903*10^3/(HoursInYear*IF(G903="NG w CCUS",0.9105,1.9075)))</f>
        <v>96.15384615384616</v>
      </c>
      <c r="AF903" s="28" t="s">
        <v>3662</v>
      </c>
      <c r="AG903" s="28"/>
    </row>
    <row r="904" spans="1:33" ht="32.25" customHeight="1" x14ac:dyDescent="0.2">
      <c r="A904" s="70">
        <v>1243</v>
      </c>
      <c r="B904" s="27" t="s">
        <v>3665</v>
      </c>
      <c r="C904" s="27" t="s">
        <v>337</v>
      </c>
      <c r="D904" s="27">
        <v>2000</v>
      </c>
      <c r="E904" s="27"/>
      <c r="F904" s="27" t="s">
        <v>836</v>
      </c>
      <c r="G904" s="27" t="s">
        <v>266</v>
      </c>
      <c r="H904" s="27"/>
      <c r="I904" s="27" t="s">
        <v>756</v>
      </c>
      <c r="J904" s="27" t="str">
        <f>IF(I904&lt;&gt;"Dedicated renewable","N/A",)</f>
        <v>N/A</v>
      </c>
      <c r="K904" s="27" t="s">
        <v>377</v>
      </c>
      <c r="L904" s="27"/>
      <c r="M904" s="27"/>
      <c r="N904" s="27"/>
      <c r="O904" s="27"/>
      <c r="P904" s="27"/>
      <c r="Q904" s="27"/>
      <c r="R904" s="27"/>
      <c r="S904" s="27"/>
      <c r="T904" s="27"/>
      <c r="U904" s="27"/>
      <c r="V904" s="27"/>
      <c r="W904" s="27"/>
      <c r="X904" s="27"/>
      <c r="Y904" s="27"/>
      <c r="Z904" s="27" t="s">
        <v>3666</v>
      </c>
      <c r="AA904" s="29">
        <v>3.24</v>
      </c>
      <c r="AB904" s="30">
        <f>IF(OR(G904="ALK",G904="PEM",G904="SOEC",G904="Other Electrolysis"),
AA904/VLOOKUP(G904,ElectrolysisConvF,3,FALSE),
AC904*10^6/(H2dens*HoursInYear))</f>
        <v>623.07692307692309</v>
      </c>
      <c r="AC904" s="30">
        <f>AB904*H2dens*HoursInYear/10^6</f>
        <v>0.48577569230769224</v>
      </c>
      <c r="AD904" s="30"/>
      <c r="AE904" s="30">
        <f>IF(AND(G904&lt;&gt;"NG w CCUS",G904&lt;&gt;"Oil w CCUS",G904&lt;&gt;"Coal w CCUS"),AB904,AD904*10^3/(HoursInYear*IF(G904="NG w CCUS",0.9105,1.9075)))</f>
        <v>623.07692307692309</v>
      </c>
      <c r="AF904" s="28" t="s">
        <v>3662</v>
      </c>
      <c r="AG904" s="28"/>
    </row>
    <row r="905" spans="1:33" ht="32.25" customHeight="1" x14ac:dyDescent="0.2">
      <c r="A905" s="70">
        <v>1244</v>
      </c>
      <c r="B905" s="27" t="s">
        <v>3667</v>
      </c>
      <c r="C905" s="27" t="s">
        <v>337</v>
      </c>
      <c r="D905" s="27">
        <v>2021</v>
      </c>
      <c r="E905" s="27"/>
      <c r="F905" s="27" t="s">
        <v>754</v>
      </c>
      <c r="G905" s="27" t="s">
        <v>266</v>
      </c>
      <c r="H905" s="27"/>
      <c r="I905" s="27" t="s">
        <v>756</v>
      </c>
      <c r="J905" s="27" t="str">
        <f>IF(I905&lt;&gt;"Dedicated renewable","N/A",)</f>
        <v>N/A</v>
      </c>
      <c r="K905" s="27" t="s">
        <v>377</v>
      </c>
      <c r="L905" s="27"/>
      <c r="M905" s="27"/>
      <c r="N905" s="27"/>
      <c r="O905" s="27"/>
      <c r="P905" s="27"/>
      <c r="Q905" s="27"/>
      <c r="R905" s="27"/>
      <c r="S905" s="27"/>
      <c r="T905" s="27"/>
      <c r="U905" s="27"/>
      <c r="V905" s="27"/>
      <c r="W905" s="27"/>
      <c r="X905" s="27"/>
      <c r="Y905" s="27"/>
      <c r="Z905" s="27" t="s">
        <v>3668</v>
      </c>
      <c r="AA905" s="29">
        <v>0.72</v>
      </c>
      <c r="AB905" s="30">
        <f>IF(OR(G905="ALK",G905="PEM",G905="SOEC",G905="Other Electrolysis"),
AA905/VLOOKUP(G905,ElectrolysisConvF,3,FALSE),
AC905*10^6/(H2dens*HoursInYear))</f>
        <v>138.46153846153845</v>
      </c>
      <c r="AC905" s="30">
        <f>AB905*H2dens*HoursInYear/10^6</f>
        <v>0.10795015384615383</v>
      </c>
      <c r="AD905" s="30"/>
      <c r="AE905" s="30">
        <f>IF(AND(G905&lt;&gt;"NG w CCUS",G905&lt;&gt;"Oil w CCUS",G905&lt;&gt;"Coal w CCUS"),AB905,AD905*10^3/(HoursInYear*IF(G905="NG w CCUS",0.9105,1.9075)))</f>
        <v>138.46153846153845</v>
      </c>
      <c r="AF905" s="28" t="s">
        <v>3662</v>
      </c>
      <c r="AG905" s="28"/>
    </row>
    <row r="906" spans="1:33" ht="32.25" customHeight="1" x14ac:dyDescent="0.2">
      <c r="A906" s="70">
        <v>1245</v>
      </c>
      <c r="B906" s="27" t="s">
        <v>3669</v>
      </c>
      <c r="C906" s="27" t="s">
        <v>337</v>
      </c>
      <c r="D906" s="27">
        <v>2000</v>
      </c>
      <c r="E906" s="27"/>
      <c r="F906" s="27" t="s">
        <v>836</v>
      </c>
      <c r="G906" s="27" t="s">
        <v>266</v>
      </c>
      <c r="H906" s="27"/>
      <c r="I906" s="27" t="s">
        <v>756</v>
      </c>
      <c r="J906" s="27" t="str">
        <f>IF(I906&lt;&gt;"Dedicated renewable","N/A",)</f>
        <v>N/A</v>
      </c>
      <c r="K906" s="27" t="s">
        <v>377</v>
      </c>
      <c r="L906" s="27"/>
      <c r="M906" s="27"/>
      <c r="N906" s="27"/>
      <c r="O906" s="27"/>
      <c r="P906" s="27"/>
      <c r="Q906" s="27"/>
      <c r="R906" s="27"/>
      <c r="S906" s="27"/>
      <c r="T906" s="27"/>
      <c r="U906" s="27"/>
      <c r="V906" s="27"/>
      <c r="W906" s="27"/>
      <c r="X906" s="27"/>
      <c r="Y906" s="27"/>
      <c r="Z906" s="27" t="s">
        <v>3670</v>
      </c>
      <c r="AA906" s="29">
        <v>1.44</v>
      </c>
      <c r="AB906" s="30">
        <f>IF(OR(G906="ALK",G906="PEM",G906="SOEC",G906="Other Electrolysis"),
AA906/VLOOKUP(G906,ElectrolysisConvF,3,FALSE),
AC906*10^6/(H2dens*HoursInYear))</f>
        <v>276.92307692307691</v>
      </c>
      <c r="AC906" s="30">
        <f>AB906*H2dens*HoursInYear/10^6</f>
        <v>0.21590030769230767</v>
      </c>
      <c r="AD906" s="30"/>
      <c r="AE906" s="30">
        <f>IF(AND(G906&lt;&gt;"NG w CCUS",G906&lt;&gt;"Oil w CCUS",G906&lt;&gt;"Coal w CCUS"),AB906,AD906*10^3/(HoursInYear*IF(G906="NG w CCUS",0.9105,1.9075)))</f>
        <v>276.92307692307691</v>
      </c>
      <c r="AF906" s="28" t="s">
        <v>3662</v>
      </c>
      <c r="AG906" s="28"/>
    </row>
    <row r="907" spans="1:33" ht="32.25" customHeight="1" x14ac:dyDescent="0.2">
      <c r="A907" s="70">
        <v>1246</v>
      </c>
      <c r="B907" s="27" t="s">
        <v>3671</v>
      </c>
      <c r="C907" s="27" t="s">
        <v>337</v>
      </c>
      <c r="D907" s="27">
        <v>2021</v>
      </c>
      <c r="E907" s="27"/>
      <c r="F907" s="27" t="s">
        <v>754</v>
      </c>
      <c r="G907" s="27" t="s">
        <v>266</v>
      </c>
      <c r="H907" s="27"/>
      <c r="I907" s="27" t="s">
        <v>756</v>
      </c>
      <c r="J907" s="27" t="str">
        <f>IF(I907&lt;&gt;"Dedicated renewable","N/A",)</f>
        <v>N/A</v>
      </c>
      <c r="K907" s="27" t="s">
        <v>377</v>
      </c>
      <c r="L907" s="27"/>
      <c r="M907" s="27"/>
      <c r="N907" s="27"/>
      <c r="O907" s="27"/>
      <c r="P907" s="27"/>
      <c r="Q907" s="27"/>
      <c r="R907" s="27"/>
      <c r="S907" s="27"/>
      <c r="T907" s="27"/>
      <c r="U907" s="27"/>
      <c r="V907" s="27"/>
      <c r="W907" s="27"/>
      <c r="X907" s="27"/>
      <c r="Y907" s="27"/>
      <c r="Z907" s="27" t="s">
        <v>3672</v>
      </c>
      <c r="AA907" s="29">
        <v>0.24</v>
      </c>
      <c r="AB907" s="30">
        <f>IF(OR(G907="ALK",G907="PEM",G907="SOEC",G907="Other Electrolysis"),
AA907/VLOOKUP(G907,ElectrolysisConvF,3,FALSE),
AC907*10^6/(H2dens*HoursInYear))</f>
        <v>46.153846153846153</v>
      </c>
      <c r="AC907" s="30">
        <f>AB907*H2dens*HoursInYear/10^6</f>
        <v>3.5983384615384612E-2</v>
      </c>
      <c r="AD907" s="30"/>
      <c r="AE907" s="30">
        <f>IF(AND(G907&lt;&gt;"NG w CCUS",G907&lt;&gt;"Oil w CCUS",G907&lt;&gt;"Coal w CCUS"),AB907,AD907*10^3/(HoursInYear*IF(G907="NG w CCUS",0.9105,1.9075)))</f>
        <v>46.153846153846153</v>
      </c>
      <c r="AF907" s="28" t="s">
        <v>3662</v>
      </c>
      <c r="AG907" s="28"/>
    </row>
    <row r="908" spans="1:33" ht="32.25" customHeight="1" x14ac:dyDescent="0.2">
      <c r="A908" s="70">
        <v>1247</v>
      </c>
      <c r="B908" s="27" t="s">
        <v>3673</v>
      </c>
      <c r="C908" s="27" t="s">
        <v>337</v>
      </c>
      <c r="D908" s="27">
        <v>2020</v>
      </c>
      <c r="E908" s="27">
        <v>2023</v>
      </c>
      <c r="F908" s="27" t="s">
        <v>916</v>
      </c>
      <c r="G908" s="27" t="s">
        <v>762</v>
      </c>
      <c r="H908" s="27" t="s">
        <v>767</v>
      </c>
      <c r="I908" s="27" t="str">
        <f>IF(AND(G908&lt;&gt;"ALK",G908&lt;&gt;"PEM",G908&lt;&gt;"SOEC",G908&lt;&gt;"Other electrolysis"),"N/A","")</f>
        <v>N/A</v>
      </c>
      <c r="J908" s="27" t="str">
        <f>IF(I908&lt;&gt;"Dedicated renewable","N/A",)</f>
        <v>N/A</v>
      </c>
      <c r="K908" s="27" t="s">
        <v>377</v>
      </c>
      <c r="L908" s="27"/>
      <c r="M908" s="27"/>
      <c r="N908" s="27"/>
      <c r="O908" s="27"/>
      <c r="P908" s="27"/>
      <c r="Q908" s="27">
        <v>1</v>
      </c>
      <c r="R908" s="27">
        <v>1</v>
      </c>
      <c r="S908" s="27"/>
      <c r="T908" s="27"/>
      <c r="U908" s="27"/>
      <c r="V908" s="27"/>
      <c r="W908" s="27"/>
      <c r="X908" s="27"/>
      <c r="Y908" s="27"/>
      <c r="Z908" s="27" t="s">
        <v>3674</v>
      </c>
      <c r="AA908" s="29" t="str">
        <f>IF(OR(G908="ALK",G908="PEM",G908="SOEC",G908="Other Electrolysis"),
AB908*VLOOKUP(G908,ElectrolysisConvF,3,FALSE),
"")</f>
        <v/>
      </c>
      <c r="AB908" s="30">
        <f>AC908/(H2dens*HoursInYear/10^6)</f>
        <v>35.112359550561798</v>
      </c>
      <c r="AC908" s="30">
        <f>75*365/1000000</f>
        <v>2.7375E-2</v>
      </c>
      <c r="AD908" s="30"/>
      <c r="AE908" s="30">
        <f>AB908</f>
        <v>35.112359550561798</v>
      </c>
      <c r="AF908" s="28" t="s">
        <v>3308</v>
      </c>
      <c r="AG908" s="28"/>
    </row>
    <row r="909" spans="1:33" ht="32.25" customHeight="1" x14ac:dyDescent="0.2">
      <c r="A909" s="70">
        <v>1248</v>
      </c>
      <c r="B909" s="27" t="s">
        <v>3675</v>
      </c>
      <c r="C909" s="27" t="s">
        <v>980</v>
      </c>
      <c r="D909" s="27"/>
      <c r="E909" s="27"/>
      <c r="F909" s="27" t="s">
        <v>832</v>
      </c>
      <c r="G909" s="27" t="s">
        <v>758</v>
      </c>
      <c r="H909" s="27" t="s">
        <v>1406</v>
      </c>
      <c r="I909" s="27" t="s">
        <v>768</v>
      </c>
      <c r="J909" s="27" t="s">
        <v>378</v>
      </c>
      <c r="K909" s="27" t="s">
        <v>739</v>
      </c>
      <c r="L909" s="27"/>
      <c r="M909" s="27"/>
      <c r="N909" s="27">
        <v>1</v>
      </c>
      <c r="O909" s="27"/>
      <c r="P909" s="27"/>
      <c r="Q909" s="27"/>
      <c r="R909" s="27"/>
      <c r="S909" s="27"/>
      <c r="T909" s="27"/>
      <c r="U909" s="27"/>
      <c r="V909" s="27"/>
      <c r="W909" s="27"/>
      <c r="X909" s="27"/>
      <c r="Y909" s="27"/>
      <c r="Z909" s="27" t="s">
        <v>1403</v>
      </c>
      <c r="AA909" s="29">
        <v>20</v>
      </c>
      <c r="AB909" s="30">
        <f>IF(OR(G909="ALK",G909="PEM",G909="SOEC",G909="Other Electrolysis"),
AA909/VLOOKUP(G909,ElectrolysisConvF,3,FALSE),
AC909*10^6/(H2dens*HoursInYear))</f>
        <v>4444.4444444444443</v>
      </c>
      <c r="AC909" s="30">
        <f>AB909*H2dens*HoursInYear/10^6</f>
        <v>3.4650666666666665</v>
      </c>
      <c r="AD909" s="30"/>
      <c r="AE909" s="30">
        <f>IF(AND(G909&lt;&gt;"NG w CCUS",G909&lt;&gt;"Oil w CCUS",G909&lt;&gt;"Coal w CCUS"),AB909,AD909*10^3/(HoursInYear*IF(G909="NG w CCUS",0.9105,1.9075)))</f>
        <v>4444.4444444444443</v>
      </c>
      <c r="AF909" s="28" t="s">
        <v>3676</v>
      </c>
      <c r="AG909" s="28"/>
    </row>
    <row r="910" spans="1:33" ht="32.25" customHeight="1" x14ac:dyDescent="0.2">
      <c r="A910" s="70">
        <v>1249</v>
      </c>
      <c r="B910" s="27" t="s">
        <v>3677</v>
      </c>
      <c r="C910" s="27" t="s">
        <v>980</v>
      </c>
      <c r="D910" s="27"/>
      <c r="E910" s="27"/>
      <c r="F910" s="27" t="s">
        <v>1336</v>
      </c>
      <c r="G910" s="27" t="s">
        <v>758</v>
      </c>
      <c r="H910" s="27" t="s">
        <v>1406</v>
      </c>
      <c r="I910" s="27" t="s">
        <v>768</v>
      </c>
      <c r="J910" s="27" t="s">
        <v>378</v>
      </c>
      <c r="K910" s="27" t="s">
        <v>739</v>
      </c>
      <c r="L910" s="27"/>
      <c r="M910" s="27"/>
      <c r="N910" s="27">
        <v>1</v>
      </c>
      <c r="O910" s="27"/>
      <c r="P910" s="27"/>
      <c r="Q910" s="27"/>
      <c r="R910" s="27"/>
      <c r="S910" s="27"/>
      <c r="T910" s="27"/>
      <c r="U910" s="27"/>
      <c r="V910" s="27"/>
      <c r="W910" s="27"/>
      <c r="X910" s="27"/>
      <c r="Y910" s="27"/>
      <c r="Z910" s="27" t="s">
        <v>2075</v>
      </c>
      <c r="AA910" s="29">
        <v>180</v>
      </c>
      <c r="AB910" s="30">
        <f>IF(OR(G910="ALK",G910="PEM",G910="SOEC",G910="Other Electrolysis"),
AA910/VLOOKUP(G910,ElectrolysisConvF,3,FALSE),
AC910*10^6/(H2dens*HoursInYear))</f>
        <v>40000</v>
      </c>
      <c r="AC910" s="30">
        <f>AB910*H2dens*HoursInYear/10^6</f>
        <v>31.185600000000001</v>
      </c>
      <c r="AD910" s="30"/>
      <c r="AE910" s="30">
        <f>IF(AND(G910&lt;&gt;"NG w CCUS",G910&lt;&gt;"Oil w CCUS",G910&lt;&gt;"Coal w CCUS"),AB910,AD910*10^3/(HoursInYear*IF(G910="NG w CCUS",0.9105,1.9075)))</f>
        <v>40000</v>
      </c>
      <c r="AF910" s="28" t="s">
        <v>3676</v>
      </c>
      <c r="AG910" s="28"/>
    </row>
    <row r="911" spans="1:33" ht="32.25" customHeight="1" x14ac:dyDescent="0.2">
      <c r="A911" s="70">
        <v>1250</v>
      </c>
      <c r="B911" s="27" t="s">
        <v>3678</v>
      </c>
      <c r="C911" s="27" t="s">
        <v>337</v>
      </c>
      <c r="D911" s="27"/>
      <c r="E911" s="27"/>
      <c r="F911" s="27" t="s">
        <v>1336</v>
      </c>
      <c r="G911" s="27" t="s">
        <v>758</v>
      </c>
      <c r="H911" s="27" t="s">
        <v>1406</v>
      </c>
      <c r="I911" s="27" t="s">
        <v>768</v>
      </c>
      <c r="J911" s="27" t="s">
        <v>378</v>
      </c>
      <c r="K911" s="27" t="s">
        <v>377</v>
      </c>
      <c r="L911" s="27"/>
      <c r="M911" s="27"/>
      <c r="N911" s="27"/>
      <c r="O911" s="27"/>
      <c r="P911" s="27"/>
      <c r="Q911" s="27"/>
      <c r="R911" s="27">
        <v>1</v>
      </c>
      <c r="S911" s="27"/>
      <c r="T911" s="27"/>
      <c r="U911" s="27"/>
      <c r="V911" s="27"/>
      <c r="W911" s="27"/>
      <c r="X911" s="27"/>
      <c r="Y911" s="27"/>
      <c r="Z911" s="27"/>
      <c r="AA911" s="29"/>
      <c r="AB911" s="30"/>
      <c r="AC911" s="30"/>
      <c r="AD911" s="30"/>
      <c r="AE911" s="30">
        <f>IF(AND(G911&lt;&gt;"NG w CCUS",G911&lt;&gt;"Oil w CCUS",G911&lt;&gt;"Coal w CCUS"),AB911,AD911*10^3/(HoursInYear*IF(G911="NG w CCUS",0.9105,1.9075)))</f>
        <v>0</v>
      </c>
      <c r="AF911" s="28" t="s">
        <v>3679</v>
      </c>
      <c r="AG911" s="28"/>
    </row>
    <row r="912" spans="1:33" ht="32.25" customHeight="1" x14ac:dyDescent="0.2">
      <c r="A912" s="70">
        <v>1251</v>
      </c>
      <c r="B912" s="27" t="s">
        <v>3680</v>
      </c>
      <c r="C912" s="27" t="s">
        <v>337</v>
      </c>
      <c r="D912" s="27"/>
      <c r="E912" s="27"/>
      <c r="F912" s="27" t="s">
        <v>1336</v>
      </c>
      <c r="G912" s="27" t="s">
        <v>758</v>
      </c>
      <c r="H912" s="27" t="s">
        <v>1406</v>
      </c>
      <c r="I912" s="27" t="s">
        <v>768</v>
      </c>
      <c r="J912" s="27" t="s">
        <v>378</v>
      </c>
      <c r="K912" s="27" t="s">
        <v>377</v>
      </c>
      <c r="L912" s="27"/>
      <c r="M912" s="27"/>
      <c r="N912" s="27"/>
      <c r="O912" s="27"/>
      <c r="P912" s="27"/>
      <c r="Q912" s="27"/>
      <c r="R912" s="27">
        <v>1</v>
      </c>
      <c r="S912" s="27"/>
      <c r="T912" s="27"/>
      <c r="U912" s="27"/>
      <c r="V912" s="27"/>
      <c r="W912" s="27"/>
      <c r="X912" s="27"/>
      <c r="Y912" s="27"/>
      <c r="Z912" s="27"/>
      <c r="AA912" s="29"/>
      <c r="AB912" s="30"/>
      <c r="AC912" s="30"/>
      <c r="AD912" s="30"/>
      <c r="AE912" s="30">
        <f>IF(AND(G912&lt;&gt;"NG w CCUS",G912&lt;&gt;"Oil w CCUS",G912&lt;&gt;"Coal w CCUS"),AB912,AD912*10^3/(HoursInYear*IF(G912="NG w CCUS",0.9105,1.9075)))</f>
        <v>0</v>
      </c>
      <c r="AF912" s="28" t="s">
        <v>3679</v>
      </c>
      <c r="AG912" s="28"/>
    </row>
    <row r="913" spans="1:33" ht="32.25" customHeight="1" x14ac:dyDescent="0.2">
      <c r="A913" s="70">
        <v>1252</v>
      </c>
      <c r="B913" s="27" t="s">
        <v>3681</v>
      </c>
      <c r="C913" s="27" t="s">
        <v>337</v>
      </c>
      <c r="D913" s="27"/>
      <c r="E913" s="27"/>
      <c r="F913" s="27" t="s">
        <v>1336</v>
      </c>
      <c r="G913" s="27" t="s">
        <v>758</v>
      </c>
      <c r="H913" s="27" t="s">
        <v>1406</v>
      </c>
      <c r="I913" s="27" t="s">
        <v>768</v>
      </c>
      <c r="J913" s="27" t="s">
        <v>378</v>
      </c>
      <c r="K913" s="27" t="s">
        <v>377</v>
      </c>
      <c r="L913" s="27"/>
      <c r="M913" s="27"/>
      <c r="N913" s="27"/>
      <c r="O913" s="27"/>
      <c r="P913" s="27"/>
      <c r="Q913" s="27"/>
      <c r="R913" s="27">
        <v>1</v>
      </c>
      <c r="S913" s="27"/>
      <c r="T913" s="27"/>
      <c r="U913" s="27"/>
      <c r="V913" s="27"/>
      <c r="W913" s="27"/>
      <c r="X913" s="27"/>
      <c r="Y913" s="27"/>
      <c r="Z913" s="27"/>
      <c r="AA913" s="29"/>
      <c r="AB913" s="30"/>
      <c r="AC913" s="30"/>
      <c r="AD913" s="30"/>
      <c r="AE913" s="30">
        <f>IF(AND(G913&lt;&gt;"NG w CCUS",G913&lt;&gt;"Oil w CCUS",G913&lt;&gt;"Coal w CCUS"),AB913,AD913*10^3/(HoursInYear*IF(G913="NG w CCUS",0.9105,1.9075)))</f>
        <v>0</v>
      </c>
      <c r="AF913" s="28" t="s">
        <v>3679</v>
      </c>
      <c r="AG913" s="28"/>
    </row>
    <row r="914" spans="1:33" ht="32.25" customHeight="1" x14ac:dyDescent="0.2">
      <c r="A914" s="70">
        <v>1253</v>
      </c>
      <c r="B914" s="27" t="s">
        <v>3682</v>
      </c>
      <c r="C914" s="27" t="s">
        <v>336</v>
      </c>
      <c r="D914" s="27"/>
      <c r="E914" s="27"/>
      <c r="F914" s="27" t="s">
        <v>1336</v>
      </c>
      <c r="G914" s="27" t="s">
        <v>758</v>
      </c>
      <c r="H914" s="27" t="s">
        <v>1406</v>
      </c>
      <c r="I914" s="27" t="s">
        <v>768</v>
      </c>
      <c r="J914" s="27" t="s">
        <v>865</v>
      </c>
      <c r="K914" s="27" t="s">
        <v>740</v>
      </c>
      <c r="L914" s="27"/>
      <c r="M914" s="27">
        <v>1</v>
      </c>
      <c r="N914" s="27"/>
      <c r="O914" s="27"/>
      <c r="P914" s="27"/>
      <c r="Q914" s="27"/>
      <c r="R914" s="27"/>
      <c r="S914" s="27"/>
      <c r="T914" s="27"/>
      <c r="U914" s="27"/>
      <c r="V914" s="27"/>
      <c r="W914" s="27"/>
      <c r="X914" s="27"/>
      <c r="Y914" s="27"/>
      <c r="Z914" s="27" t="s">
        <v>3683</v>
      </c>
      <c r="AA914" s="29">
        <f>IF(OR(G914="ALK",G914="PEM",G914="SOEC",G914="Other Electrolysis"),
AB914*VLOOKUP(G914,ElectrolysisConvF,3,FALSE),
"")</f>
        <v>20787.135848644521</v>
      </c>
      <c r="AB914" s="30">
        <f>AC914/(H2dens*HoursInYear/10^6)</f>
        <v>4619363.5219210051</v>
      </c>
      <c r="AC914" s="30">
        <f>20000*3/17/0.98</f>
        <v>3601.4405762304923</v>
      </c>
      <c r="AD914" s="30"/>
      <c r="AE914" s="30">
        <f>IF(AND(G914&lt;&gt;"NG w CCUS",G914&lt;&gt;"Oil w CCUS",G914&lt;&gt;"Coal w CCUS"),AB914,AD914*10^3/(HoursInYear*IF(G914="NG w CCUS",0.9105,1.9075)))</f>
        <v>4619363.5219210051</v>
      </c>
      <c r="AF914" s="28" t="s">
        <v>3684</v>
      </c>
      <c r="AG914" s="28"/>
    </row>
    <row r="915" spans="1:33" ht="32.25" customHeight="1" x14ac:dyDescent="0.2">
      <c r="A915" s="70">
        <v>1254</v>
      </c>
      <c r="B915" s="27" t="s">
        <v>3685</v>
      </c>
      <c r="C915" s="27" t="s">
        <v>336</v>
      </c>
      <c r="D915" s="27">
        <v>2023</v>
      </c>
      <c r="E915" s="27"/>
      <c r="F915" s="27" t="s">
        <v>916</v>
      </c>
      <c r="G915" s="27" t="s">
        <v>758</v>
      </c>
      <c r="H915" s="27" t="s">
        <v>1406</v>
      </c>
      <c r="I915" s="27" t="s">
        <v>768</v>
      </c>
      <c r="J915" s="27" t="s">
        <v>861</v>
      </c>
      <c r="K915" s="27" t="s">
        <v>396</v>
      </c>
      <c r="L915" s="27"/>
      <c r="M915" s="27"/>
      <c r="N915" s="27"/>
      <c r="O915" s="27"/>
      <c r="P915" s="27"/>
      <c r="Q915" s="27"/>
      <c r="R915" s="27"/>
      <c r="S915" s="27"/>
      <c r="T915" s="27"/>
      <c r="U915" s="27"/>
      <c r="V915" s="27"/>
      <c r="W915" s="27"/>
      <c r="X915" s="27">
        <v>1</v>
      </c>
      <c r="Y915" s="27"/>
      <c r="Z915" s="27" t="s">
        <v>1814</v>
      </c>
      <c r="AA915" s="29">
        <v>5.0000000000000001E-3</v>
      </c>
      <c r="AB915" s="30">
        <f>IF(OR(G915="ALK",G915="PEM",G915="SOEC",G915="Other Electrolysis"),
AA915/VLOOKUP(G915,ElectrolysisConvF,3,FALSE),
AC915*10^6/(H2dens*HoursInYear))</f>
        <v>1.1111111111111112</v>
      </c>
      <c r="AC915" s="30">
        <f>AB915*H2dens*HoursInYear/10^6</f>
        <v>8.6626666666666662E-4</v>
      </c>
      <c r="AD915" s="30"/>
      <c r="AE915" s="30">
        <f>IF(AND(G915&lt;&gt;"NG w CCUS",G915&lt;&gt;"Oil w CCUS",G915&lt;&gt;"Coal w CCUS"),AB915,AD915*10^3/(HoursInYear*IF(G915="NG w CCUS",0.9105,1.9075)))</f>
        <v>1.1111111111111112</v>
      </c>
      <c r="AF915" s="28" t="s">
        <v>3686</v>
      </c>
      <c r="AG915" s="28"/>
    </row>
    <row r="916" spans="1:33" ht="32.25" customHeight="1" x14ac:dyDescent="0.2">
      <c r="A916" s="70">
        <v>1255</v>
      </c>
      <c r="B916" s="27" t="s">
        <v>3687</v>
      </c>
      <c r="C916" s="27"/>
      <c r="D916" s="27"/>
      <c r="E916" s="27"/>
      <c r="F916" s="27" t="s">
        <v>916</v>
      </c>
      <c r="G916" s="27" t="s">
        <v>762</v>
      </c>
      <c r="H916" s="27" t="s">
        <v>3688</v>
      </c>
      <c r="I916" s="27" t="str">
        <f>IF(AND(G916&lt;&gt;"ALK",G916&lt;&gt;"PEM",G916&lt;&gt;"SOEC",G916&lt;&gt;"Other electrolysis"),"N/A","")</f>
        <v>N/A</v>
      </c>
      <c r="J916" s="27" t="str">
        <f>IF(I916&lt;&gt;"Dedicated renewable","N/A",)</f>
        <v>N/A</v>
      </c>
      <c r="K916" s="27" t="s">
        <v>377</v>
      </c>
      <c r="L916" s="27">
        <v>1</v>
      </c>
      <c r="M916" s="27"/>
      <c r="N916" s="27"/>
      <c r="O916" s="27"/>
      <c r="P916" s="27"/>
      <c r="Q916" s="27"/>
      <c r="R916" s="27"/>
      <c r="S916" s="27"/>
      <c r="T916" s="27"/>
      <c r="U916" s="27"/>
      <c r="V916" s="27"/>
      <c r="W916" s="27"/>
      <c r="X916" s="27"/>
      <c r="Y916" s="27"/>
      <c r="Z916" s="27" t="s">
        <v>3689</v>
      </c>
      <c r="AA916" s="29" t="str">
        <f>IF(OR(G916="ALK",G916="PEM",G916="SOEC",G916="Other Electrolysis"),
AB916*VLOOKUP(G916,ElectrolysisConvF,3,FALSE),
"")</f>
        <v/>
      </c>
      <c r="AB916" s="30">
        <f>AC916/(H2dens*HoursInYear/10^6)</f>
        <v>1.1543789441280592E-2</v>
      </c>
      <c r="AC916" s="30">
        <f>300*3.6/120/1000000</f>
        <v>9.0000000000000002E-6</v>
      </c>
      <c r="AD916" s="30"/>
      <c r="AE916" s="30">
        <f>IF(AND(G916&lt;&gt;"NG w CCUS",G916&lt;&gt;"Oil w CCUS",G916&lt;&gt;"Coal w CCUS"),AB916,AD916*10^3/(HoursInYear*IF(G916="NG w CCUS",0.9105,1.9075)))</f>
        <v>1.1543789441280592E-2</v>
      </c>
      <c r="AF916" s="28" t="s">
        <v>3690</v>
      </c>
      <c r="AG916" s="28"/>
    </row>
    <row r="917" spans="1:33" ht="32.25" customHeight="1" x14ac:dyDescent="0.2">
      <c r="A917" s="70">
        <v>1256</v>
      </c>
      <c r="B917" s="27" t="s">
        <v>3691</v>
      </c>
      <c r="C917" s="27" t="s">
        <v>336</v>
      </c>
      <c r="D917" s="27"/>
      <c r="E917" s="27"/>
      <c r="F917" s="27" t="s">
        <v>832</v>
      </c>
      <c r="G917" s="27" t="s">
        <v>758</v>
      </c>
      <c r="H917" s="27" t="s">
        <v>1406</v>
      </c>
      <c r="I917" s="27" t="s">
        <v>768</v>
      </c>
      <c r="J917" s="27" t="s">
        <v>861</v>
      </c>
      <c r="K917" s="27" t="s">
        <v>377</v>
      </c>
      <c r="L917" s="27"/>
      <c r="M917" s="27"/>
      <c r="N917" s="27"/>
      <c r="O917" s="27"/>
      <c r="P917" s="27"/>
      <c r="Q917" s="27">
        <v>1</v>
      </c>
      <c r="R917" s="27"/>
      <c r="S917" s="27"/>
      <c r="T917" s="27"/>
      <c r="U917" s="27"/>
      <c r="V917" s="27"/>
      <c r="W917" s="27"/>
      <c r="X917" s="27"/>
      <c r="Y917" s="27"/>
      <c r="Z917" s="27" t="s">
        <v>3086</v>
      </c>
      <c r="AA917" s="29">
        <v>80</v>
      </c>
      <c r="AB917" s="30">
        <f>IF(OR(G917="ALK",G917="PEM",G917="SOEC",G917="Other Electrolysis"),
AA917/VLOOKUP(G917,ElectrolysisConvF,3,FALSE),
AC917*10^6/(H2dens*HoursInYear))</f>
        <v>17777.777777777777</v>
      </c>
      <c r="AC917" s="30">
        <f>AB917*H2dens*HoursInYear/10^6</f>
        <v>13.860266666666666</v>
      </c>
      <c r="AD917" s="30"/>
      <c r="AE917" s="30">
        <f>IF(AND(G917&lt;&gt;"NG w CCUS",G917&lt;&gt;"Oil w CCUS",G917&lt;&gt;"Coal w CCUS"),AB917,AD917*10^3/(HoursInYear*IF(G917="NG w CCUS",0.9105,1.9075)))</f>
        <v>17777.777777777777</v>
      </c>
      <c r="AF917" s="28" t="s">
        <v>3692</v>
      </c>
      <c r="AG917" s="28"/>
    </row>
    <row r="918" spans="1:33" ht="32.25" customHeight="1" x14ac:dyDescent="0.2">
      <c r="A918" s="70">
        <v>1257</v>
      </c>
      <c r="B918" s="27" t="s">
        <v>3693</v>
      </c>
      <c r="C918" s="27" t="s">
        <v>336</v>
      </c>
      <c r="D918" s="27"/>
      <c r="E918" s="27"/>
      <c r="F918" s="27" t="s">
        <v>1336</v>
      </c>
      <c r="G918" s="27" t="s">
        <v>758</v>
      </c>
      <c r="H918" s="27" t="s">
        <v>1406</v>
      </c>
      <c r="I918" s="27" t="s">
        <v>768</v>
      </c>
      <c r="J918" s="27" t="s">
        <v>861</v>
      </c>
      <c r="K918" s="27" t="s">
        <v>377</v>
      </c>
      <c r="L918" s="27"/>
      <c r="M918" s="27"/>
      <c r="N918" s="27"/>
      <c r="O918" s="27"/>
      <c r="P918" s="27"/>
      <c r="Q918" s="27"/>
      <c r="R918" s="27"/>
      <c r="S918" s="27"/>
      <c r="T918" s="27"/>
      <c r="U918" s="27"/>
      <c r="V918" s="27"/>
      <c r="W918" s="27"/>
      <c r="X918" s="27"/>
      <c r="Y918" s="27"/>
      <c r="Z918" s="27"/>
      <c r="AA918" s="29"/>
      <c r="AB918" s="30"/>
      <c r="AC918" s="30"/>
      <c r="AD918" s="30"/>
      <c r="AE918" s="30">
        <f>IF(AND(G918&lt;&gt;"NG w CCUS",G918&lt;&gt;"Oil w CCUS",G918&lt;&gt;"Coal w CCUS"),AB918,AD918*10^3/(HoursInYear*IF(G918="NG w CCUS",0.9105,1.9075)))</f>
        <v>0</v>
      </c>
      <c r="AF918" s="28" t="s">
        <v>3694</v>
      </c>
      <c r="AG918" s="28"/>
    </row>
    <row r="919" spans="1:33" ht="32.25" customHeight="1" x14ac:dyDescent="0.2">
      <c r="A919" s="70">
        <v>1258</v>
      </c>
      <c r="B919" s="27" t="s">
        <v>3695</v>
      </c>
      <c r="C919" s="27" t="s">
        <v>336</v>
      </c>
      <c r="D919" s="27">
        <v>2022</v>
      </c>
      <c r="E919" s="27"/>
      <c r="F919" s="27" t="s">
        <v>754</v>
      </c>
      <c r="G919" s="27" t="s">
        <v>266</v>
      </c>
      <c r="H919" s="27"/>
      <c r="I919" s="27" t="s">
        <v>768</v>
      </c>
      <c r="J919" s="27" t="s">
        <v>861</v>
      </c>
      <c r="K919" s="27" t="s">
        <v>377</v>
      </c>
      <c r="L919" s="27"/>
      <c r="M919" s="27"/>
      <c r="N919" s="27"/>
      <c r="O919" s="27"/>
      <c r="P919" s="27"/>
      <c r="Q919" s="27">
        <v>1</v>
      </c>
      <c r="R919" s="27"/>
      <c r="S919" s="27"/>
      <c r="T919" s="27"/>
      <c r="U919" s="27"/>
      <c r="V919" s="27"/>
      <c r="W919" s="27"/>
      <c r="X919" s="27"/>
      <c r="Y919" s="27"/>
      <c r="Z919" s="27" t="s">
        <v>2731</v>
      </c>
      <c r="AA919" s="29">
        <v>0.7</v>
      </c>
      <c r="AB919" s="30">
        <f>IF(OR(G919="ALK",G919="PEM",G919="SOEC",G919="Other Electrolysis"),
AA919/VLOOKUP(G919,ElectrolysisConvF,3,FALSE),
AC919*10^6/(H2dens*HoursInYear))</f>
        <v>134.61538461538461</v>
      </c>
      <c r="AC919" s="30">
        <f>AB919*H2dens*HoursInYear/10^6</f>
        <v>0.10495153846153846</v>
      </c>
      <c r="AD919" s="30"/>
      <c r="AE919" s="30">
        <f>IF(AND(G919&lt;&gt;"NG w CCUS",G919&lt;&gt;"Oil w CCUS",G919&lt;&gt;"Coal w CCUS"),AB919,AD919*10^3/(HoursInYear*IF(G919="NG w CCUS",0.9105,1.9075)))</f>
        <v>134.61538461538461</v>
      </c>
      <c r="AF919" s="28" t="s">
        <v>3696</v>
      </c>
      <c r="AG919" s="28"/>
    </row>
    <row r="920" spans="1:33" ht="32.25" customHeight="1" x14ac:dyDescent="0.2">
      <c r="A920" s="70">
        <v>1259</v>
      </c>
      <c r="B920" s="27" t="s">
        <v>3697</v>
      </c>
      <c r="C920" s="27" t="s">
        <v>336</v>
      </c>
      <c r="D920" s="27">
        <v>2023</v>
      </c>
      <c r="E920" s="27"/>
      <c r="F920" s="27" t="s">
        <v>832</v>
      </c>
      <c r="G920" s="27" t="s">
        <v>758</v>
      </c>
      <c r="H920" s="27" t="s">
        <v>1406</v>
      </c>
      <c r="I920" s="27" t="s">
        <v>768</v>
      </c>
      <c r="J920" s="27" t="s">
        <v>378</v>
      </c>
      <c r="K920" s="27" t="s">
        <v>739</v>
      </c>
      <c r="L920" s="27"/>
      <c r="M920" s="27"/>
      <c r="N920" s="27">
        <v>1</v>
      </c>
      <c r="O920" s="27"/>
      <c r="P920" s="27"/>
      <c r="Q920" s="27"/>
      <c r="R920" s="27"/>
      <c r="S920" s="27"/>
      <c r="T920" s="27"/>
      <c r="U920" s="27"/>
      <c r="V920" s="27"/>
      <c r="W920" s="27"/>
      <c r="X920" s="27"/>
      <c r="Y920" s="27"/>
      <c r="Z920" s="27" t="s">
        <v>2021</v>
      </c>
      <c r="AA920" s="29">
        <v>100</v>
      </c>
      <c r="AB920" s="30">
        <f>IF(OR(G920="ALK",G920="PEM",G920="SOEC",G920="Other Electrolysis"),
AA920/VLOOKUP(G920,ElectrolysisConvF,3,FALSE),
AC920*10^6/(H2dens*HoursInYear))</f>
        <v>22222.222222222223</v>
      </c>
      <c r="AC920" s="30">
        <f>AB920*H2dens*HoursInYear/10^6</f>
        <v>17.325333333333333</v>
      </c>
      <c r="AD920" s="30"/>
      <c r="AE920" s="30">
        <f>IF(AND(G920&lt;&gt;"NG w CCUS",G920&lt;&gt;"Oil w CCUS",G920&lt;&gt;"Coal w CCUS"),AB920,AD920*10^3/(HoursInYear*IF(G920="NG w CCUS",0.9105,1.9075)))</f>
        <v>22222.222222222223</v>
      </c>
      <c r="AF920" s="28" t="s">
        <v>3698</v>
      </c>
      <c r="AG920" s="74" t="s">
        <v>4047</v>
      </c>
    </row>
    <row r="921" spans="1:33" ht="32.25" customHeight="1" x14ac:dyDescent="0.2">
      <c r="A921" s="70">
        <v>1260</v>
      </c>
      <c r="B921" s="27" t="s">
        <v>3699</v>
      </c>
      <c r="C921" s="27" t="s">
        <v>336</v>
      </c>
      <c r="D921" s="27"/>
      <c r="E921" s="27"/>
      <c r="F921" s="27" t="s">
        <v>832</v>
      </c>
      <c r="G921" s="27" t="s">
        <v>758</v>
      </c>
      <c r="H921" s="27" t="s">
        <v>1406</v>
      </c>
      <c r="I921" s="27" t="s">
        <v>768</v>
      </c>
      <c r="J921" s="27" t="s">
        <v>378</v>
      </c>
      <c r="K921" s="27" t="s">
        <v>377</v>
      </c>
      <c r="L921" s="27"/>
      <c r="M921" s="27"/>
      <c r="N921" s="27"/>
      <c r="O921" s="27"/>
      <c r="P921" s="27">
        <v>1</v>
      </c>
      <c r="Q921" s="27"/>
      <c r="R921" s="27"/>
      <c r="S921" s="27"/>
      <c r="T921" s="27"/>
      <c r="U921" s="27"/>
      <c r="V921" s="27"/>
      <c r="W921" s="27"/>
      <c r="X921" s="27"/>
      <c r="Y921" s="27"/>
      <c r="Z921" s="27" t="s">
        <v>3700</v>
      </c>
      <c r="AA921" s="29">
        <v>95</v>
      </c>
      <c r="AB921" s="30">
        <f>IF(OR(G921="ALK",G921="PEM",G921="SOEC",G921="Other Electrolysis"),
AA921/VLOOKUP(G921,ElectrolysisConvF,3,FALSE),
AC921*10^6/(H2dens*HoursInYear))</f>
        <v>21111.111111111113</v>
      </c>
      <c r="AC921" s="30">
        <f>AB921*H2dens*HoursInYear/10^6</f>
        <v>16.459066666666665</v>
      </c>
      <c r="AD921" s="30"/>
      <c r="AE921" s="30">
        <f>IF(AND(G921&lt;&gt;"NG w CCUS",G921&lt;&gt;"Oil w CCUS",G921&lt;&gt;"Coal w CCUS"),AB921,AD921*10^3/(HoursInYear*IF(G921="NG w CCUS",0.9105,1.9075)))</f>
        <v>21111.111111111113</v>
      </c>
      <c r="AF921" s="28" t="s">
        <v>3701</v>
      </c>
      <c r="AG921" s="28"/>
    </row>
    <row r="922" spans="1:33" ht="32.25" customHeight="1" x14ac:dyDescent="0.2">
      <c r="A922" s="70">
        <v>1261</v>
      </c>
      <c r="B922" s="27" t="s">
        <v>3702</v>
      </c>
      <c r="C922" s="27" t="s">
        <v>336</v>
      </c>
      <c r="D922" s="27"/>
      <c r="E922" s="27"/>
      <c r="F922" s="27" t="s">
        <v>832</v>
      </c>
      <c r="G922" s="27" t="s">
        <v>266</v>
      </c>
      <c r="H922" s="27"/>
      <c r="I922" s="27" t="s">
        <v>866</v>
      </c>
      <c r="J922" s="27" t="str">
        <f>IF(I922&lt;&gt;"Dedicated renewable","N/A",)</f>
        <v>N/A</v>
      </c>
      <c r="K922" s="27" t="s">
        <v>377</v>
      </c>
      <c r="L922" s="27"/>
      <c r="M922" s="27"/>
      <c r="N922" s="27"/>
      <c r="O922" s="27"/>
      <c r="P922" s="27"/>
      <c r="Q922" s="27">
        <v>1</v>
      </c>
      <c r="R922" s="27"/>
      <c r="S922" s="27">
        <v>1</v>
      </c>
      <c r="T922" s="27"/>
      <c r="U922" s="27"/>
      <c r="V922" s="27"/>
      <c r="W922" s="27"/>
      <c r="X922" s="27"/>
      <c r="Y922" s="27"/>
      <c r="Z922" s="27" t="s">
        <v>1407</v>
      </c>
      <c r="AA922" s="29">
        <v>10</v>
      </c>
      <c r="AB922" s="30">
        <f>IF(OR(G922="ALK",G922="PEM",G922="SOEC",G922="Other Electrolysis"),
AA922/VLOOKUP(G922,ElectrolysisConvF,3,FALSE),
AC922*10^6/(H2dens*HoursInYear))</f>
        <v>1923.0769230769231</v>
      </c>
      <c r="AC922" s="30">
        <f>AB922*H2dens*HoursInYear/10^6</f>
        <v>1.4993076923076922</v>
      </c>
      <c r="AD922" s="30"/>
      <c r="AE922" s="30">
        <f>IF(AND(G922&lt;&gt;"NG w CCUS",G922&lt;&gt;"Oil w CCUS",G922&lt;&gt;"Coal w CCUS"),AB922,AD922*10^3/(HoursInYear*IF(G922="NG w CCUS",0.9105,1.9075)))</f>
        <v>1923.0769230769231</v>
      </c>
      <c r="AF922" s="28" t="s">
        <v>3703</v>
      </c>
      <c r="AG922" s="28"/>
    </row>
    <row r="923" spans="1:33" ht="32.25" customHeight="1" x14ac:dyDescent="0.2">
      <c r="A923" s="70">
        <v>1262</v>
      </c>
      <c r="B923" s="27" t="s">
        <v>3702</v>
      </c>
      <c r="C923" s="27" t="s">
        <v>336</v>
      </c>
      <c r="D923" s="27"/>
      <c r="E923" s="27"/>
      <c r="F923" s="27" t="s">
        <v>832</v>
      </c>
      <c r="G923" s="27" t="s">
        <v>758</v>
      </c>
      <c r="H923" s="27" t="s">
        <v>1406</v>
      </c>
      <c r="I923" s="27" t="s">
        <v>768</v>
      </c>
      <c r="J923" s="27" t="s">
        <v>378</v>
      </c>
      <c r="K923" s="27" t="s">
        <v>377</v>
      </c>
      <c r="L923" s="27"/>
      <c r="M923" s="27"/>
      <c r="N923" s="27"/>
      <c r="O923" s="27"/>
      <c r="P923" s="27"/>
      <c r="Q923" s="27"/>
      <c r="R923" s="27"/>
      <c r="S923" s="27"/>
      <c r="T923" s="27"/>
      <c r="U923" s="27"/>
      <c r="V923" s="27"/>
      <c r="W923" s="27"/>
      <c r="X923" s="27"/>
      <c r="Y923" s="27"/>
      <c r="Z923" s="27" t="s">
        <v>1902</v>
      </c>
      <c r="AA923" s="29">
        <v>50</v>
      </c>
      <c r="AB923" s="30">
        <f>IF(OR(G923="ALK",G923="PEM",G923="SOEC",G923="Other Electrolysis"),
AA923/VLOOKUP(G923,ElectrolysisConvF,3,FALSE),
AC923*10^6/(H2dens*HoursInYear))</f>
        <v>11111.111111111111</v>
      </c>
      <c r="AC923" s="30">
        <f>AB923*H2dens*HoursInYear/10^6</f>
        <v>8.6626666666666665</v>
      </c>
      <c r="AD923" s="30"/>
      <c r="AE923" s="30">
        <f>IF(AND(G923&lt;&gt;"NG w CCUS",G923&lt;&gt;"Oil w CCUS",G923&lt;&gt;"Coal w CCUS"),AB923,AD923*10^3/(HoursInYear*IF(G923="NG w CCUS",0.9105,1.9075)))</f>
        <v>11111.111111111111</v>
      </c>
      <c r="AF923" s="28" t="s">
        <v>3704</v>
      </c>
      <c r="AG923" s="28"/>
    </row>
    <row r="924" spans="1:33" ht="32.25" customHeight="1" x14ac:dyDescent="0.2">
      <c r="A924" s="70">
        <v>1263</v>
      </c>
      <c r="B924" s="27" t="s">
        <v>3705</v>
      </c>
      <c r="C924" s="27" t="s">
        <v>336</v>
      </c>
      <c r="D924" s="27">
        <v>2022</v>
      </c>
      <c r="E924" s="27"/>
      <c r="F924" s="27" t="s">
        <v>832</v>
      </c>
      <c r="G924" s="27" t="s">
        <v>758</v>
      </c>
      <c r="H924" s="27" t="s">
        <v>1406</v>
      </c>
      <c r="I924" s="27" t="s">
        <v>765</v>
      </c>
      <c r="J924" s="27" t="str">
        <f>IF(I924&lt;&gt;"Dedicated renewable","N/A",)</f>
        <v>N/A</v>
      </c>
      <c r="K924" s="27" t="s">
        <v>377</v>
      </c>
      <c r="L924" s="27"/>
      <c r="M924" s="27"/>
      <c r="N924" s="27"/>
      <c r="O924" s="27"/>
      <c r="P924" s="27"/>
      <c r="Q924" s="27">
        <v>1</v>
      </c>
      <c r="R924" s="27"/>
      <c r="S924" s="27"/>
      <c r="T924" s="27"/>
      <c r="U924" s="27"/>
      <c r="V924" s="27"/>
      <c r="W924" s="27"/>
      <c r="X924" s="27"/>
      <c r="Y924" s="27"/>
      <c r="Z924" s="27" t="s">
        <v>3706</v>
      </c>
      <c r="AA924" s="29">
        <f>IF(OR(G924="ALK",G924="PEM",G924="SOEC",G924="Other Electrolysis"),
AB924*VLOOKUP(G924,ElectrolysisConvF,3,FALSE),
"")</f>
        <v>4.2134831460674156E-2</v>
      </c>
      <c r="AB924" s="30">
        <f>AC924/(H2dens*HoursInYear/10^6)</f>
        <v>9.3632958801498134</v>
      </c>
      <c r="AC924" s="30">
        <f>20*365/1000000</f>
        <v>7.3000000000000001E-3</v>
      </c>
      <c r="AD924" s="30"/>
      <c r="AE924" s="30">
        <f>IF(AND(G924&lt;&gt;"NG w CCUS",G924&lt;&gt;"Oil w CCUS",G924&lt;&gt;"Coal w CCUS"),AB924,AD924*10^3/(HoursInYear*IF(G924="NG w CCUS",0.9105,1.9075)))</f>
        <v>9.3632958801498134</v>
      </c>
      <c r="AF924" s="28" t="s">
        <v>3707</v>
      </c>
      <c r="AG924" s="28"/>
    </row>
    <row r="925" spans="1:33" ht="32.25" customHeight="1" x14ac:dyDescent="0.2">
      <c r="A925" s="70">
        <v>1264</v>
      </c>
      <c r="B925" s="27" t="s">
        <v>3708</v>
      </c>
      <c r="C925" s="27" t="s">
        <v>342</v>
      </c>
      <c r="D925" s="27"/>
      <c r="E925" s="27"/>
      <c r="F925" s="27" t="s">
        <v>1336</v>
      </c>
      <c r="G925" s="27" t="s">
        <v>758</v>
      </c>
      <c r="H925" s="27" t="s">
        <v>1406</v>
      </c>
      <c r="I925" s="27" t="s">
        <v>768</v>
      </c>
      <c r="J925" s="27" t="s">
        <v>865</v>
      </c>
      <c r="K925" s="27" t="s">
        <v>377</v>
      </c>
      <c r="L925" s="27"/>
      <c r="M925" s="27"/>
      <c r="N925" s="27"/>
      <c r="O925" s="27"/>
      <c r="P925" s="27"/>
      <c r="Q925" s="27"/>
      <c r="R925" s="27"/>
      <c r="S925" s="27"/>
      <c r="T925" s="27"/>
      <c r="U925" s="27"/>
      <c r="V925" s="27"/>
      <c r="W925" s="27"/>
      <c r="X925" s="27"/>
      <c r="Y925" s="27"/>
      <c r="Z925" s="27"/>
      <c r="AA925" s="29"/>
      <c r="AB925" s="30"/>
      <c r="AC925" s="30"/>
      <c r="AD925" s="30"/>
      <c r="AE925" s="30">
        <f>IF(AND(G925&lt;&gt;"NG w CCUS",G925&lt;&gt;"Oil w CCUS",G925&lt;&gt;"Coal w CCUS"),AB925,AD925*10^3/(HoursInYear*IF(G925="NG w CCUS",0.9105,1.9075)))</f>
        <v>0</v>
      </c>
      <c r="AF925" s="28" t="s">
        <v>3709</v>
      </c>
      <c r="AG925" s="28"/>
    </row>
    <row r="926" spans="1:33" ht="32.25" customHeight="1" x14ac:dyDescent="0.2">
      <c r="A926" s="70">
        <v>1265</v>
      </c>
      <c r="B926" s="27" t="s">
        <v>3710</v>
      </c>
      <c r="C926" s="27" t="s">
        <v>362</v>
      </c>
      <c r="D926" s="27">
        <v>2022</v>
      </c>
      <c r="E926" s="27"/>
      <c r="F926" s="27" t="s">
        <v>754</v>
      </c>
      <c r="G926" s="27" t="s">
        <v>266</v>
      </c>
      <c r="H926" s="27"/>
      <c r="I926" s="27" t="s">
        <v>768</v>
      </c>
      <c r="J926" s="27" t="s">
        <v>865</v>
      </c>
      <c r="K926" s="27" t="s">
        <v>377</v>
      </c>
      <c r="L926" s="27"/>
      <c r="M926" s="27"/>
      <c r="N926" s="27"/>
      <c r="O926" s="27"/>
      <c r="P926" s="27"/>
      <c r="Q926" s="27">
        <v>1</v>
      </c>
      <c r="R926" s="27"/>
      <c r="S926" s="27"/>
      <c r="T926" s="27"/>
      <c r="U926" s="27"/>
      <c r="V926" s="27"/>
      <c r="W926" s="27"/>
      <c r="X926" s="27"/>
      <c r="Y926" s="27"/>
      <c r="Z926" s="27" t="s">
        <v>1977</v>
      </c>
      <c r="AA926" s="29">
        <v>2.5</v>
      </c>
      <c r="AB926" s="30">
        <f>IF(OR(G926="ALK",G926="PEM",G926="SOEC",G926="Other Electrolysis"),
AA926/VLOOKUP(G926,ElectrolysisConvF,3,FALSE),
AC926*10^6/(H2dens*HoursInYear))</f>
        <v>480.76923076923077</v>
      </c>
      <c r="AC926" s="30">
        <f>AB926*H2dens*HoursInYear/10^6</f>
        <v>0.37482692307692306</v>
      </c>
      <c r="AD926" s="30"/>
      <c r="AE926" s="30">
        <f>IF(AND(G926&lt;&gt;"NG w CCUS",G926&lt;&gt;"Oil w CCUS",G926&lt;&gt;"Coal w CCUS"),AB926,AD926*10^3/(HoursInYear*IF(G926="NG w CCUS",0.9105,1.9075)))</f>
        <v>480.76923076923077</v>
      </c>
      <c r="AF926" s="28" t="s">
        <v>3711</v>
      </c>
      <c r="AG926" s="28"/>
    </row>
    <row r="927" spans="1:33" ht="32.25" customHeight="1" x14ac:dyDescent="0.2">
      <c r="A927" s="70">
        <v>1266</v>
      </c>
      <c r="B927" s="27" t="s">
        <v>3712</v>
      </c>
      <c r="C927" s="27" t="s">
        <v>362</v>
      </c>
      <c r="D927" s="27"/>
      <c r="E927" s="27"/>
      <c r="F927" s="27" t="s">
        <v>832</v>
      </c>
      <c r="G927" s="27" t="s">
        <v>266</v>
      </c>
      <c r="H927" s="27"/>
      <c r="I927" s="27" t="s">
        <v>768</v>
      </c>
      <c r="J927" s="27" t="s">
        <v>865</v>
      </c>
      <c r="K927" s="27" t="s">
        <v>377</v>
      </c>
      <c r="L927" s="27"/>
      <c r="M927" s="27"/>
      <c r="N927" s="27"/>
      <c r="O927" s="27"/>
      <c r="P927" s="27"/>
      <c r="Q927" s="27">
        <v>1</v>
      </c>
      <c r="R927" s="27"/>
      <c r="S927" s="27"/>
      <c r="T927" s="27"/>
      <c r="U927" s="27"/>
      <c r="V927" s="27"/>
      <c r="W927" s="27"/>
      <c r="X927" s="27"/>
      <c r="Y927" s="27"/>
      <c r="Z927" s="27" t="s">
        <v>1902</v>
      </c>
      <c r="AA927" s="29">
        <v>45</v>
      </c>
      <c r="AB927" s="30">
        <f>IF(OR(G927="ALK",G927="PEM",G927="SOEC",G927="Other Electrolysis"),
AA927/VLOOKUP(G927,ElectrolysisConvF,3,FALSE),
AC927*10^6/(H2dens*HoursInYear))</f>
        <v>8653.8461538461543</v>
      </c>
      <c r="AC927" s="30">
        <f>AB927*H2dens*HoursInYear/10^6</f>
        <v>6.7468846153846158</v>
      </c>
      <c r="AD927" s="30"/>
      <c r="AE927" s="30">
        <f>IF(AND(G927&lt;&gt;"NG w CCUS",G927&lt;&gt;"Oil w CCUS",G927&lt;&gt;"Coal w CCUS"),AB927,AD927*10^3/(HoursInYear*IF(G927="NG w CCUS",0.9105,1.9075)))</f>
        <v>8653.8461538461543</v>
      </c>
      <c r="AF927" s="28" t="s">
        <v>3340</v>
      </c>
      <c r="AG927" s="28"/>
    </row>
    <row r="928" spans="1:33" ht="32.25" customHeight="1" x14ac:dyDescent="0.2">
      <c r="A928" s="70">
        <v>1267</v>
      </c>
      <c r="B928" s="27" t="s">
        <v>3713</v>
      </c>
      <c r="C928" s="27" t="s">
        <v>804</v>
      </c>
      <c r="D928" s="27">
        <v>2028</v>
      </c>
      <c r="E928" s="27"/>
      <c r="F928" s="27" t="s">
        <v>832</v>
      </c>
      <c r="G928" s="27" t="s">
        <v>758</v>
      </c>
      <c r="H928" s="27" t="s">
        <v>1406</v>
      </c>
      <c r="I928" s="27" t="s">
        <v>768</v>
      </c>
      <c r="J928" s="27" t="s">
        <v>863</v>
      </c>
      <c r="K928" s="27" t="s">
        <v>377</v>
      </c>
      <c r="L928" s="27"/>
      <c r="M928" s="27"/>
      <c r="N928" s="27"/>
      <c r="O928" s="27"/>
      <c r="P928" s="27"/>
      <c r="Q928" s="27"/>
      <c r="R928" s="27"/>
      <c r="S928" s="27"/>
      <c r="T928" s="27"/>
      <c r="U928" s="27"/>
      <c r="V928" s="27"/>
      <c r="W928" s="27"/>
      <c r="X928" s="27"/>
      <c r="Y928" s="27"/>
      <c r="Z928" s="27" t="s">
        <v>2556</v>
      </c>
      <c r="AA928" s="29">
        <v>272</v>
      </c>
      <c r="AB928" s="30">
        <f>IF(OR(G928="ALK",G928="PEM",G928="SOEC",G928="Other Electrolysis"),
AA928/VLOOKUP(G928,ElectrolysisConvF,3,FALSE),
AC928*10^6/(H2dens*HoursInYear))</f>
        <v>60444.444444444453</v>
      </c>
      <c r="AC928" s="30">
        <f>AB928*H2dens*HoursInYear/10^6</f>
        <v>47.124906666666661</v>
      </c>
      <c r="AD928" s="30"/>
      <c r="AE928" s="30">
        <f>IF(AND(G928&lt;&gt;"NG w CCUS",G928&lt;&gt;"Oil w CCUS",G928&lt;&gt;"Coal w CCUS"),AB928,AD928*10^3/(HoursInYear*IF(G928="NG w CCUS",0.9105,1.9075)))</f>
        <v>60444.444444444453</v>
      </c>
      <c r="AF928" s="28" t="s">
        <v>3714</v>
      </c>
      <c r="AG928" s="74" t="s">
        <v>3861</v>
      </c>
    </row>
    <row r="929" spans="1:33" ht="32.25" customHeight="1" x14ac:dyDescent="0.2">
      <c r="A929" s="70">
        <v>1268</v>
      </c>
      <c r="B929" s="27" t="s">
        <v>3715</v>
      </c>
      <c r="C929" s="27" t="s">
        <v>804</v>
      </c>
      <c r="D929" s="81"/>
      <c r="E929" s="27"/>
      <c r="F929" s="27" t="s">
        <v>832</v>
      </c>
      <c r="G929" s="27" t="s">
        <v>758</v>
      </c>
      <c r="H929" s="27" t="s">
        <v>1406</v>
      </c>
      <c r="I929" s="27" t="s">
        <v>768</v>
      </c>
      <c r="J929" s="27" t="s">
        <v>863</v>
      </c>
      <c r="K929" s="27" t="s">
        <v>377</v>
      </c>
      <c r="L929" s="27"/>
      <c r="M929" s="27"/>
      <c r="N929" s="27"/>
      <c r="O929" s="27"/>
      <c r="P929" s="27"/>
      <c r="Q929" s="27"/>
      <c r="R929" s="27"/>
      <c r="S929" s="27"/>
      <c r="T929" s="27"/>
      <c r="U929" s="27"/>
      <c r="V929" s="27"/>
      <c r="W929" s="27"/>
      <c r="X929" s="27"/>
      <c r="Y929" s="27"/>
      <c r="Z929" s="81"/>
      <c r="AA929" s="80"/>
      <c r="AB929" s="30">
        <f>IF(OR(G929="ALK",G929="PEM",G929="SOEC",G929="Other Electrolysis"),
AA929/VLOOKUP(G929,ElectrolysisConvF,3,FALSE),
AC929*10^6/(H2dens*HoursInYear))</f>
        <v>0</v>
      </c>
      <c r="AC929" s="30">
        <f>AB929*H2dens*HoursInYear/10^6</f>
        <v>0</v>
      </c>
      <c r="AD929" s="30"/>
      <c r="AE929" s="30">
        <f>IF(AND(G929&lt;&gt;"NG w CCUS",G929&lt;&gt;"Oil w CCUS",G929&lt;&gt;"Coal w CCUS"),AB929,AD929*10^3/(HoursInYear*IF(G929="NG w CCUS",0.9105,1.9075)))</f>
        <v>0</v>
      </c>
      <c r="AF929" s="28" t="s">
        <v>3714</v>
      </c>
      <c r="AG929" s="79" t="s">
        <v>4110</v>
      </c>
    </row>
    <row r="930" spans="1:33" ht="32.25" customHeight="1" x14ac:dyDescent="0.2">
      <c r="A930" s="70">
        <v>1269</v>
      </c>
      <c r="B930" s="27" t="s">
        <v>3717</v>
      </c>
      <c r="C930" s="27" t="s">
        <v>804</v>
      </c>
      <c r="D930" s="27">
        <v>2026</v>
      </c>
      <c r="E930" s="27"/>
      <c r="F930" s="27" t="s">
        <v>753</v>
      </c>
      <c r="G930" s="27" t="s">
        <v>266</v>
      </c>
      <c r="H930" s="27"/>
      <c r="I930" s="27" t="s">
        <v>768</v>
      </c>
      <c r="J930" s="27" t="s">
        <v>863</v>
      </c>
      <c r="K930" s="27" t="s">
        <v>377</v>
      </c>
      <c r="L930" s="27"/>
      <c r="M930" s="27"/>
      <c r="N930" s="27"/>
      <c r="O930" s="27"/>
      <c r="P930" s="27"/>
      <c r="Q930" s="27"/>
      <c r="R930" s="27"/>
      <c r="S930" s="27"/>
      <c r="T930" s="27"/>
      <c r="U930" s="27"/>
      <c r="V930" s="27"/>
      <c r="W930" s="27"/>
      <c r="X930" s="27"/>
      <c r="Y930" s="27"/>
      <c r="Z930" s="27" t="s">
        <v>3716</v>
      </c>
      <c r="AA930" s="29">
        <v>14</v>
      </c>
      <c r="AB930" s="30">
        <f>IF(OR(G930="ALK",G930="PEM",G930="SOEC",G930="Other Electrolysis"),
AA930/VLOOKUP(G930,ElectrolysisConvF,3,FALSE),
AC930*10^6/(H2dens*HoursInYear))</f>
        <v>2692.3076923076924</v>
      </c>
      <c r="AC930" s="30">
        <f>AB930*H2dens*HoursInYear/10^6</f>
        <v>2.0990307692307688</v>
      </c>
      <c r="AD930" s="30"/>
      <c r="AE930" s="30">
        <f>IF(AND(G930&lt;&gt;"NG w CCUS",G930&lt;&gt;"Oil w CCUS",G930&lt;&gt;"Coal w CCUS"),AB930,AD930*10^3/(HoursInYear*IF(G930="NG w CCUS",0.9105,1.9075)))</f>
        <v>2692.3076923076924</v>
      </c>
      <c r="AF930" s="28" t="s">
        <v>3718</v>
      </c>
      <c r="AG930" s="28"/>
    </row>
    <row r="931" spans="1:33" ht="32.25" customHeight="1" x14ac:dyDescent="0.2">
      <c r="A931" s="70">
        <v>1270</v>
      </c>
      <c r="B931" s="27" t="s">
        <v>3719</v>
      </c>
      <c r="C931" s="27" t="s">
        <v>980</v>
      </c>
      <c r="D931" s="27"/>
      <c r="E931" s="27"/>
      <c r="F931" s="27" t="s">
        <v>1336</v>
      </c>
      <c r="G931" s="27" t="s">
        <v>758</v>
      </c>
      <c r="H931" s="27" t="s">
        <v>1406</v>
      </c>
      <c r="I931" s="27" t="s">
        <v>768</v>
      </c>
      <c r="J931" s="27" t="s">
        <v>861</v>
      </c>
      <c r="K931" s="27" t="s">
        <v>377</v>
      </c>
      <c r="L931" s="27"/>
      <c r="M931" s="27"/>
      <c r="N931" s="27"/>
      <c r="O931" s="27"/>
      <c r="P931" s="27"/>
      <c r="Q931" s="27"/>
      <c r="R931" s="27"/>
      <c r="S931" s="27"/>
      <c r="T931" s="27"/>
      <c r="U931" s="27"/>
      <c r="V931" s="27"/>
      <c r="W931" s="27"/>
      <c r="X931" s="27"/>
      <c r="Y931" s="27"/>
      <c r="Z931" s="27" t="s">
        <v>2075</v>
      </c>
      <c r="AA931" s="29">
        <v>140</v>
      </c>
      <c r="AB931" s="30">
        <f>AA931/0.0045</f>
        <v>31111.111111111113</v>
      </c>
      <c r="AC931" s="30">
        <f>AB931*0.089*24*365/10^6</f>
        <v>24.255466666666671</v>
      </c>
      <c r="AD931" s="30"/>
      <c r="AE931" s="30">
        <f>AB931</f>
        <v>31111.111111111113</v>
      </c>
      <c r="AF931" s="28" t="s">
        <v>3332</v>
      </c>
      <c r="AG931" s="28"/>
    </row>
    <row r="932" spans="1:33" ht="32.25" customHeight="1" x14ac:dyDescent="0.2">
      <c r="A932" s="70">
        <v>1271</v>
      </c>
      <c r="B932" s="27" t="s">
        <v>3720</v>
      </c>
      <c r="C932" s="27" t="s">
        <v>980</v>
      </c>
      <c r="D932" s="27"/>
      <c r="E932" s="27"/>
      <c r="F932" s="27" t="s">
        <v>1336</v>
      </c>
      <c r="G932" s="27" t="s">
        <v>758</v>
      </c>
      <c r="H932" s="27" t="s">
        <v>1406</v>
      </c>
      <c r="I932" s="27" t="s">
        <v>768</v>
      </c>
      <c r="J932" s="27" t="s">
        <v>862</v>
      </c>
      <c r="K932" s="27" t="s">
        <v>377</v>
      </c>
      <c r="L932" s="27"/>
      <c r="M932" s="27"/>
      <c r="N932" s="27"/>
      <c r="O932" s="27"/>
      <c r="P932" s="27">
        <v>1</v>
      </c>
      <c r="Q932" s="27"/>
      <c r="R932" s="27"/>
      <c r="S932" s="27"/>
      <c r="T932" s="27"/>
      <c r="U932" s="27"/>
      <c r="V932" s="27"/>
      <c r="W932" s="27"/>
      <c r="X932" s="27"/>
      <c r="Y932" s="27"/>
      <c r="Z932" s="27" t="s">
        <v>2075</v>
      </c>
      <c r="AA932" s="29">
        <v>150</v>
      </c>
      <c r="AB932" s="30">
        <f>AA932/0.0045</f>
        <v>33333.333333333336</v>
      </c>
      <c r="AC932" s="30">
        <f>AB932*0.089*24*365/10^6</f>
        <v>25.988</v>
      </c>
      <c r="AD932" s="30"/>
      <c r="AE932" s="30">
        <f>AB932</f>
        <v>33333.333333333336</v>
      </c>
      <c r="AF932" s="28" t="s">
        <v>3334</v>
      </c>
      <c r="AG932" s="28"/>
    </row>
    <row r="933" spans="1:33" ht="32.25" customHeight="1" x14ac:dyDescent="0.2">
      <c r="A933" s="70">
        <v>1272</v>
      </c>
      <c r="B933" s="27" t="s">
        <v>3721</v>
      </c>
      <c r="C933" s="27" t="s">
        <v>356</v>
      </c>
      <c r="D933" s="27">
        <v>2023</v>
      </c>
      <c r="E933" s="27"/>
      <c r="F933" s="27" t="s">
        <v>832</v>
      </c>
      <c r="G933" s="27" t="s">
        <v>758</v>
      </c>
      <c r="H933" s="27" t="s">
        <v>1406</v>
      </c>
      <c r="I933" s="27" t="s">
        <v>866</v>
      </c>
      <c r="J933" s="27" t="str">
        <f>IF(I933&lt;&gt;"Dedicated renewable","N/A",)</f>
        <v>N/A</v>
      </c>
      <c r="K933" s="27" t="s">
        <v>377</v>
      </c>
      <c r="L933" s="27"/>
      <c r="M933" s="27"/>
      <c r="N933" s="27"/>
      <c r="O933" s="27"/>
      <c r="P933" s="27"/>
      <c r="Q933" s="27">
        <v>1</v>
      </c>
      <c r="R933" s="27"/>
      <c r="S933" s="27"/>
      <c r="T933" s="27"/>
      <c r="U933" s="27"/>
      <c r="V933" s="27"/>
      <c r="W933" s="27"/>
      <c r="X933" s="27"/>
      <c r="Y933" s="27"/>
      <c r="Z933" s="27" t="s">
        <v>1407</v>
      </c>
      <c r="AA933" s="29">
        <v>10</v>
      </c>
      <c r="AB933" s="30">
        <f>IF(OR(G933="ALK",G933="PEM",G933="SOEC",G933="Other Electrolysis"),
AA933/VLOOKUP(G933,ElectrolysisConvF,3,FALSE),
AC933*10^6/(H2dens*HoursInYear))</f>
        <v>2222.2222222222222</v>
      </c>
      <c r="AC933" s="30">
        <f>AB933*H2dens*HoursInYear/10^6</f>
        <v>1.7325333333333333</v>
      </c>
      <c r="AD933" s="30"/>
      <c r="AE933" s="30">
        <f>IF(AND(G933&lt;&gt;"NG w CCUS",G933&lt;&gt;"Oil w CCUS",G933&lt;&gt;"Coal w CCUS"),AB933,AD933*10^3/(HoursInYear*IF(G933="NG w CCUS",0.9105,1.9075)))</f>
        <v>2222.2222222222222</v>
      </c>
      <c r="AF933" s="28" t="s">
        <v>3722</v>
      </c>
      <c r="AG933" s="28"/>
    </row>
    <row r="934" spans="1:33" ht="32.25" customHeight="1" x14ac:dyDescent="0.2">
      <c r="A934" s="70">
        <v>1273</v>
      </c>
      <c r="B934" s="27" t="s">
        <v>3723</v>
      </c>
      <c r="C934" s="27" t="s">
        <v>804</v>
      </c>
      <c r="D934" s="27">
        <v>2023</v>
      </c>
      <c r="E934" s="27"/>
      <c r="F934" s="27" t="s">
        <v>753</v>
      </c>
      <c r="G934" s="27" t="s">
        <v>266</v>
      </c>
      <c r="H934" s="27"/>
      <c r="I934" s="27" t="s">
        <v>768</v>
      </c>
      <c r="J934" s="27" t="s">
        <v>378</v>
      </c>
      <c r="K934" s="27" t="s">
        <v>377</v>
      </c>
      <c r="L934" s="27"/>
      <c r="M934" s="27"/>
      <c r="N934" s="27"/>
      <c r="O934" s="27"/>
      <c r="P934" s="27"/>
      <c r="Q934" s="27">
        <v>1</v>
      </c>
      <c r="R934" s="27"/>
      <c r="S934" s="27"/>
      <c r="T934" s="27"/>
      <c r="U934" s="27"/>
      <c r="V934" s="27"/>
      <c r="W934" s="27"/>
      <c r="X934" s="27"/>
      <c r="Y934" s="27"/>
      <c r="Z934" s="27" t="s">
        <v>1403</v>
      </c>
      <c r="AA934" s="29">
        <v>20</v>
      </c>
      <c r="AB934" s="30">
        <f>IF(OR(G934="ALK",G934="PEM",G934="SOEC",G934="Other Electrolysis"),
AA934/VLOOKUP(G934,ElectrolysisConvF,3,FALSE),
AC934*10^6/(H2dens*HoursInYear))</f>
        <v>3846.1538461538462</v>
      </c>
      <c r="AC934" s="30">
        <f>AB934*H2dens*HoursInYear/10^6</f>
        <v>2.9986153846153845</v>
      </c>
      <c r="AD934" s="30"/>
      <c r="AE934" s="30">
        <f>IF(AND(G934&lt;&gt;"NG w CCUS",G934&lt;&gt;"Oil w CCUS",G934&lt;&gt;"Coal w CCUS"),AB934,AD934*10^3/(HoursInYear*IF(G934="NG w CCUS",0.9105,1.9075)))</f>
        <v>3846.1538461538462</v>
      </c>
      <c r="AF934" s="28" t="s">
        <v>3724</v>
      </c>
      <c r="AG934" s="74" t="s">
        <v>4081</v>
      </c>
    </row>
    <row r="935" spans="1:33" ht="32.25" customHeight="1" x14ac:dyDescent="0.2">
      <c r="A935" s="70">
        <v>1274</v>
      </c>
      <c r="B935" s="27" t="s">
        <v>3723</v>
      </c>
      <c r="C935" s="27" t="s">
        <v>804</v>
      </c>
      <c r="D935" s="27">
        <v>2023</v>
      </c>
      <c r="E935" s="27"/>
      <c r="F935" s="27" t="s">
        <v>832</v>
      </c>
      <c r="G935" s="27" t="s">
        <v>266</v>
      </c>
      <c r="H935" s="27"/>
      <c r="I935" s="27" t="s">
        <v>768</v>
      </c>
      <c r="J935" s="27" t="s">
        <v>378</v>
      </c>
      <c r="K935" s="27" t="s">
        <v>377</v>
      </c>
      <c r="L935" s="27"/>
      <c r="M935" s="27"/>
      <c r="N935" s="27"/>
      <c r="O935" s="27"/>
      <c r="P935" s="27"/>
      <c r="Q935" s="27">
        <v>1</v>
      </c>
      <c r="R935" s="27"/>
      <c r="S935" s="27"/>
      <c r="T935" s="27"/>
      <c r="U935" s="27"/>
      <c r="V935" s="27"/>
      <c r="W935" s="27"/>
      <c r="X935" s="27"/>
      <c r="Y935" s="27"/>
      <c r="Z935" s="27" t="s">
        <v>1702</v>
      </c>
      <c r="AA935" s="29">
        <v>10</v>
      </c>
      <c r="AB935" s="30">
        <f>IF(OR(G935="ALK",G935="PEM",G935="SOEC",G935="Other Electrolysis"),
AA935/VLOOKUP(G935,ElectrolysisConvF,3,FALSE),
AC935*10^6/(H2dens*HoursInYear))</f>
        <v>1923.0769230769231</v>
      </c>
      <c r="AC935" s="30">
        <f>AB935*H2dens*HoursInYear/10^6</f>
        <v>1.4993076923076922</v>
      </c>
      <c r="AD935" s="30"/>
      <c r="AE935" s="30">
        <f>IF(AND(G935&lt;&gt;"NG w CCUS",G935&lt;&gt;"Oil w CCUS",G935&lt;&gt;"Coal w CCUS"),AB935,AD935*10^3/(HoursInYear*IF(G935="NG w CCUS",0.9105,1.9075)))</f>
        <v>1923.0769230769231</v>
      </c>
      <c r="AF935" s="28" t="s">
        <v>3724</v>
      </c>
      <c r="AG935" s="28"/>
    </row>
    <row r="936" spans="1:33" ht="32.25" customHeight="1" x14ac:dyDescent="0.2">
      <c r="A936" s="70">
        <v>1275</v>
      </c>
      <c r="B936" s="27" t="s">
        <v>3725</v>
      </c>
      <c r="C936" s="27" t="s">
        <v>343</v>
      </c>
      <c r="D936" s="27">
        <v>2023</v>
      </c>
      <c r="E936" s="27"/>
      <c r="F936" s="27" t="s">
        <v>832</v>
      </c>
      <c r="G936" s="27" t="s">
        <v>758</v>
      </c>
      <c r="H936" s="27" t="s">
        <v>1406</v>
      </c>
      <c r="I936" s="27" t="s">
        <v>768</v>
      </c>
      <c r="J936" s="27" t="s">
        <v>865</v>
      </c>
      <c r="K936" s="27" t="s">
        <v>377</v>
      </c>
      <c r="L936" s="27"/>
      <c r="M936" s="27"/>
      <c r="N936" s="27"/>
      <c r="O936" s="27"/>
      <c r="P936" s="27">
        <v>1</v>
      </c>
      <c r="Q936" s="27">
        <v>1</v>
      </c>
      <c r="R936" s="27"/>
      <c r="S936" s="27"/>
      <c r="T936" s="27"/>
      <c r="U936" s="27"/>
      <c r="V936" s="27"/>
      <c r="W936" s="27"/>
      <c r="X936" s="27"/>
      <c r="Y936" s="27"/>
      <c r="Z936" s="27" t="s">
        <v>2075</v>
      </c>
      <c r="AA936" s="29">
        <v>200</v>
      </c>
      <c r="AB936" s="30">
        <f>IF(OR(G936="ALK",G936="PEM",G936="SOEC",G936="Other Electrolysis"),
AA936/VLOOKUP(G936,ElectrolysisConvF,3,FALSE),
AC936*10^6/(H2dens*HoursInYear))</f>
        <v>44444.444444444445</v>
      </c>
      <c r="AC936" s="30">
        <f>AB936*H2dens*HoursInYear/10^6</f>
        <v>34.650666666666666</v>
      </c>
      <c r="AD936" s="30"/>
      <c r="AE936" s="30">
        <f>IF(AND(G936&lt;&gt;"NG w CCUS",G936&lt;&gt;"Oil w CCUS",G936&lt;&gt;"Coal w CCUS"),AB936,AD936*10^3/(HoursInYear*IF(G936="NG w CCUS",0.9105,1.9075)))</f>
        <v>44444.444444444445</v>
      </c>
      <c r="AF936" s="28"/>
      <c r="AG936" s="74" t="s">
        <v>2666</v>
      </c>
    </row>
    <row r="937" spans="1:33" ht="32.25" customHeight="1" x14ac:dyDescent="0.2">
      <c r="A937" s="70">
        <v>1276</v>
      </c>
      <c r="B937" s="27" t="s">
        <v>3726</v>
      </c>
      <c r="C937" s="27" t="s">
        <v>361</v>
      </c>
      <c r="D937" s="27"/>
      <c r="E937" s="27"/>
      <c r="F937" s="27" t="s">
        <v>832</v>
      </c>
      <c r="G937" s="27" t="s">
        <v>758</v>
      </c>
      <c r="H937" s="27" t="s">
        <v>1406</v>
      </c>
      <c r="I937" s="27" t="s">
        <v>768</v>
      </c>
      <c r="J937" s="27" t="s">
        <v>378</v>
      </c>
      <c r="K937" s="27" t="s">
        <v>377</v>
      </c>
      <c r="L937" s="27"/>
      <c r="M937" s="27"/>
      <c r="N937" s="27"/>
      <c r="O937" s="27"/>
      <c r="P937" s="27">
        <v>1</v>
      </c>
      <c r="Q937" s="27">
        <v>1</v>
      </c>
      <c r="R937" s="27"/>
      <c r="S937" s="27">
        <v>1</v>
      </c>
      <c r="T937" s="27"/>
      <c r="U937" s="27"/>
      <c r="V937" s="27"/>
      <c r="W937" s="27"/>
      <c r="X937" s="27"/>
      <c r="Y937" s="27"/>
      <c r="Z937" s="27" t="s">
        <v>1407</v>
      </c>
      <c r="AA937" s="29">
        <v>10</v>
      </c>
      <c r="AB937" s="30">
        <f>IF(OR(G937="ALK",G937="PEM",G937="SOEC",G937="Other Electrolysis"),
AA937/VLOOKUP(G937,ElectrolysisConvF,3,FALSE),
AC937*10^6/(H2dens*HoursInYear))</f>
        <v>2222.2222222222222</v>
      </c>
      <c r="AC937" s="30">
        <f>AB937*H2dens*HoursInYear/10^6</f>
        <v>1.7325333333333333</v>
      </c>
      <c r="AD937" s="30"/>
      <c r="AE937" s="30">
        <f>IF(AND(G937&lt;&gt;"NG w CCUS",G937&lt;&gt;"Oil w CCUS",G937&lt;&gt;"Coal w CCUS"),AB937,AD937*10^3/(HoursInYear*IF(G937="NG w CCUS",0.9105,1.9075)))</f>
        <v>2222.2222222222222</v>
      </c>
      <c r="AF937" s="28" t="s">
        <v>3727</v>
      </c>
      <c r="AG937" s="28"/>
    </row>
    <row r="938" spans="1:33" ht="32.25" customHeight="1" x14ac:dyDescent="0.2">
      <c r="A938" s="70">
        <v>1277</v>
      </c>
      <c r="B938" s="27" t="s">
        <v>3728</v>
      </c>
      <c r="C938" s="27" t="s">
        <v>804</v>
      </c>
      <c r="D938" s="27">
        <v>2023</v>
      </c>
      <c r="E938" s="27"/>
      <c r="F938" s="27" t="s">
        <v>916</v>
      </c>
      <c r="G938" s="27" t="s">
        <v>752</v>
      </c>
      <c r="H938" s="27" t="s">
        <v>3256</v>
      </c>
      <c r="I938" s="27" t="str">
        <f>IF(AND(G938&lt;&gt;"ALK",G938&lt;&gt;"PEM",G938&lt;&gt;"SOEC",G938&lt;&gt;"Other electrolysis"),"N/A","")</f>
        <v>N/A</v>
      </c>
      <c r="J938" s="27" t="str">
        <f>IF(I938&lt;&gt;"Dedicated renewable","N/A",)</f>
        <v>N/A</v>
      </c>
      <c r="K938" s="27" t="s">
        <v>377</v>
      </c>
      <c r="L938" s="27"/>
      <c r="M938" s="27"/>
      <c r="N938" s="27"/>
      <c r="O938" s="27"/>
      <c r="P938" s="27"/>
      <c r="Q938" s="27"/>
      <c r="R938" s="27"/>
      <c r="S938" s="27"/>
      <c r="T938" s="27"/>
      <c r="U938" s="27"/>
      <c r="V938" s="27"/>
      <c r="W938" s="27"/>
      <c r="X938" s="27"/>
      <c r="Y938" s="27"/>
      <c r="Z938" s="27" t="s">
        <v>2150</v>
      </c>
      <c r="AA938" s="29" t="str">
        <f>IF(OR(G938="ALK",G938="PEM",G938="SOEC",G938="Other Electrolysis"),
AB938*VLOOKUP(G938,ElectrolysisConvF,3,FALSE),
"")</f>
        <v/>
      </c>
      <c r="AB938" s="30">
        <f>AC938/(H2dens*HoursInYear/10^6)</f>
        <v>187.2659176029963</v>
      </c>
      <c r="AC938" s="30">
        <f>400/1000000*365</f>
        <v>0.14600000000000002</v>
      </c>
      <c r="AD938" s="30"/>
      <c r="AE938" s="30">
        <f>IF(AND(G938&lt;&gt;"NG w CCUS",G938&lt;&gt;"Oil w CCUS",G938&lt;&gt;"Coal w CCUS"),AB938,AD938*10^3/(HoursInYear*IF(G938="NG w CCUS",0.9105,1.9075)))</f>
        <v>187.2659176029963</v>
      </c>
      <c r="AF938" s="28" t="s">
        <v>3729</v>
      </c>
      <c r="AG938" s="28"/>
    </row>
    <row r="939" spans="1:33" ht="32.25" customHeight="1" x14ac:dyDescent="0.2">
      <c r="A939" s="70">
        <v>1278</v>
      </c>
      <c r="B939" s="27" t="s">
        <v>3730</v>
      </c>
      <c r="C939" s="27" t="s">
        <v>332</v>
      </c>
      <c r="D939" s="27"/>
      <c r="E939" s="27"/>
      <c r="F939" s="27" t="s">
        <v>832</v>
      </c>
      <c r="G939" s="27" t="s">
        <v>268</v>
      </c>
      <c r="H939" s="27"/>
      <c r="I939" s="27" t="s">
        <v>765</v>
      </c>
      <c r="J939" s="27" t="str">
        <f>IF(I939&lt;&gt;"Dedicated renewable","N/A",)</f>
        <v>N/A</v>
      </c>
      <c r="K939" s="27" t="s">
        <v>740</v>
      </c>
      <c r="L939" s="27"/>
      <c r="M939" s="27">
        <v>1</v>
      </c>
      <c r="N939" s="27"/>
      <c r="O939" s="27"/>
      <c r="P939" s="27"/>
      <c r="Q939" s="27"/>
      <c r="R939" s="27"/>
      <c r="S939" s="27"/>
      <c r="T939" s="27"/>
      <c r="U939" s="27"/>
      <c r="V939" s="27"/>
      <c r="W939" s="27"/>
      <c r="X939" s="27"/>
      <c r="Y939" s="27"/>
      <c r="Z939" s="27" t="s">
        <v>3731</v>
      </c>
      <c r="AA939" s="29">
        <f>IF(OR(G939="ALK",G939="PEM",G939="SOEC",G939="Other Electrolysis"),
AB939*VLOOKUP(G939,ElectrolysisConvF,3,FALSE),
"")</f>
        <v>383.68033068237304</v>
      </c>
      <c r="AB939" s="30">
        <f>AC939/(H2dens*HoursInYear/10^6)</f>
        <v>83408.767539646316</v>
      </c>
      <c r="AC939" s="30">
        <f>400*3/17/0.98-3-4</f>
        <v>65.02881152460985</v>
      </c>
      <c r="AD939" s="30"/>
      <c r="AE939" s="30">
        <f>AB939</f>
        <v>83408.767539646316</v>
      </c>
      <c r="AF939" s="28" t="s">
        <v>3732</v>
      </c>
      <c r="AG939" s="28"/>
    </row>
    <row r="940" spans="1:33" ht="32.25" customHeight="1" x14ac:dyDescent="0.2">
      <c r="A940" s="70">
        <v>1279</v>
      </c>
      <c r="B940" s="27" t="s">
        <v>3733</v>
      </c>
      <c r="C940" s="27" t="s">
        <v>332</v>
      </c>
      <c r="D940" s="27"/>
      <c r="E940" s="27"/>
      <c r="F940" s="27" t="s">
        <v>1336</v>
      </c>
      <c r="G940" s="27" t="s">
        <v>268</v>
      </c>
      <c r="H940" s="27"/>
      <c r="I940" s="27" t="s">
        <v>765</v>
      </c>
      <c r="J940" s="27" t="str">
        <f>IF(I940&lt;&gt;"Dedicated renewable","N/A",)</f>
        <v>N/A</v>
      </c>
      <c r="K940" s="27" t="s">
        <v>740</v>
      </c>
      <c r="L940" s="27"/>
      <c r="M940" s="27">
        <v>1</v>
      </c>
      <c r="N940" s="27"/>
      <c r="O940" s="27"/>
      <c r="P940" s="27"/>
      <c r="Q940" s="27"/>
      <c r="R940" s="27"/>
      <c r="S940" s="27"/>
      <c r="T940" s="27"/>
      <c r="U940" s="27"/>
      <c r="V940" s="27"/>
      <c r="W940" s="27"/>
      <c r="X940" s="27"/>
      <c r="Y940" s="27"/>
      <c r="Z940" s="27" t="s">
        <v>3734</v>
      </c>
      <c r="AA940" s="29">
        <f>IF(OR(G940="ALK",G940="PEM",G940="SOEC",G940="Other Electrolysis"),
AB940*VLOOKUP(G940,ElectrolysisConvF,3,FALSE),
"")</f>
        <v>127.49443320501975</v>
      </c>
      <c r="AB940" s="30">
        <f>AC940/(H2dens*HoursInYear/10^6)</f>
        <v>27716.181131526031</v>
      </c>
      <c r="AC940" s="30">
        <f>120*3/17/0.98</f>
        <v>21.608643457382954</v>
      </c>
      <c r="AD940" s="30"/>
      <c r="AE940" s="30">
        <f>AB940</f>
        <v>27716.181131526031</v>
      </c>
      <c r="AF940" s="28" t="s">
        <v>3732</v>
      </c>
      <c r="AG940" s="28"/>
    </row>
    <row r="941" spans="1:33" ht="32.25" customHeight="1" x14ac:dyDescent="0.2">
      <c r="A941" s="70">
        <v>1280</v>
      </c>
      <c r="B941" s="27" t="s">
        <v>3735</v>
      </c>
      <c r="C941" s="27" t="s">
        <v>332</v>
      </c>
      <c r="D941" s="27"/>
      <c r="E941" s="27"/>
      <c r="F941" s="27" t="s">
        <v>1336</v>
      </c>
      <c r="G941" s="27" t="s">
        <v>758</v>
      </c>
      <c r="H941" s="27" t="s">
        <v>1406</v>
      </c>
      <c r="I941" s="27" t="s">
        <v>768</v>
      </c>
      <c r="J941" s="27" t="s">
        <v>378</v>
      </c>
      <c r="K941" s="27" t="s">
        <v>740</v>
      </c>
      <c r="L941" s="27"/>
      <c r="M941" s="27">
        <v>1</v>
      </c>
      <c r="N941" s="27"/>
      <c r="O941" s="27"/>
      <c r="P941" s="27"/>
      <c r="Q941" s="27">
        <v>1</v>
      </c>
      <c r="R941" s="27"/>
      <c r="S941" s="27"/>
      <c r="T941" s="27"/>
      <c r="U941" s="27"/>
      <c r="V941" s="27"/>
      <c r="W941" s="27"/>
      <c r="X941" s="27"/>
      <c r="Y941" s="27"/>
      <c r="Z941" s="27"/>
      <c r="AA941" s="29"/>
      <c r="AB941" s="30"/>
      <c r="AC941" s="30"/>
      <c r="AD941" s="30"/>
      <c r="AE941" s="30">
        <f>IF(AND(G941&lt;&gt;"NG w CCUS",G941&lt;&gt;"Oil w CCUS",G941&lt;&gt;"Coal w CCUS"),AB941,AD941*10^3/(HoursInYear*IF(G941="NG w CCUS",0.9105,1.9075)))</f>
        <v>0</v>
      </c>
      <c r="AF941" s="28" t="s">
        <v>3732</v>
      </c>
      <c r="AG941" s="28"/>
    </row>
    <row r="942" spans="1:33" ht="32.25" customHeight="1" x14ac:dyDescent="0.2">
      <c r="A942" s="70">
        <v>1281</v>
      </c>
      <c r="B942" s="27" t="s">
        <v>3736</v>
      </c>
      <c r="C942" s="27" t="s">
        <v>336</v>
      </c>
      <c r="D942" s="27"/>
      <c r="E942" s="27"/>
      <c r="F942" s="27" t="s">
        <v>832</v>
      </c>
      <c r="G942" s="27" t="s">
        <v>758</v>
      </c>
      <c r="H942" s="27" t="s">
        <v>1406</v>
      </c>
      <c r="I942" s="27" t="s">
        <v>768</v>
      </c>
      <c r="J942" s="27" t="s">
        <v>378</v>
      </c>
      <c r="K942" s="27" t="s">
        <v>377</v>
      </c>
      <c r="L942" s="27"/>
      <c r="M942" s="27"/>
      <c r="N942" s="27"/>
      <c r="O942" s="27"/>
      <c r="P942" s="27">
        <v>1</v>
      </c>
      <c r="Q942" s="27"/>
      <c r="R942" s="27"/>
      <c r="S942" s="27"/>
      <c r="T942" s="27"/>
      <c r="U942" s="27"/>
      <c r="V942" s="27"/>
      <c r="W942" s="27"/>
      <c r="X942" s="27"/>
      <c r="Y942" s="27"/>
      <c r="Z942" s="27"/>
      <c r="AA942" s="29"/>
      <c r="AB942" s="30"/>
      <c r="AC942" s="30"/>
      <c r="AD942" s="30"/>
      <c r="AE942" s="30">
        <f>IF(AND(G942&lt;&gt;"NG w CCUS",G942&lt;&gt;"Oil w CCUS",G942&lt;&gt;"Coal w CCUS"),AB942,AD942*10^3/(HoursInYear*IF(G942="NG w CCUS",0.9105,1.9075)))</f>
        <v>0</v>
      </c>
      <c r="AF942" s="28" t="s">
        <v>3737</v>
      </c>
      <c r="AG942" s="28"/>
    </row>
    <row r="943" spans="1:33" ht="32.25" customHeight="1" x14ac:dyDescent="0.2">
      <c r="A943" s="70">
        <v>1282</v>
      </c>
      <c r="B943" s="27" t="s">
        <v>3738</v>
      </c>
      <c r="C943" s="27" t="s">
        <v>361</v>
      </c>
      <c r="D943" s="27">
        <v>2021</v>
      </c>
      <c r="E943" s="27"/>
      <c r="F943" s="27" t="s">
        <v>836</v>
      </c>
      <c r="G943" s="27" t="s">
        <v>266</v>
      </c>
      <c r="H943" s="27"/>
      <c r="I943" s="27" t="s">
        <v>768</v>
      </c>
      <c r="J943" s="27" t="s">
        <v>861</v>
      </c>
      <c r="K943" s="27" t="s">
        <v>377</v>
      </c>
      <c r="L943" s="27"/>
      <c r="M943" s="27"/>
      <c r="N943" s="27"/>
      <c r="O943" s="27"/>
      <c r="P943" s="27"/>
      <c r="Q943" s="27">
        <v>1</v>
      </c>
      <c r="R943" s="27"/>
      <c r="S943" s="27"/>
      <c r="T943" s="27"/>
      <c r="U943" s="27"/>
      <c r="V943" s="27"/>
      <c r="W943" s="27"/>
      <c r="X943" s="27"/>
      <c r="Y943" s="27"/>
      <c r="Z943" s="27" t="s">
        <v>3739</v>
      </c>
      <c r="AA943" s="29">
        <f>IF(OR(G943="ALK",G943="PEM",G943="SOEC",G943="Other Electrolysis"),
AB943*VLOOKUP(G943,ElectrolysisConvF,3,FALSE),
"")</f>
        <v>4.8689138576779025E-3</v>
      </c>
      <c r="AB943" s="30">
        <f>AC943/(H2dens*HoursInYear/10^6)</f>
        <v>0.93632958801498123</v>
      </c>
      <c r="AC943" s="30">
        <f>2/1000000*365</f>
        <v>7.2999999999999996E-4</v>
      </c>
      <c r="AD943" s="30"/>
      <c r="AE943" s="30">
        <f>IF(AND(G943&lt;&gt;"NG w CCUS",G943&lt;&gt;"Oil w CCUS",G943&lt;&gt;"Coal w CCUS"),AB943,AD943*10^3/(HoursInYear*IF(G943="NG w CCUS",0.9105,1.9075)))</f>
        <v>0.93632958801498123</v>
      </c>
      <c r="AF943" s="28" t="s">
        <v>3740</v>
      </c>
      <c r="AG943" s="28"/>
    </row>
    <row r="944" spans="1:33" ht="32.25" customHeight="1" x14ac:dyDescent="0.2">
      <c r="A944" s="70">
        <v>1283</v>
      </c>
      <c r="B944" s="27" t="s">
        <v>3741</v>
      </c>
      <c r="C944" s="27" t="s">
        <v>340</v>
      </c>
      <c r="D944" s="27"/>
      <c r="E944" s="27"/>
      <c r="F944" s="27" t="s">
        <v>832</v>
      </c>
      <c r="G944" s="27" t="s">
        <v>758</v>
      </c>
      <c r="H944" s="27" t="s">
        <v>1406</v>
      </c>
      <c r="I944" s="27" t="s">
        <v>768</v>
      </c>
      <c r="J944" s="27" t="s">
        <v>378</v>
      </c>
      <c r="K944" s="27" t="s">
        <v>377</v>
      </c>
      <c r="L944" s="27"/>
      <c r="M944" s="27"/>
      <c r="N944" s="27"/>
      <c r="O944" s="27"/>
      <c r="P944" s="27"/>
      <c r="Q944" s="27"/>
      <c r="R944" s="27">
        <v>1</v>
      </c>
      <c r="S944" s="27"/>
      <c r="T944" s="27">
        <v>1</v>
      </c>
      <c r="U944" s="27">
        <v>1</v>
      </c>
      <c r="V944" s="27"/>
      <c r="W944" s="27"/>
      <c r="X944" s="27"/>
      <c r="Y944" s="27"/>
      <c r="Z944" s="27" t="s">
        <v>1898</v>
      </c>
      <c r="AA944" s="29">
        <v>25</v>
      </c>
      <c r="AB944" s="30">
        <f>IF(OR(G944="ALK",G944="PEM",G944="SOEC",G944="Other Electrolysis"),
AA944/VLOOKUP(G944,ElectrolysisConvF,3,FALSE),
AC944*10^6/(H2dens*HoursInYear))</f>
        <v>5555.5555555555557</v>
      </c>
      <c r="AC944" s="30">
        <f>AB944*H2dens*HoursInYear/10^6</f>
        <v>4.3313333333333333</v>
      </c>
      <c r="AD944" s="30"/>
      <c r="AE944" s="30">
        <f>IF(AND(G944&lt;&gt;"NG w CCUS",G944&lt;&gt;"Oil w CCUS",G944&lt;&gt;"Coal w CCUS"),AB944,AD944*10^3/(HoursInYear*IF(G944="NG w CCUS",0.9105,1.9075)))</f>
        <v>5555.5555555555557</v>
      </c>
      <c r="AF944" s="28" t="s">
        <v>3742</v>
      </c>
      <c r="AG944" s="28"/>
    </row>
    <row r="945" spans="1:33" ht="32.25" customHeight="1" x14ac:dyDescent="0.2">
      <c r="A945" s="70">
        <v>1284</v>
      </c>
      <c r="B945" s="27" t="s">
        <v>3743</v>
      </c>
      <c r="C945" s="27" t="s">
        <v>350</v>
      </c>
      <c r="D945" s="27">
        <v>2025</v>
      </c>
      <c r="E945" s="27"/>
      <c r="F945" s="27" t="s">
        <v>832</v>
      </c>
      <c r="G945" s="27" t="s">
        <v>758</v>
      </c>
      <c r="H945" s="27" t="s">
        <v>1406</v>
      </c>
      <c r="I945" s="27" t="s">
        <v>768</v>
      </c>
      <c r="J945" s="27" t="s">
        <v>378</v>
      </c>
      <c r="K945" s="27" t="s">
        <v>377</v>
      </c>
      <c r="L945" s="27"/>
      <c r="M945" s="27"/>
      <c r="N945" s="27"/>
      <c r="O945" s="27"/>
      <c r="P945" s="27"/>
      <c r="Q945" s="27"/>
      <c r="R945" s="27"/>
      <c r="S945" s="27"/>
      <c r="T945" s="27"/>
      <c r="U945" s="27"/>
      <c r="V945" s="27"/>
      <c r="W945" s="27"/>
      <c r="X945" s="27"/>
      <c r="Y945" s="27"/>
      <c r="Z945" s="27"/>
      <c r="AA945" s="29"/>
      <c r="AB945" s="30"/>
      <c r="AC945" s="30"/>
      <c r="AD945" s="30"/>
      <c r="AE945" s="30">
        <f>IF(AND(G945&lt;&gt;"NG w CCUS",G945&lt;&gt;"Oil w CCUS",G945&lt;&gt;"Coal w CCUS"),AB945,AD945*10^3/(HoursInYear*IF(G945="NG w CCUS",0.9105,1.9075)))</f>
        <v>0</v>
      </c>
      <c r="AF945" s="28" t="s">
        <v>3744</v>
      </c>
      <c r="AG945" s="28"/>
    </row>
    <row r="946" spans="1:33" ht="32.25" customHeight="1" x14ac:dyDescent="0.2">
      <c r="A946" s="70">
        <v>1285</v>
      </c>
      <c r="B946" s="27" t="s">
        <v>3745</v>
      </c>
      <c r="C946" s="27" t="s">
        <v>339</v>
      </c>
      <c r="D946" s="27">
        <v>2024</v>
      </c>
      <c r="E946" s="27"/>
      <c r="F946" s="27" t="s">
        <v>832</v>
      </c>
      <c r="G946" s="27" t="s">
        <v>758</v>
      </c>
      <c r="H946" s="27" t="s">
        <v>1406</v>
      </c>
      <c r="I946" s="27" t="s">
        <v>768</v>
      </c>
      <c r="J946" s="27" t="s">
        <v>863</v>
      </c>
      <c r="K946" s="27" t="s">
        <v>377</v>
      </c>
      <c r="L946" s="27"/>
      <c r="M946" s="27"/>
      <c r="N946" s="27"/>
      <c r="O946" s="27">
        <v>1</v>
      </c>
      <c r="P946" s="27">
        <v>1</v>
      </c>
      <c r="Q946" s="27">
        <v>1</v>
      </c>
      <c r="R946" s="27">
        <v>1</v>
      </c>
      <c r="S946" s="27"/>
      <c r="T946" s="27"/>
      <c r="U946" s="27"/>
      <c r="V946" s="27"/>
      <c r="W946" s="27"/>
      <c r="X946" s="27"/>
      <c r="Y946" s="27"/>
      <c r="Z946" s="27" t="s">
        <v>3746</v>
      </c>
      <c r="AA946" s="29">
        <f>IF(OR(G946="ALK",G946="PEM",G946="SOEC",G946="Other Electrolysis"),
AB946*VLOOKUP(G946,ElectrolysisConvF,3,FALSE),
"")</f>
        <v>3.1745420963521624</v>
      </c>
      <c r="AB946" s="30">
        <f>AC946/(H2dens*HoursInYear/10^6)</f>
        <v>705.45379918936953</v>
      </c>
      <c r="AC946" s="30">
        <v>0.55000000000000004</v>
      </c>
      <c r="AD946" s="30"/>
      <c r="AE946" s="30">
        <f>IF(AND(G946&lt;&gt;"NG w CCUS",G946&lt;&gt;"Oil w CCUS",G946&lt;&gt;"Coal w CCUS"),AB946,AD946*10^3/(HoursInYear*IF(G946="NG w CCUS",0.9105,1.9075)))</f>
        <v>705.45379918936953</v>
      </c>
      <c r="AF946" s="28" t="s">
        <v>3747</v>
      </c>
      <c r="AG946" s="28"/>
    </row>
    <row r="947" spans="1:33" ht="32.25" customHeight="1" x14ac:dyDescent="0.2">
      <c r="A947" s="70">
        <v>1286</v>
      </c>
      <c r="B947" s="27" t="s">
        <v>3748</v>
      </c>
      <c r="C947" s="27" t="s">
        <v>1086</v>
      </c>
      <c r="D947" s="27">
        <v>2024</v>
      </c>
      <c r="E947" s="27"/>
      <c r="F947" s="27" t="s">
        <v>832</v>
      </c>
      <c r="G947" s="27" t="s">
        <v>758</v>
      </c>
      <c r="H947" s="27" t="s">
        <v>1406</v>
      </c>
      <c r="I947" s="27" t="s">
        <v>768</v>
      </c>
      <c r="J947" s="27" t="s">
        <v>861</v>
      </c>
      <c r="K947" s="27" t="s">
        <v>740</v>
      </c>
      <c r="L947" s="27"/>
      <c r="M947" s="27">
        <v>1</v>
      </c>
      <c r="N947" s="27"/>
      <c r="O947" s="27"/>
      <c r="P947" s="27"/>
      <c r="Q947" s="27"/>
      <c r="R947" s="27"/>
      <c r="S947" s="27"/>
      <c r="T947" s="27"/>
      <c r="U947" s="27"/>
      <c r="V947" s="27"/>
      <c r="W947" s="27"/>
      <c r="X947" s="27"/>
      <c r="Y947" s="27"/>
      <c r="Z947" s="27" t="s">
        <v>3749</v>
      </c>
      <c r="AA947" s="29">
        <f>IF(OR(G947="ALK",G947="PEM",G947="SOEC",G947="Other Electrolysis"),
AB947*VLOOKUP(G947,ElectrolysisConvF,3,FALSE),
"")</f>
        <v>156.99553640141602</v>
      </c>
      <c r="AB947" s="30">
        <f>AC947/(H2dens*HoursInYear/10^6)</f>
        <v>34887.896978092453</v>
      </c>
      <c r="AC947" s="30">
        <v>27.2</v>
      </c>
      <c r="AD947" s="30"/>
      <c r="AE947" s="30">
        <f>IF(AND(G947&lt;&gt;"NG w CCUS",G947&lt;&gt;"Oil w CCUS",G947&lt;&gt;"Coal w CCUS"),AB947,AD947*10^3/(HoursInYear*IF(G947="NG w CCUS",0.9105,1.9075)))</f>
        <v>34887.896978092453</v>
      </c>
      <c r="AF947" s="28" t="s">
        <v>3750</v>
      </c>
      <c r="AG947" s="28"/>
    </row>
    <row r="948" spans="1:33" ht="32.25" customHeight="1" x14ac:dyDescent="0.2">
      <c r="A948" s="70">
        <v>1287</v>
      </c>
      <c r="B948" s="27" t="s">
        <v>3751</v>
      </c>
      <c r="C948" s="27" t="s">
        <v>337</v>
      </c>
      <c r="D948" s="27"/>
      <c r="E948" s="27"/>
      <c r="F948" s="27" t="s">
        <v>832</v>
      </c>
      <c r="G948" s="27" t="s">
        <v>266</v>
      </c>
      <c r="H948" s="27"/>
      <c r="I948" s="27" t="s">
        <v>768</v>
      </c>
      <c r="J948" s="27" t="s">
        <v>861</v>
      </c>
      <c r="K948" s="27" t="s">
        <v>377</v>
      </c>
      <c r="L948" s="27"/>
      <c r="M948" s="27"/>
      <c r="N948" s="27"/>
      <c r="O948" s="27"/>
      <c r="P948" s="27"/>
      <c r="Q948" s="27"/>
      <c r="R948" s="27"/>
      <c r="S948" s="27"/>
      <c r="T948" s="27"/>
      <c r="U948" s="27"/>
      <c r="V948" s="27"/>
      <c r="W948" s="27"/>
      <c r="X948" s="27"/>
      <c r="Y948" s="27"/>
      <c r="Z948" s="27" t="s">
        <v>3752</v>
      </c>
      <c r="AA948" s="29">
        <f>IF(OR(G948="ALK",G948="PEM",G948="SOEC",G948="Other Electrolysis"),
AB948*VLOOKUP(G948,ElectrolysisConvF,3,FALSE),
"")</f>
        <v>121.72284644194755</v>
      </c>
      <c r="AB948" s="30">
        <f>AC948/(H2dens*HoursInYear/10^6)</f>
        <v>23408.239700374532</v>
      </c>
      <c r="AC948" s="30">
        <f>50*365/1000</f>
        <v>18.25</v>
      </c>
      <c r="AD948" s="30"/>
      <c r="AE948" s="30">
        <f>IF(AND(G948&lt;&gt;"NG w CCUS",G948&lt;&gt;"Oil w CCUS",G948&lt;&gt;"Coal w CCUS"),AB948,AD948*10^3/(HoursInYear*IF(G948="NG w CCUS",0.9105,1.9075)))</f>
        <v>23408.239700374532</v>
      </c>
      <c r="AF948" s="28" t="s">
        <v>3753</v>
      </c>
      <c r="AG948" s="28"/>
    </row>
    <row r="949" spans="1:33" ht="32.25" customHeight="1" x14ac:dyDescent="0.2">
      <c r="A949" s="70">
        <v>1288</v>
      </c>
      <c r="B949" s="27" t="s">
        <v>3754</v>
      </c>
      <c r="C949" s="27" t="s">
        <v>332</v>
      </c>
      <c r="D949" s="27">
        <v>2022</v>
      </c>
      <c r="E949" s="27"/>
      <c r="F949" s="27" t="s">
        <v>753</v>
      </c>
      <c r="G949" s="27" t="s">
        <v>268</v>
      </c>
      <c r="H949" s="27"/>
      <c r="I949" s="27" t="s">
        <v>768</v>
      </c>
      <c r="J949" s="27" t="s">
        <v>378</v>
      </c>
      <c r="K949" s="27" t="s">
        <v>377</v>
      </c>
      <c r="L949" s="27"/>
      <c r="M949" s="27"/>
      <c r="N949" s="27"/>
      <c r="O949" s="27"/>
      <c r="P949" s="27"/>
      <c r="Q949" s="27"/>
      <c r="R949" s="27"/>
      <c r="S949" s="27"/>
      <c r="T949" s="27"/>
      <c r="U949" s="27"/>
      <c r="V949" s="27"/>
      <c r="W949" s="27"/>
      <c r="X949" s="27"/>
      <c r="Y949" s="27"/>
      <c r="Z949" s="27" t="s">
        <v>3755</v>
      </c>
      <c r="AA949" s="29">
        <v>0.9</v>
      </c>
      <c r="AB949" s="30">
        <f>IF(OR(G949="ALK",G949="PEM",G949="SOEC",G949="Other Electrolysis"),
AA949/VLOOKUP(G949,ElectrolysisConvF,3,FALSE),
AC949*10^6/(H2dens*HoursInYear))</f>
        <v>195.6521739130435</v>
      </c>
      <c r="AC949" s="30">
        <f>AB949*H2dens*HoursInYear/10^6</f>
        <v>0.15253826086956521</v>
      </c>
      <c r="AD949" s="30"/>
      <c r="AE949" s="30">
        <f>IF(AND(G949&lt;&gt;"NG w CCUS",G949&lt;&gt;"Oil w CCUS",G949&lt;&gt;"Coal w CCUS"),AB949,AD949*10^3/(HoursInYear*IF(G949="NG w CCUS",0.9105,1.9075)))</f>
        <v>195.6521739130435</v>
      </c>
      <c r="AF949" s="28" t="s">
        <v>3756</v>
      </c>
      <c r="AG949" s="28"/>
    </row>
    <row r="950" spans="1:33" ht="32.25" customHeight="1" x14ac:dyDescent="0.2">
      <c r="A950" s="70">
        <v>1289</v>
      </c>
      <c r="B950" s="27" t="s">
        <v>3757</v>
      </c>
      <c r="C950" s="27" t="s">
        <v>337</v>
      </c>
      <c r="D950" s="27">
        <v>2022</v>
      </c>
      <c r="E950" s="27"/>
      <c r="F950" s="27" t="s">
        <v>832</v>
      </c>
      <c r="G950" s="27" t="s">
        <v>762</v>
      </c>
      <c r="H950" s="27" t="s">
        <v>3758</v>
      </c>
      <c r="I950" s="27" t="str">
        <f>IF(AND(G950&lt;&gt;"ALK",G950&lt;&gt;"PEM",G950&lt;&gt;"SOEC",G950&lt;&gt;"Other electrolysis"),"N/A","")</f>
        <v>N/A</v>
      </c>
      <c r="J950" s="27" t="str">
        <f>IF(I950&lt;&gt;"Dedicated renewable","N/A",)</f>
        <v>N/A</v>
      </c>
      <c r="K950" s="27" t="s">
        <v>377</v>
      </c>
      <c r="L950" s="27"/>
      <c r="M950" s="27"/>
      <c r="N950" s="27"/>
      <c r="O950" s="27"/>
      <c r="P950" s="27"/>
      <c r="Q950" s="27"/>
      <c r="R950" s="27"/>
      <c r="S950" s="27"/>
      <c r="T950" s="27"/>
      <c r="U950" s="27"/>
      <c r="V950" s="27"/>
      <c r="W950" s="27"/>
      <c r="X950" s="27"/>
      <c r="Y950" s="27"/>
      <c r="Z950" s="27" t="s">
        <v>3759</v>
      </c>
      <c r="AA950" s="29" t="str">
        <f>IF(OR(G950="ALK",G950="PEM",G950="SOEC",G950="Other Electrolysis"),
AB950*VLOOKUP(G950,ElectrolysisConvF,3,FALSE),
"")</f>
        <v/>
      </c>
      <c r="AB950" s="30">
        <f>AC950/(H2dens*HoursInYear/10^6)</f>
        <v>2565.286542506798</v>
      </c>
      <c r="AC950" s="30">
        <v>2</v>
      </c>
      <c r="AD950" s="30"/>
      <c r="AE950" s="30">
        <f>IF(AND(G950&lt;&gt;"NG w CCUS",G950&lt;&gt;"Oil w CCUS",G950&lt;&gt;"Coal w CCUS"),AB950,AD950*10^3/(HoursInYear*IF(G950="NG w CCUS",0.9105,1.9075)))</f>
        <v>2565.286542506798</v>
      </c>
      <c r="AF950" s="28" t="s">
        <v>3760</v>
      </c>
      <c r="AG950" s="28"/>
    </row>
    <row r="951" spans="1:33" ht="32.25" customHeight="1" x14ac:dyDescent="0.2">
      <c r="A951" s="70">
        <v>1290</v>
      </c>
      <c r="B951" s="27" t="s">
        <v>3761</v>
      </c>
      <c r="C951" s="27" t="s">
        <v>334</v>
      </c>
      <c r="D951" s="27">
        <v>2024</v>
      </c>
      <c r="E951" s="27"/>
      <c r="F951" s="27" t="s">
        <v>832</v>
      </c>
      <c r="G951" s="27" t="s">
        <v>760</v>
      </c>
      <c r="H951" s="27"/>
      <c r="I951" s="27" t="str">
        <f>IF(AND(G951&lt;&gt;"ALK",G951&lt;&gt;"PEM",G951&lt;&gt;"SOEC",G951&lt;&gt;"Other electrolysis"),"N/A","")</f>
        <v>N/A</v>
      </c>
      <c r="J951" s="27" t="str">
        <f>IF(I951&lt;&gt;"Dedicated renewable","N/A",)</f>
        <v>N/A</v>
      </c>
      <c r="K951" s="27" t="s">
        <v>377</v>
      </c>
      <c r="L951" s="27"/>
      <c r="M951" s="27"/>
      <c r="N951" s="27"/>
      <c r="O951" s="27"/>
      <c r="P951" s="27"/>
      <c r="Q951" s="27"/>
      <c r="R951" s="27"/>
      <c r="S951" s="27"/>
      <c r="T951" s="27"/>
      <c r="U951" s="27"/>
      <c r="V951" s="27">
        <v>1</v>
      </c>
      <c r="W951" s="27"/>
      <c r="X951" s="27"/>
      <c r="Y951" s="27"/>
      <c r="Z951" s="27" t="s">
        <v>3762</v>
      </c>
      <c r="AA951" s="29" t="str">
        <f>IF(OR(G951="ALK",G951="PEM",G951="SOEC",G951="Other Electrolysis"),
AB951*VLOOKUP(G951,ElectrolysisConvF,3,FALSE),
"")</f>
        <v/>
      </c>
      <c r="AB951" s="30"/>
      <c r="AC951" s="30"/>
      <c r="AD951" s="30">
        <v>500000</v>
      </c>
      <c r="AE951" s="30">
        <f>IF(AND(G951&lt;&gt;"NG w CCUS",G951&lt;&gt;"Oil w CCUS",G951&lt;&gt;"Coal w CCUS"),AB951,AD951*10^3/(HoursInYear*IF(G951="NG w CCUS",0.9105,1.9075)))</f>
        <v>62688.221384707591</v>
      </c>
      <c r="AF951" s="28" t="s">
        <v>3763</v>
      </c>
      <c r="AG951" s="28"/>
    </row>
    <row r="952" spans="1:33" ht="32.25" customHeight="1" x14ac:dyDescent="0.2">
      <c r="A952" s="70">
        <v>1291</v>
      </c>
      <c r="B952" s="27" t="s">
        <v>3764</v>
      </c>
      <c r="C952" s="27" t="s">
        <v>337</v>
      </c>
      <c r="D952" s="27"/>
      <c r="E952" s="27"/>
      <c r="F952" s="27" t="s">
        <v>1336</v>
      </c>
      <c r="G952" s="27" t="s">
        <v>760</v>
      </c>
      <c r="H952" s="27"/>
      <c r="I952" s="27" t="str">
        <f>IF(AND(G952&lt;&gt;"ALK",G952&lt;&gt;"PEM",G952&lt;&gt;"SOEC",G952&lt;&gt;"Other electrolysis"),"N/A","")</f>
        <v>N/A</v>
      </c>
      <c r="J952" s="27" t="str">
        <f>IF(I952&lt;&gt;"Dedicated renewable","N/A",)</f>
        <v>N/A</v>
      </c>
      <c r="K952" s="27" t="s">
        <v>377</v>
      </c>
      <c r="L952" s="27">
        <v>1</v>
      </c>
      <c r="M952" s="27"/>
      <c r="N952" s="27"/>
      <c r="O952" s="27"/>
      <c r="P952" s="27"/>
      <c r="Q952" s="27"/>
      <c r="R952" s="27"/>
      <c r="S952" s="27"/>
      <c r="T952" s="27"/>
      <c r="U952" s="27"/>
      <c r="V952" s="27"/>
      <c r="W952" s="27"/>
      <c r="X952" s="27"/>
      <c r="Y952" s="27"/>
      <c r="Z952" s="27"/>
      <c r="AA952" s="29"/>
      <c r="AB952" s="30"/>
      <c r="AC952" s="30"/>
      <c r="AD952" s="30"/>
      <c r="AE952" s="30">
        <f>IF(AND(G952&lt;&gt;"NG w CCUS",G952&lt;&gt;"Oil w CCUS",G952&lt;&gt;"Coal w CCUS"),AB952,AD952*10^3/(HoursInYear*IF(G952="NG w CCUS",0.9105,1.9075)))</f>
        <v>0</v>
      </c>
      <c r="AF952" s="28" t="s">
        <v>3765</v>
      </c>
      <c r="AG952" s="28"/>
    </row>
    <row r="953" spans="1:33" ht="32.25" customHeight="1" x14ac:dyDescent="0.2">
      <c r="A953" s="70">
        <v>1292</v>
      </c>
      <c r="B953" s="27" t="s">
        <v>3766</v>
      </c>
      <c r="C953" s="27" t="s">
        <v>343</v>
      </c>
      <c r="D953" s="27">
        <v>2024</v>
      </c>
      <c r="E953" s="27"/>
      <c r="F953" s="27" t="s">
        <v>832</v>
      </c>
      <c r="G953" s="27" t="s">
        <v>758</v>
      </c>
      <c r="H953" s="27" t="s">
        <v>1406</v>
      </c>
      <c r="I953" s="27" t="s">
        <v>768</v>
      </c>
      <c r="J953" s="27" t="s">
        <v>378</v>
      </c>
      <c r="K953" s="27" t="s">
        <v>377</v>
      </c>
      <c r="L953" s="27"/>
      <c r="M953" s="27"/>
      <c r="N953" s="27"/>
      <c r="O953" s="27"/>
      <c r="P953" s="27"/>
      <c r="Q953" s="27"/>
      <c r="R953" s="27"/>
      <c r="S953" s="27"/>
      <c r="T953" s="27"/>
      <c r="U953" s="27"/>
      <c r="V953" s="27"/>
      <c r="W953" s="27"/>
      <c r="X953" s="27"/>
      <c r="Y953" s="27"/>
      <c r="Z953" s="27" t="s">
        <v>3582</v>
      </c>
      <c r="AA953" s="29">
        <v>35</v>
      </c>
      <c r="AB953" s="30">
        <f>IF(OR(G953="ALK",G953="PEM",G953="SOEC",G953="Other Electrolysis"),
AA953/VLOOKUP(G953,ElectrolysisConvF,3,FALSE),
AC953*10^6/(H2dens*HoursInYear))</f>
        <v>7777.7777777777783</v>
      </c>
      <c r="AC953" s="30">
        <f>AB953*H2dens*HoursInYear/10^6</f>
        <v>6.0638666666666667</v>
      </c>
      <c r="AD953" s="30"/>
      <c r="AE953" s="30">
        <f>IF(AND(G953&lt;&gt;"NG w CCUS",G953&lt;&gt;"Oil w CCUS",G953&lt;&gt;"Coal w CCUS"),AB953,AD953*10^3/(HoursInYear*IF(G953="NG w CCUS",0.9105,1.9075)))</f>
        <v>7777.7777777777783</v>
      </c>
      <c r="AF953" s="28" t="s">
        <v>3767</v>
      </c>
      <c r="AG953" s="28"/>
    </row>
    <row r="954" spans="1:33" ht="32.25" customHeight="1" x14ac:dyDescent="0.2">
      <c r="A954" s="70">
        <v>1293</v>
      </c>
      <c r="B954" s="27" t="s">
        <v>3768</v>
      </c>
      <c r="C954" s="27" t="s">
        <v>337</v>
      </c>
      <c r="D954" s="27">
        <v>2026</v>
      </c>
      <c r="E954" s="27"/>
      <c r="F954" s="27" t="s">
        <v>832</v>
      </c>
      <c r="G954" s="27" t="s">
        <v>760</v>
      </c>
      <c r="H954" s="27" t="s">
        <v>1437</v>
      </c>
      <c r="I954" s="27" t="str">
        <f>IF(AND(G954&lt;&gt;"ALK",G954&lt;&gt;"PEM",G954&lt;&gt;"SOEC",G954&lt;&gt;"Other electrolysis"),"N/A","")</f>
        <v>N/A</v>
      </c>
      <c r="J954" s="27" t="str">
        <f>IF(I954&lt;&gt;"Dedicated renewable","N/A",)</f>
        <v>N/A</v>
      </c>
      <c r="K954" s="27" t="s">
        <v>377</v>
      </c>
      <c r="L954" s="27"/>
      <c r="M954" s="27"/>
      <c r="N954" s="27"/>
      <c r="O954" s="27"/>
      <c r="P954" s="27"/>
      <c r="Q954" s="27"/>
      <c r="R954" s="27"/>
      <c r="S954" s="27"/>
      <c r="T954" s="27"/>
      <c r="U954" s="27"/>
      <c r="V954" s="27"/>
      <c r="W954" s="27"/>
      <c r="X954" s="27"/>
      <c r="Y954" s="27"/>
      <c r="Z954" s="27" t="s">
        <v>3769</v>
      </c>
      <c r="AA954" s="29" t="str">
        <f>IF(OR(G954="ALK",G954="PEM",G954="SOEC",G954="Other Electrolysis"),
AB954*VLOOKUP(G954,ElectrolysisConvF,3,FALSE),
"")</f>
        <v/>
      </c>
      <c r="AB954" s="30">
        <f>AC954/(H2dens*HoursInYear/10^6)</f>
        <v>397619.41408855369</v>
      </c>
      <c r="AC954" s="30">
        <v>310</v>
      </c>
      <c r="AD954" s="30"/>
      <c r="AE954" s="30">
        <f>IF(AND(G954&lt;&gt;"NG w CCUS",G954&lt;&gt;"Oil w CCUS",G954&lt;&gt;"Coal w CCUS"),AB954,AD954*10^3/(HoursInYear*IF(G954="NG w CCUS",0.9105,1.9075)))</f>
        <v>0</v>
      </c>
      <c r="AF954" s="28" t="s">
        <v>3767</v>
      </c>
      <c r="AG954" s="28"/>
    </row>
    <row r="955" spans="1:33" ht="32.25" customHeight="1" x14ac:dyDescent="0.2">
      <c r="A955" s="70">
        <v>1294</v>
      </c>
      <c r="B955" s="27" t="s">
        <v>3770</v>
      </c>
      <c r="C955" s="27" t="s">
        <v>343</v>
      </c>
      <c r="D955" s="27">
        <v>2022</v>
      </c>
      <c r="E955" s="27"/>
      <c r="F955" s="27" t="s">
        <v>753</v>
      </c>
      <c r="G955" s="27" t="s">
        <v>268</v>
      </c>
      <c r="H955" s="27"/>
      <c r="I955" s="27" t="s">
        <v>768</v>
      </c>
      <c r="J955" s="27" t="s">
        <v>378</v>
      </c>
      <c r="K955" s="27" t="s">
        <v>377</v>
      </c>
      <c r="L955" s="27"/>
      <c r="M955" s="27"/>
      <c r="N955" s="27"/>
      <c r="O955" s="27"/>
      <c r="P955" s="27"/>
      <c r="Q955" s="27"/>
      <c r="R955" s="27"/>
      <c r="S955" s="27"/>
      <c r="T955" s="27"/>
      <c r="U955" s="27"/>
      <c r="V955" s="27"/>
      <c r="W955" s="27"/>
      <c r="X955" s="27"/>
      <c r="Y955" s="27"/>
      <c r="Z955" s="27" t="s">
        <v>3755</v>
      </c>
      <c r="AA955" s="29">
        <v>0.9</v>
      </c>
      <c r="AB955" s="30">
        <f>IF(OR(G955="ALK",G955="PEM",G955="SOEC",G955="Other Electrolysis"),
AA955/VLOOKUP(G955,ElectrolysisConvF,3,FALSE),
AC955*10^6/(H2dens*HoursInYear))</f>
        <v>195.6521739130435</v>
      </c>
      <c r="AC955" s="30">
        <f>AB955*H2dens*HoursInYear/10^6</f>
        <v>0.15253826086956521</v>
      </c>
      <c r="AD955" s="30"/>
      <c r="AE955" s="30">
        <f>IF(AND(G955&lt;&gt;"NG w CCUS",G955&lt;&gt;"Oil w CCUS",G955&lt;&gt;"Coal w CCUS"),AB955,AD955*10^3/(HoursInYear*IF(G955="NG w CCUS",0.9105,1.9075)))</f>
        <v>195.6521739130435</v>
      </c>
      <c r="AF955" s="28" t="s">
        <v>3771</v>
      </c>
      <c r="AG955" s="28"/>
    </row>
    <row r="956" spans="1:33" ht="32.25" customHeight="1" x14ac:dyDescent="0.2">
      <c r="A956" s="70">
        <v>1295</v>
      </c>
      <c r="B956" s="27" t="s">
        <v>3772</v>
      </c>
      <c r="C956" s="27" t="s">
        <v>977</v>
      </c>
      <c r="D956" s="27">
        <v>2022</v>
      </c>
      <c r="E956" s="27"/>
      <c r="F956" s="27" t="s">
        <v>753</v>
      </c>
      <c r="G956" s="27" t="s">
        <v>266</v>
      </c>
      <c r="H956" s="27"/>
      <c r="I956" s="27" t="s">
        <v>768</v>
      </c>
      <c r="J956" s="27" t="s">
        <v>861</v>
      </c>
      <c r="K956" s="27" t="s">
        <v>377</v>
      </c>
      <c r="L956" s="27"/>
      <c r="M956" s="27">
        <v>1</v>
      </c>
      <c r="N956" s="27"/>
      <c r="O956" s="27"/>
      <c r="P956" s="27">
        <v>1</v>
      </c>
      <c r="Q956" s="27"/>
      <c r="R956" s="27"/>
      <c r="S956" s="27">
        <v>1</v>
      </c>
      <c r="T956" s="27"/>
      <c r="U956" s="27"/>
      <c r="V956" s="27"/>
      <c r="W956" s="27"/>
      <c r="X956" s="27"/>
      <c r="Y956" s="27"/>
      <c r="Z956" s="27" t="s">
        <v>3773</v>
      </c>
      <c r="AA956" s="29">
        <f>IF(OR(G956="ALK",G956="PEM",G956="SOEC",G956="Other Electrolysis"),
AB956*VLOOKUP(G956,ElectrolysisConvF,3,FALSE),
"")</f>
        <v>2.7879534143963882</v>
      </c>
      <c r="AB956" s="30">
        <f>AC956/(H2dens*HoursInYear/10^6)</f>
        <v>536.14488738392083</v>
      </c>
      <c r="AC956" s="30">
        <v>0.41799999999999998</v>
      </c>
      <c r="AD956" s="30"/>
      <c r="AE956" s="30">
        <f>IF(AND(G956&lt;&gt;"NG w CCUS",G956&lt;&gt;"Oil w CCUS",G956&lt;&gt;"Coal w CCUS"),AB956,AD956*10^3/(HoursInYear*IF(G956="NG w CCUS",0.9105,1.9075)))</f>
        <v>536.14488738392083</v>
      </c>
      <c r="AF956" s="28" t="s">
        <v>3774</v>
      </c>
      <c r="AG956" s="28"/>
    </row>
    <row r="957" spans="1:33" ht="32.25" customHeight="1" x14ac:dyDescent="0.2">
      <c r="A957" s="70">
        <v>1296</v>
      </c>
      <c r="B957" s="27" t="s">
        <v>3775</v>
      </c>
      <c r="C957" s="27" t="s">
        <v>337</v>
      </c>
      <c r="D957" s="27">
        <v>2022</v>
      </c>
      <c r="E957" s="27"/>
      <c r="F957" s="27" t="s">
        <v>753</v>
      </c>
      <c r="G957" s="27" t="s">
        <v>268</v>
      </c>
      <c r="H957" s="27"/>
      <c r="I957" s="27" t="s">
        <v>911</v>
      </c>
      <c r="J957" s="27" t="str">
        <f>IF(I957&lt;&gt;"Dedicated renewable","N/A",)</f>
        <v>N/A</v>
      </c>
      <c r="K957" s="27" t="s">
        <v>377</v>
      </c>
      <c r="L957" s="27"/>
      <c r="M957" s="27"/>
      <c r="N957" s="27"/>
      <c r="O957" s="27"/>
      <c r="P957" s="27"/>
      <c r="Q957" s="27">
        <v>1</v>
      </c>
      <c r="R957" s="27"/>
      <c r="S957" s="27"/>
      <c r="T957" s="27"/>
      <c r="U957" s="27"/>
      <c r="V957" s="27"/>
      <c r="W957" s="27"/>
      <c r="X957" s="27"/>
      <c r="Y957" s="27"/>
      <c r="Z957" s="27" t="s">
        <v>3776</v>
      </c>
      <c r="AA957" s="29">
        <v>85</v>
      </c>
      <c r="AB957" s="30">
        <f>AA957/0.0045</f>
        <v>18888.888888888891</v>
      </c>
      <c r="AC957" s="30">
        <f>AB957*0.089*24*365/10^6</f>
        <v>14.726533333333332</v>
      </c>
      <c r="AD957" s="30"/>
      <c r="AE957" s="30">
        <f>AB957</f>
        <v>18888.888888888891</v>
      </c>
      <c r="AF957" s="28" t="s">
        <v>3777</v>
      </c>
      <c r="AG957" s="74" t="s">
        <v>4000</v>
      </c>
    </row>
    <row r="958" spans="1:33" ht="32.25" customHeight="1" x14ac:dyDescent="0.2">
      <c r="A958" s="70">
        <v>1297</v>
      </c>
      <c r="B958" s="27" t="s">
        <v>3778</v>
      </c>
      <c r="C958" s="27" t="s">
        <v>980</v>
      </c>
      <c r="D958" s="27">
        <v>2025</v>
      </c>
      <c r="E958" s="27"/>
      <c r="F958" s="27" t="s">
        <v>832</v>
      </c>
      <c r="G958" s="27" t="s">
        <v>762</v>
      </c>
      <c r="H958" s="27" t="s">
        <v>3051</v>
      </c>
      <c r="I958" s="27" t="str">
        <f>IF(AND(G958&lt;&gt;"ALK",G958&lt;&gt;"PEM",G958&lt;&gt;"SOEC",G958&lt;&gt;"Other electrolysis"),"N/A","")</f>
        <v>N/A</v>
      </c>
      <c r="J958" s="27" t="str">
        <f>IF(I958&lt;&gt;"Dedicated renewable","N/A",)</f>
        <v>N/A</v>
      </c>
      <c r="K958" s="27" t="s">
        <v>377</v>
      </c>
      <c r="L958" s="27"/>
      <c r="M958" s="27"/>
      <c r="N958" s="27"/>
      <c r="O958" s="27"/>
      <c r="P958" s="27">
        <v>1</v>
      </c>
      <c r="Q958" s="27">
        <v>1</v>
      </c>
      <c r="R958" s="27"/>
      <c r="S958" s="27"/>
      <c r="T958" s="27"/>
      <c r="U958" s="27"/>
      <c r="V958" s="27"/>
      <c r="W958" s="27"/>
      <c r="X958" s="27"/>
      <c r="Y958" s="27"/>
      <c r="Z958" s="27" t="s">
        <v>3779</v>
      </c>
      <c r="AA958" s="29" t="str">
        <f>IF(OR(G958="ALK",G958="PEM",G958="SOEC",G958="Other Electrolysis"),
AB958*VLOOKUP(G958,ElectrolysisConvF,3,FALSE),
"")</f>
        <v/>
      </c>
      <c r="AB958" s="30">
        <f>AC958/(H2dens*HoursInYear/10^6)</f>
        <v>2052.2292340054387</v>
      </c>
      <c r="AC958" s="30">
        <v>1.6</v>
      </c>
      <c r="AD958" s="30"/>
      <c r="AE958" s="30">
        <f>IF(AND(G958&lt;&gt;"NG w CCUS",G958&lt;&gt;"Oil w CCUS",G958&lt;&gt;"Coal w CCUS"),AB958,AD958*10^3/(HoursInYear*IF(G958="NG w CCUS",0.9105,1.9075)))</f>
        <v>2052.2292340054387</v>
      </c>
      <c r="AF958" s="28" t="s">
        <v>3780</v>
      </c>
      <c r="AG958" s="28"/>
    </row>
    <row r="959" spans="1:33" ht="32.25" customHeight="1" x14ac:dyDescent="0.2">
      <c r="A959" s="70">
        <v>1298</v>
      </c>
      <c r="B959" s="27" t="s">
        <v>3781</v>
      </c>
      <c r="C959" s="27" t="s">
        <v>980</v>
      </c>
      <c r="D959" s="27">
        <v>2025</v>
      </c>
      <c r="E959" s="27"/>
      <c r="F959" s="27" t="s">
        <v>832</v>
      </c>
      <c r="G959" s="27" t="s">
        <v>752</v>
      </c>
      <c r="H959" s="27" t="s">
        <v>3782</v>
      </c>
      <c r="I959" s="27" t="str">
        <f>IF(AND(G959&lt;&gt;"ALK",G959&lt;&gt;"PEM",G959&lt;&gt;"SOEC",G959&lt;&gt;"Other electrolysis"),"N/A","")</f>
        <v>N/A</v>
      </c>
      <c r="J959" s="27" t="str">
        <f>IF(I959&lt;&gt;"Dedicated renewable","N/A",)</f>
        <v>N/A</v>
      </c>
      <c r="K959" s="27" t="s">
        <v>377</v>
      </c>
      <c r="L959" s="27"/>
      <c r="M959" s="27"/>
      <c r="N959" s="27"/>
      <c r="O959" s="27"/>
      <c r="P959" s="27"/>
      <c r="Q959" s="27"/>
      <c r="R959" s="27"/>
      <c r="S959" s="27"/>
      <c r="T959" s="27"/>
      <c r="U959" s="27"/>
      <c r="V959" s="27"/>
      <c r="W959" s="27"/>
      <c r="X959" s="27"/>
      <c r="Y959" s="27"/>
      <c r="Z959" s="27" t="s">
        <v>3783</v>
      </c>
      <c r="AA959" s="29" t="str">
        <f>IF(OR(G959="ALK",G959="PEM",G959="SOEC",G959="Other Electrolysis"),
AB959*VLOOKUP(G959,ElectrolysisConvF,3,FALSE),
"")</f>
        <v/>
      </c>
      <c r="AB959" s="30">
        <f>AC959/(H2dens*HoursInYear/10^6)</f>
        <v>256.52865425067984</v>
      </c>
      <c r="AC959" s="30">
        <v>0.2</v>
      </c>
      <c r="AD959" s="30"/>
      <c r="AE959" s="30">
        <f>IF(AND(G959&lt;&gt;"NG w CCUS",G959&lt;&gt;"Oil w CCUS",G959&lt;&gt;"Coal w CCUS"),AB959,AD959*10^3/(HoursInYear*IF(G959="NG w CCUS",0.9105,1.9075)))</f>
        <v>256.52865425067984</v>
      </c>
      <c r="AF959" s="28" t="s">
        <v>3780</v>
      </c>
      <c r="AG959" s="28"/>
    </row>
    <row r="960" spans="1:33" ht="32.25" customHeight="1" x14ac:dyDescent="0.2">
      <c r="A960" s="70">
        <v>1299</v>
      </c>
      <c r="B960" s="27" t="s">
        <v>3784</v>
      </c>
      <c r="C960" s="27" t="s">
        <v>342</v>
      </c>
      <c r="D960" s="27">
        <v>2025</v>
      </c>
      <c r="E960" s="27"/>
      <c r="F960" s="27" t="s">
        <v>832</v>
      </c>
      <c r="G960" s="27" t="s">
        <v>758</v>
      </c>
      <c r="H960" s="27" t="s">
        <v>1406</v>
      </c>
      <c r="I960" s="27" t="s">
        <v>768</v>
      </c>
      <c r="J960" s="27" t="s">
        <v>865</v>
      </c>
      <c r="K960" s="27" t="s">
        <v>377</v>
      </c>
      <c r="L960" s="27"/>
      <c r="M960" s="27"/>
      <c r="N960" s="27"/>
      <c r="O960" s="27"/>
      <c r="P960" s="27">
        <v>1</v>
      </c>
      <c r="Q960" s="27">
        <v>1</v>
      </c>
      <c r="R960" s="27"/>
      <c r="S960" s="27"/>
      <c r="T960" s="27"/>
      <c r="U960" s="27"/>
      <c r="V960" s="27"/>
      <c r="W960" s="27"/>
      <c r="X960" s="27"/>
      <c r="Y960" s="27"/>
      <c r="Z960" s="27" t="s">
        <v>3785</v>
      </c>
      <c r="AA960" s="29">
        <f>IF(OR(G960="ALK",G960="PEM",G960="SOEC",G960="Other Electrolysis"),
AB960*VLOOKUP(G960,ElectrolysisConvF,3,FALSE),
"")</f>
        <v>4.7906726181314445</v>
      </c>
      <c r="AB960" s="30">
        <f>AC960/(H2dens*HoursInYear/10^6)</f>
        <v>1064.5939151403211</v>
      </c>
      <c r="AC960" s="30">
        <v>0.83</v>
      </c>
      <c r="AD960" s="30"/>
      <c r="AE960" s="30">
        <f>IF(AND(G960&lt;&gt;"NG w CCUS",G960&lt;&gt;"Oil w CCUS",G960&lt;&gt;"Coal w CCUS"),AB960,AD960*10^3/(HoursInYear*IF(G960="NG w CCUS",0.9105,1.9075)))</f>
        <v>1064.5939151403211</v>
      </c>
      <c r="AF960" s="28" t="s">
        <v>3780</v>
      </c>
      <c r="AG960" s="28"/>
    </row>
    <row r="961" spans="1:33" ht="32.25" customHeight="1" x14ac:dyDescent="0.2">
      <c r="A961" s="70">
        <v>1300</v>
      </c>
      <c r="B961" s="27" t="s">
        <v>3786</v>
      </c>
      <c r="C961" s="27" t="s">
        <v>977</v>
      </c>
      <c r="D961" s="27">
        <v>2021</v>
      </c>
      <c r="E961" s="27"/>
      <c r="F961" s="27" t="s">
        <v>916</v>
      </c>
      <c r="G961" s="27" t="s">
        <v>266</v>
      </c>
      <c r="H961" s="27"/>
      <c r="I961" s="27" t="s">
        <v>768</v>
      </c>
      <c r="J961" s="27" t="s">
        <v>861</v>
      </c>
      <c r="K961" s="27" t="s">
        <v>377</v>
      </c>
      <c r="L961" s="27"/>
      <c r="M961" s="27"/>
      <c r="N961" s="27"/>
      <c r="O961" s="27"/>
      <c r="P961" s="27"/>
      <c r="Q961" s="27"/>
      <c r="R961" s="27"/>
      <c r="S961" s="27"/>
      <c r="T961" s="27"/>
      <c r="U961" s="27"/>
      <c r="V961" s="27"/>
      <c r="W961" s="27"/>
      <c r="X961" s="27"/>
      <c r="Y961" s="27"/>
      <c r="Z961" s="27" t="s">
        <v>3787</v>
      </c>
      <c r="AA961" s="29">
        <f>IF(OR(G961="ALK",G961="PEM",G961="SOEC",G961="Other Electrolysis"),
AB961*VLOOKUP(G961,ElectrolysisConvF,3,FALSE),
"")</f>
        <v>0.10004617515776512</v>
      </c>
      <c r="AB961" s="30">
        <f>AC961/(H2dens*HoursInYear/10^6)</f>
        <v>19.239649068800986</v>
      </c>
      <c r="AC961" s="30">
        <v>1.4999999999999999E-2</v>
      </c>
      <c r="AD961" s="30"/>
      <c r="AE961" s="30">
        <f>IF(AND(G961&lt;&gt;"NG w CCUS",G961&lt;&gt;"Oil w CCUS",G961&lt;&gt;"Coal w CCUS"),AB961,AD961*10^3/(HoursInYear*IF(G961="NG w CCUS",0.9105,1.9075)))</f>
        <v>19.239649068800986</v>
      </c>
      <c r="AF961" s="28" t="s">
        <v>3788</v>
      </c>
      <c r="AG961" s="28"/>
    </row>
    <row r="962" spans="1:33" ht="32.25" customHeight="1" x14ac:dyDescent="0.2">
      <c r="A962" s="70">
        <v>1301</v>
      </c>
      <c r="B962" s="27" t="s">
        <v>3789</v>
      </c>
      <c r="C962" s="27" t="s">
        <v>977</v>
      </c>
      <c r="D962" s="27">
        <v>2022</v>
      </c>
      <c r="E962" s="27"/>
      <c r="F962" s="27" t="s">
        <v>916</v>
      </c>
      <c r="G962" s="27" t="s">
        <v>266</v>
      </c>
      <c r="H962" s="27"/>
      <c r="I962" s="27" t="s">
        <v>768</v>
      </c>
      <c r="J962" s="27" t="s">
        <v>861</v>
      </c>
      <c r="K962" s="27" t="s">
        <v>377</v>
      </c>
      <c r="L962" s="27"/>
      <c r="M962" s="27"/>
      <c r="N962" s="27"/>
      <c r="O962" s="27"/>
      <c r="P962" s="27"/>
      <c r="Q962" s="27"/>
      <c r="R962" s="27"/>
      <c r="S962" s="27">
        <v>1</v>
      </c>
      <c r="T962" s="27"/>
      <c r="U962" s="27"/>
      <c r="V962" s="27"/>
      <c r="W962" s="27"/>
      <c r="X962" s="27"/>
      <c r="Y962" s="27"/>
      <c r="Z962" s="27" t="s">
        <v>3790</v>
      </c>
      <c r="AA962" s="29">
        <f>IF(OR(G962="ALK",G962="PEM",G962="SOEC",G962="Other Electrolysis"),
AB962*VLOOKUP(G962,ElectrolysisConvF,3,FALSE),
"")</f>
        <v>0.30013852547329539</v>
      </c>
      <c r="AB962" s="30">
        <f>AC962/(H2dens*HoursInYear/10^6)</f>
        <v>57.718947206402959</v>
      </c>
      <c r="AC962" s="30">
        <v>4.4999999999999998E-2</v>
      </c>
      <c r="AD962" s="30"/>
      <c r="AE962" s="30">
        <f>IF(AND(G962&lt;&gt;"NG w CCUS",G962&lt;&gt;"Oil w CCUS",G962&lt;&gt;"Coal w CCUS"),AB962,AD962*10^3/(HoursInYear*IF(G962="NG w CCUS",0.9105,1.9075)))</f>
        <v>57.718947206402959</v>
      </c>
      <c r="AF962" s="28" t="s">
        <v>3788</v>
      </c>
      <c r="AG962" s="28"/>
    </row>
    <row r="963" spans="1:33" ht="32.25" customHeight="1" x14ac:dyDescent="0.2">
      <c r="A963" s="70">
        <v>1302</v>
      </c>
      <c r="B963" s="27" t="s">
        <v>3791</v>
      </c>
      <c r="C963" s="27" t="s">
        <v>977</v>
      </c>
      <c r="D963" s="27"/>
      <c r="E963" s="27"/>
      <c r="F963" s="27" t="s">
        <v>832</v>
      </c>
      <c r="G963" s="27" t="s">
        <v>266</v>
      </c>
      <c r="H963" s="27"/>
      <c r="I963" s="27" t="s">
        <v>768</v>
      </c>
      <c r="J963" s="27" t="s">
        <v>861</v>
      </c>
      <c r="K963" s="27" t="s">
        <v>377</v>
      </c>
      <c r="L963" s="27"/>
      <c r="M963" s="27"/>
      <c r="N963" s="27"/>
      <c r="O963" s="27"/>
      <c r="P963" s="27">
        <v>1</v>
      </c>
      <c r="Q963" s="27">
        <v>1</v>
      </c>
      <c r="R963" s="27"/>
      <c r="S963" s="27"/>
      <c r="T963" s="27"/>
      <c r="U963" s="27"/>
      <c r="V963" s="27"/>
      <c r="W963" s="27"/>
      <c r="X963" s="27"/>
      <c r="Y963" s="27"/>
      <c r="Z963" s="27" t="s">
        <v>3792</v>
      </c>
      <c r="AA963" s="29">
        <f>IF(OR(G963="ALK",G963="PEM",G963="SOEC",G963="Other Electrolysis"),
AB963*VLOOKUP(G963,ElectrolysisConvF,3,FALSE),
"")</f>
        <v>0.93376430147247458</v>
      </c>
      <c r="AB963" s="30">
        <f>AC963/(H2dens*HoursInYear/10^6)</f>
        <v>179.57005797547589</v>
      </c>
      <c r="AC963" s="30">
        <v>0.14000000000000001</v>
      </c>
      <c r="AD963" s="30"/>
      <c r="AE963" s="30">
        <f>IF(AND(G963&lt;&gt;"NG w CCUS",G963&lt;&gt;"Oil w CCUS",G963&lt;&gt;"Coal w CCUS"),AB963,AD963*10^3/(HoursInYear*IF(G963="NG w CCUS",0.9105,1.9075)))</f>
        <v>179.57005797547589</v>
      </c>
      <c r="AF963" s="28" t="s">
        <v>3788</v>
      </c>
      <c r="AG963" s="28"/>
    </row>
    <row r="964" spans="1:33" ht="32.25" customHeight="1" x14ac:dyDescent="0.2">
      <c r="A964" s="70">
        <v>1303</v>
      </c>
      <c r="B964" s="27" t="s">
        <v>3793</v>
      </c>
      <c r="C964" s="27" t="s">
        <v>977</v>
      </c>
      <c r="D964" s="27"/>
      <c r="E964" s="27"/>
      <c r="F964" s="27" t="s">
        <v>832</v>
      </c>
      <c r="G964" s="27" t="s">
        <v>266</v>
      </c>
      <c r="H964" s="27"/>
      <c r="I964" s="27" t="s">
        <v>768</v>
      </c>
      <c r="J964" s="27" t="s">
        <v>861</v>
      </c>
      <c r="K964" s="27" t="s">
        <v>377</v>
      </c>
      <c r="L964" s="27"/>
      <c r="M964" s="27"/>
      <c r="N964" s="27"/>
      <c r="O964" s="27"/>
      <c r="P964" s="27">
        <v>1</v>
      </c>
      <c r="Q964" s="27"/>
      <c r="R964" s="27"/>
      <c r="S964" s="27"/>
      <c r="T964" s="27"/>
      <c r="U964" s="27"/>
      <c r="V964" s="27"/>
      <c r="W964" s="27"/>
      <c r="X964" s="27"/>
      <c r="Y964" s="27"/>
      <c r="Z964" s="27" t="s">
        <v>3792</v>
      </c>
      <c r="AA964" s="29">
        <f>IF(OR(G964="ALK",G964="PEM",G964="SOEC",G964="Other Electrolysis"),
AB964*VLOOKUP(G964,ElectrolysisConvF,3,FALSE),
"")</f>
        <v>0.93376430147247458</v>
      </c>
      <c r="AB964" s="30">
        <f>AC964/(H2dens*HoursInYear/10^6)</f>
        <v>179.57005797547589</v>
      </c>
      <c r="AC964" s="30">
        <v>0.14000000000000001</v>
      </c>
      <c r="AD964" s="30"/>
      <c r="AE964" s="30">
        <f>IF(AND(G964&lt;&gt;"NG w CCUS",G964&lt;&gt;"Oil w CCUS",G964&lt;&gt;"Coal w CCUS"),AB964,AD964*10^3/(HoursInYear*IF(G964="NG w CCUS",0.9105,1.9075)))</f>
        <v>179.57005797547589</v>
      </c>
      <c r="AF964" s="28" t="s">
        <v>3788</v>
      </c>
      <c r="AG964" s="28"/>
    </row>
    <row r="965" spans="1:33" ht="32.25" customHeight="1" x14ac:dyDescent="0.2">
      <c r="A965" s="70">
        <v>1304</v>
      </c>
      <c r="B965" s="27" t="s">
        <v>3794</v>
      </c>
      <c r="C965" s="27" t="s">
        <v>977</v>
      </c>
      <c r="D965" s="27">
        <v>2026</v>
      </c>
      <c r="E965" s="27"/>
      <c r="F965" s="27" t="s">
        <v>832</v>
      </c>
      <c r="G965" s="27" t="s">
        <v>266</v>
      </c>
      <c r="H965" s="27"/>
      <c r="I965" s="27" t="s">
        <v>768</v>
      </c>
      <c r="J965" s="27" t="s">
        <v>861</v>
      </c>
      <c r="K965" s="27" t="s">
        <v>767</v>
      </c>
      <c r="L965" s="27"/>
      <c r="M965" s="27">
        <v>1</v>
      </c>
      <c r="N965" s="27"/>
      <c r="O965" s="27"/>
      <c r="P965" s="27"/>
      <c r="Q965" s="27"/>
      <c r="R965" s="27"/>
      <c r="S965" s="27">
        <v>1</v>
      </c>
      <c r="T965" s="27"/>
      <c r="U965" s="27"/>
      <c r="V965" s="27"/>
      <c r="W965" s="27"/>
      <c r="X965" s="27"/>
      <c r="Y965" s="27"/>
      <c r="Z965" s="27" t="s">
        <v>2527</v>
      </c>
      <c r="AA965" s="29">
        <v>600</v>
      </c>
      <c r="AB965" s="30">
        <f>IF(OR(G965="ALK",G965="PEM",G965="SOEC",G965="Other Electrolysis"),
AA965/VLOOKUP(G965,ElectrolysisConvF,3,FALSE),
AC965*10^6/(H2dens*HoursInYear))</f>
        <v>115384.61538461539</v>
      </c>
      <c r="AC965" s="30">
        <f>AB965*H2dens*HoursInYear/10^6</f>
        <v>89.958461538461535</v>
      </c>
      <c r="AD965" s="30"/>
      <c r="AE965" s="30">
        <f>IF(AND(G965&lt;&gt;"NG w CCUS",G965&lt;&gt;"Oil w CCUS",G965&lt;&gt;"Coal w CCUS"),AB965,AD965*10^3/(HoursInYear*IF(G965="NG w CCUS",0.9105,1.9075)))</f>
        <v>115384.61538461539</v>
      </c>
      <c r="AF965" s="28" t="s">
        <v>3788</v>
      </c>
      <c r="AG965" s="74" t="s">
        <v>3964</v>
      </c>
    </row>
    <row r="966" spans="1:33" ht="32.25" customHeight="1" x14ac:dyDescent="0.2">
      <c r="A966" s="27">
        <v>1305</v>
      </c>
      <c r="B966" s="27" t="s">
        <v>3982</v>
      </c>
      <c r="C966" s="27" t="s">
        <v>655</v>
      </c>
      <c r="D966" s="75">
        <v>2026</v>
      </c>
      <c r="E966" s="27"/>
      <c r="F966" s="27" t="s">
        <v>832</v>
      </c>
      <c r="G966" s="27" t="s">
        <v>266</v>
      </c>
      <c r="H966" s="27"/>
      <c r="I966" s="27" t="s">
        <v>768</v>
      </c>
      <c r="J966" s="27" t="s">
        <v>861</v>
      </c>
      <c r="K966" s="27" t="s">
        <v>740</v>
      </c>
      <c r="L966" s="27"/>
      <c r="M966" s="27">
        <v>1</v>
      </c>
      <c r="N966" s="27"/>
      <c r="O966" s="27"/>
      <c r="P966" s="27"/>
      <c r="Q966" s="27"/>
      <c r="R966" s="27"/>
      <c r="S966" s="27"/>
      <c r="T966" s="27"/>
      <c r="U966" s="27"/>
      <c r="V966" s="27"/>
      <c r="W966" s="27"/>
      <c r="X966" s="27"/>
      <c r="Y966" s="27"/>
      <c r="Z966" s="75" t="s">
        <v>3795</v>
      </c>
      <c r="AA966" s="77">
        <f>IF(OR(G966="ALK",G966="PEM",G966="SOEC",G966="Other Electrolysis"),
AB966*VLOOKUP(G966,ElectrolysisConvF,3,FALSE),
"")</f>
        <v>206.76209532604793</v>
      </c>
      <c r="AB966" s="30">
        <f>AC966/(H2dens*HoursInYear/10^6)</f>
        <v>39761.941408855375</v>
      </c>
      <c r="AC966" s="30">
        <v>31</v>
      </c>
      <c r="AD966" s="30"/>
      <c r="AE966" s="30">
        <f>IF(AND(G966&lt;&gt;"NG w CCUS",G966&lt;&gt;"Oil w CCUS",G966&lt;&gt;"Coal w CCUS"),AB966,AD966*10^3/(HoursInYear*IF(G966="NG w CCUS",0.9105,1.9075)))</f>
        <v>39761.941408855375</v>
      </c>
      <c r="AF966" s="28" t="s">
        <v>3788</v>
      </c>
      <c r="AG966" s="76" t="s">
        <v>3984</v>
      </c>
    </row>
    <row r="967" spans="1:33" ht="32.25" customHeight="1" x14ac:dyDescent="0.2">
      <c r="A967" s="70">
        <v>1306</v>
      </c>
      <c r="B967" s="27" t="s">
        <v>3796</v>
      </c>
      <c r="C967" s="27" t="s">
        <v>980</v>
      </c>
      <c r="D967" s="27"/>
      <c r="E967" s="27"/>
      <c r="F967" s="27" t="s">
        <v>916</v>
      </c>
      <c r="G967" s="27" t="s">
        <v>758</v>
      </c>
      <c r="H967" s="27" t="s">
        <v>1406</v>
      </c>
      <c r="I967" s="27" t="s">
        <v>768</v>
      </c>
      <c r="J967" s="27" t="s">
        <v>863</v>
      </c>
      <c r="K967" s="27" t="s">
        <v>377</v>
      </c>
      <c r="L967" s="27"/>
      <c r="M967" s="27"/>
      <c r="N967" s="27"/>
      <c r="O967" s="27"/>
      <c r="P967" s="27"/>
      <c r="Q967" s="27"/>
      <c r="R967" s="27"/>
      <c r="S967" s="27"/>
      <c r="T967" s="27"/>
      <c r="U967" s="27"/>
      <c r="V967" s="27"/>
      <c r="W967" s="27"/>
      <c r="X967" s="27"/>
      <c r="Y967" s="27"/>
      <c r="Z967" s="27"/>
      <c r="AA967" s="29"/>
      <c r="AB967" s="30"/>
      <c r="AC967" s="30"/>
      <c r="AD967" s="30"/>
      <c r="AE967" s="30">
        <f>IF(AND(G967&lt;&gt;"NG w CCUS",G967&lt;&gt;"Oil w CCUS",G967&lt;&gt;"Coal w CCUS"),AB967,AD967*10^3/(HoursInYear*IF(G967="NG w CCUS",0.9105,1.9075)))</f>
        <v>0</v>
      </c>
      <c r="AF967" s="28" t="s">
        <v>3797</v>
      </c>
      <c r="AG967" s="28"/>
    </row>
    <row r="968" spans="1:33" ht="32.25" customHeight="1" x14ac:dyDescent="0.2">
      <c r="A968" s="70">
        <v>1307</v>
      </c>
      <c r="B968" s="27" t="s">
        <v>3798</v>
      </c>
      <c r="C968" s="27" t="s">
        <v>344</v>
      </c>
      <c r="D968" s="27"/>
      <c r="E968" s="27"/>
      <c r="F968" s="27" t="s">
        <v>1336</v>
      </c>
      <c r="G968" s="27" t="s">
        <v>758</v>
      </c>
      <c r="H968" s="27" t="s">
        <v>1406</v>
      </c>
      <c r="I968" s="27" t="s">
        <v>768</v>
      </c>
      <c r="J968" s="27" t="s">
        <v>861</v>
      </c>
      <c r="K968" s="27" t="s">
        <v>377</v>
      </c>
      <c r="L968" s="27"/>
      <c r="M968" s="27"/>
      <c r="N968" s="27"/>
      <c r="O968" s="27">
        <v>1</v>
      </c>
      <c r="P968" s="27"/>
      <c r="Q968" s="27"/>
      <c r="R968" s="27"/>
      <c r="S968" s="27"/>
      <c r="T968" s="27"/>
      <c r="U968" s="27"/>
      <c r="V968" s="27"/>
      <c r="W968" s="27"/>
      <c r="X968" s="27"/>
      <c r="Y968" s="27"/>
      <c r="Z968" s="27"/>
      <c r="AA968" s="29"/>
      <c r="AB968" s="30"/>
      <c r="AC968" s="30"/>
      <c r="AD968" s="30"/>
      <c r="AE968" s="30">
        <f>IF(AND(G968&lt;&gt;"NG w CCUS",G968&lt;&gt;"Oil w CCUS",G968&lt;&gt;"Coal w CCUS"),AB968,AD968*10^3/(HoursInYear*IF(G968="NG w CCUS",0.9105,1.9075)))</f>
        <v>0</v>
      </c>
      <c r="AF968" s="28" t="s">
        <v>3799</v>
      </c>
      <c r="AG968" s="28"/>
    </row>
    <row r="969" spans="1:33" ht="32.25" customHeight="1" x14ac:dyDescent="0.2">
      <c r="A969" s="70">
        <v>1308</v>
      </c>
      <c r="B969" s="27" t="s">
        <v>3800</v>
      </c>
      <c r="C969" s="27" t="s">
        <v>343</v>
      </c>
      <c r="D969" s="27"/>
      <c r="E969" s="27"/>
      <c r="F969" s="27" t="s">
        <v>1336</v>
      </c>
      <c r="G969" s="27" t="s">
        <v>758</v>
      </c>
      <c r="H969" s="27" t="s">
        <v>1406</v>
      </c>
      <c r="I969" s="27" t="s">
        <v>768</v>
      </c>
      <c r="J969" s="27" t="s">
        <v>863</v>
      </c>
      <c r="K969" s="27" t="s">
        <v>377</v>
      </c>
      <c r="L969" s="27"/>
      <c r="M969" s="27"/>
      <c r="N969" s="27"/>
      <c r="O969" s="27"/>
      <c r="P969" s="27"/>
      <c r="Q969" s="27"/>
      <c r="R969" s="27"/>
      <c r="S969" s="27"/>
      <c r="T969" s="27"/>
      <c r="U969" s="27"/>
      <c r="V969" s="27"/>
      <c r="W969" s="27"/>
      <c r="X969" s="27"/>
      <c r="Y969" s="27"/>
      <c r="Z969" s="27"/>
      <c r="AA969" s="29"/>
      <c r="AB969" s="30"/>
      <c r="AC969" s="30"/>
      <c r="AD969" s="30"/>
      <c r="AE969" s="30">
        <f>IF(AND(G969&lt;&gt;"NG w CCUS",G969&lt;&gt;"Oil w CCUS",G969&lt;&gt;"Coal w CCUS"),AB969,AD969*10^3/(HoursInYear*IF(G969="NG w CCUS",0.9105,1.9075)))</f>
        <v>0</v>
      </c>
      <c r="AF969" s="28" t="s">
        <v>3801</v>
      </c>
      <c r="AG969" s="28"/>
    </row>
    <row r="970" spans="1:33" ht="32.25" customHeight="1" x14ac:dyDescent="0.2">
      <c r="A970" s="70">
        <v>1309</v>
      </c>
      <c r="B970" s="27" t="s">
        <v>3802</v>
      </c>
      <c r="C970" s="27" t="s">
        <v>603</v>
      </c>
      <c r="D970" s="27"/>
      <c r="E970" s="27"/>
      <c r="F970" s="27" t="s">
        <v>1336</v>
      </c>
      <c r="G970" s="27" t="s">
        <v>758</v>
      </c>
      <c r="H970" s="27" t="s">
        <v>1406</v>
      </c>
      <c r="I970" s="27" t="s">
        <v>768</v>
      </c>
      <c r="J970" s="27" t="s">
        <v>865</v>
      </c>
      <c r="K970" s="27" t="s">
        <v>377</v>
      </c>
      <c r="L970" s="27"/>
      <c r="M970" s="27"/>
      <c r="N970" s="27"/>
      <c r="O970" s="27"/>
      <c r="P970" s="27"/>
      <c r="Q970" s="27"/>
      <c r="R970" s="27"/>
      <c r="S970" s="27"/>
      <c r="T970" s="27"/>
      <c r="U970" s="27"/>
      <c r="V970" s="27"/>
      <c r="W970" s="27"/>
      <c r="X970" s="27"/>
      <c r="Y970" s="27"/>
      <c r="Z970" s="27"/>
      <c r="AA970" s="29"/>
      <c r="AB970" s="30"/>
      <c r="AC970" s="30"/>
      <c r="AD970" s="30"/>
      <c r="AE970" s="30">
        <f>IF(AND(G970&lt;&gt;"NG w CCUS",G970&lt;&gt;"Oil w CCUS",G970&lt;&gt;"Coal w CCUS"),AB970,AD970*10^3/(HoursInYear*IF(G970="NG w CCUS",0.9105,1.9075)))</f>
        <v>0</v>
      </c>
      <c r="AF970" s="28" t="s">
        <v>3803</v>
      </c>
      <c r="AG970" s="28"/>
    </row>
    <row r="971" spans="1:33" ht="32.25" customHeight="1" x14ac:dyDescent="0.2">
      <c r="A971" s="70">
        <v>1310</v>
      </c>
      <c r="B971" s="27" t="s">
        <v>3804</v>
      </c>
      <c r="C971" s="27" t="s">
        <v>980</v>
      </c>
      <c r="D971" s="27"/>
      <c r="E971" s="27"/>
      <c r="F971" s="27" t="s">
        <v>832</v>
      </c>
      <c r="G971" s="27" t="s">
        <v>758</v>
      </c>
      <c r="H971" s="27" t="s">
        <v>1406</v>
      </c>
      <c r="I971" s="27" t="s">
        <v>768</v>
      </c>
      <c r="J971" s="27" t="s">
        <v>865</v>
      </c>
      <c r="K971" s="27" t="s">
        <v>377</v>
      </c>
      <c r="L971" s="27"/>
      <c r="M971" s="27"/>
      <c r="N971" s="27"/>
      <c r="O971" s="27"/>
      <c r="P971" s="27"/>
      <c r="Q971" s="27">
        <v>1</v>
      </c>
      <c r="R971" s="27"/>
      <c r="S971" s="27"/>
      <c r="T971" s="27"/>
      <c r="U971" s="27"/>
      <c r="V971" s="27"/>
      <c r="W971" s="27"/>
      <c r="X971" s="27"/>
      <c r="Y971" s="27"/>
      <c r="Z971" s="27" t="s">
        <v>1977</v>
      </c>
      <c r="AA971" s="29">
        <v>5</v>
      </c>
      <c r="AB971" s="30">
        <f>IF(OR(G971="ALK",G971="PEM",G971="SOEC",G971="Other Electrolysis"),
AA971/VLOOKUP(G971,ElectrolysisConvF,3,FALSE),
AC971*10^6/(H2dens*HoursInYear))</f>
        <v>1111.1111111111111</v>
      </c>
      <c r="AC971" s="30">
        <f>AB971*H2dens*HoursInYear/10^6</f>
        <v>0.86626666666666663</v>
      </c>
      <c r="AD971" s="30"/>
      <c r="AE971" s="30">
        <f>IF(AND(G971&lt;&gt;"NG w CCUS",G971&lt;&gt;"Oil w CCUS",G971&lt;&gt;"Coal w CCUS"),AB971,AD971*10^3/(HoursInYear*IF(G971="NG w CCUS",0.9105,1.9075)))</f>
        <v>1111.1111111111111</v>
      </c>
      <c r="AF971" s="28" t="s">
        <v>3805</v>
      </c>
      <c r="AG971" s="28"/>
    </row>
    <row r="972" spans="1:33" ht="32.25" customHeight="1" x14ac:dyDescent="0.2">
      <c r="A972" s="70">
        <v>1311</v>
      </c>
      <c r="B972" s="27" t="s">
        <v>3806</v>
      </c>
      <c r="C972" s="27" t="s">
        <v>339</v>
      </c>
      <c r="D972" s="27">
        <v>2021</v>
      </c>
      <c r="E972" s="27"/>
      <c r="F972" s="27" t="s">
        <v>836</v>
      </c>
      <c r="G972" s="27" t="s">
        <v>762</v>
      </c>
      <c r="H972" s="27" t="s">
        <v>3051</v>
      </c>
      <c r="I972" s="27" t="str">
        <f>IF(AND(G972&lt;&gt;"ALK",G972&lt;&gt;"PEM",G972&lt;&gt;"SOEC",G972&lt;&gt;"Other electrolysis"),"N/A","")</f>
        <v>N/A</v>
      </c>
      <c r="J972" s="27" t="str">
        <f>IF(I972&lt;&gt;"Dedicated renewable","N/A",)</f>
        <v>N/A</v>
      </c>
      <c r="K972" s="27" t="s">
        <v>377</v>
      </c>
      <c r="L972" s="27"/>
      <c r="M972" s="27"/>
      <c r="N972" s="27"/>
      <c r="O972" s="27"/>
      <c r="P972" s="27"/>
      <c r="Q972" s="27">
        <v>1</v>
      </c>
      <c r="R972" s="27"/>
      <c r="S972" s="27"/>
      <c r="T972" s="27"/>
      <c r="U972" s="27"/>
      <c r="V972" s="27"/>
      <c r="W972" s="27"/>
      <c r="X972" s="27"/>
      <c r="Y972" s="27"/>
      <c r="Z972" s="27" t="s">
        <v>3807</v>
      </c>
      <c r="AA972" s="29" t="str">
        <f>IF(OR(G972="ALK",G972="PEM",G972="SOEC",G972="Other Electrolysis"),
AB972*VLOOKUP(G972,ElectrolysisConvF,3,FALSE),
"")</f>
        <v/>
      </c>
      <c r="AB972" s="30">
        <f>AC972/(H2dens*HoursInYear/10^6)</f>
        <v>21.067415730337078</v>
      </c>
      <c r="AC972" s="30">
        <f>45*365/10^6</f>
        <v>1.6424999999999999E-2</v>
      </c>
      <c r="AD972" s="30"/>
      <c r="AE972" s="30">
        <f>IF(AND(G972&lt;&gt;"NG w CCUS",G972&lt;&gt;"Oil w CCUS",G972&lt;&gt;"Coal w CCUS"),AB972,AD972*10^3/(HoursInYear*IF(G972="NG w CCUS",0.9105,1.9075)))</f>
        <v>21.067415730337078</v>
      </c>
      <c r="AF972" s="28" t="s">
        <v>3808</v>
      </c>
      <c r="AG972" s="28"/>
    </row>
    <row r="973" spans="1:33" ht="32.25" customHeight="1" x14ac:dyDescent="0.2">
      <c r="A973" s="70">
        <v>1312</v>
      </c>
      <c r="B973" s="27" t="s">
        <v>3809</v>
      </c>
      <c r="C973" s="27" t="s">
        <v>338</v>
      </c>
      <c r="D973" s="27">
        <v>2023</v>
      </c>
      <c r="E973" s="27"/>
      <c r="F973" s="27" t="s">
        <v>753</v>
      </c>
      <c r="G973" s="27" t="s">
        <v>758</v>
      </c>
      <c r="H973" s="27" t="s">
        <v>1406</v>
      </c>
      <c r="I973" s="27" t="s">
        <v>768</v>
      </c>
      <c r="J973" s="27" t="s">
        <v>865</v>
      </c>
      <c r="K973" s="27" t="s">
        <v>377</v>
      </c>
      <c r="L973" s="27"/>
      <c r="M973" s="27"/>
      <c r="N973" s="27"/>
      <c r="O973" s="27"/>
      <c r="P973" s="27"/>
      <c r="Q973" s="27">
        <v>1</v>
      </c>
      <c r="R973" s="27"/>
      <c r="S973" s="27"/>
      <c r="T973" s="27"/>
      <c r="U973" s="27"/>
      <c r="V973" s="27"/>
      <c r="W973" s="27"/>
      <c r="X973" s="27"/>
      <c r="Y973" s="27"/>
      <c r="Z973" s="27" t="s">
        <v>3810</v>
      </c>
      <c r="AA973" s="29">
        <v>465</v>
      </c>
      <c r="AB973" s="30">
        <f>AC973/(H2dens*HoursInYear/10^6)</f>
        <v>85808.834846852405</v>
      </c>
      <c r="AC973" s="30">
        <v>66.900000000000006</v>
      </c>
      <c r="AD973" s="30"/>
      <c r="AE973" s="30">
        <f>IF(AND(G973&lt;&gt;"NG w CCUS",G973&lt;&gt;"Oil w CCUS",G973&lt;&gt;"Coal w CCUS"),AB973,AD973*10^3/(HoursInYear*IF(G973="NG w CCUS",0.9105,1.9075)))</f>
        <v>85808.834846852405</v>
      </c>
      <c r="AF973" s="28" t="s">
        <v>3811</v>
      </c>
      <c r="AG973" s="74" t="s">
        <v>3943</v>
      </c>
    </row>
    <row r="974" spans="1:33" ht="32.25" customHeight="1" x14ac:dyDescent="0.2">
      <c r="A974" s="70">
        <v>1313</v>
      </c>
      <c r="B974" s="27" t="s">
        <v>3812</v>
      </c>
      <c r="C974" s="27" t="s">
        <v>343</v>
      </c>
      <c r="D974" s="27"/>
      <c r="E974" s="27"/>
      <c r="F974" s="27" t="s">
        <v>832</v>
      </c>
      <c r="G974" s="27" t="s">
        <v>760</v>
      </c>
      <c r="H974" s="27"/>
      <c r="I974" s="27" t="str">
        <f>IF(AND(G974&lt;&gt;"ALK",G974&lt;&gt;"PEM",G974&lt;&gt;"SOEC",G974&lt;&gt;"Other electrolysis"),"N/A","")</f>
        <v>N/A</v>
      </c>
      <c r="J974" s="27" t="str">
        <f>IF(I974&lt;&gt;"Dedicated renewable","N/A",)</f>
        <v>N/A</v>
      </c>
      <c r="K974" s="27" t="s">
        <v>377</v>
      </c>
      <c r="L974" s="27">
        <v>1</v>
      </c>
      <c r="M974" s="27"/>
      <c r="N974" s="27"/>
      <c r="O974" s="27"/>
      <c r="P974" s="27"/>
      <c r="Q974" s="27"/>
      <c r="R974" s="27"/>
      <c r="S974" s="27"/>
      <c r="T974" s="27"/>
      <c r="U974" s="27"/>
      <c r="V974" s="27"/>
      <c r="W974" s="27"/>
      <c r="X974" s="27"/>
      <c r="Y974" s="27"/>
      <c r="Z974" s="27" t="s">
        <v>3813</v>
      </c>
      <c r="AA974" s="29" t="str">
        <f>IF(OR(G974="ALK",G974="PEM",G974="SOEC",G974="Other Electrolysis"),
AB974*VLOOKUP(G974,ElectrolysisConvF,3,FALSE),
"")</f>
        <v/>
      </c>
      <c r="AB974" s="30"/>
      <c r="AC974" s="30"/>
      <c r="AD974" s="30">
        <v>8000000</v>
      </c>
      <c r="AE974" s="30">
        <f>IF(AND(G974&lt;&gt;"NG w CCUS",G974&lt;&gt;"Oil w CCUS",G974&lt;&gt;"Coal w CCUS"),AB974,AD974*10^3/(HoursInYear*IF(G974="NG w CCUS",0.9105,1.9075)))</f>
        <v>1003011.5421553215</v>
      </c>
      <c r="AF974" s="28" t="s">
        <v>3814</v>
      </c>
      <c r="AG974" s="28"/>
    </row>
    <row r="975" spans="1:33" ht="32.25" customHeight="1" x14ac:dyDescent="0.2">
      <c r="A975" s="70">
        <v>1314</v>
      </c>
      <c r="B975" s="27" t="s">
        <v>3815</v>
      </c>
      <c r="C975" s="27" t="s">
        <v>332</v>
      </c>
      <c r="D975" s="27">
        <v>2022</v>
      </c>
      <c r="E975" s="27"/>
      <c r="F975" s="27" t="s">
        <v>753</v>
      </c>
      <c r="G975" s="27" t="s">
        <v>268</v>
      </c>
      <c r="H975" s="27"/>
      <c r="I975" s="27" t="s">
        <v>768</v>
      </c>
      <c r="J975" s="27" t="s">
        <v>378</v>
      </c>
      <c r="K975" s="27" t="s">
        <v>377</v>
      </c>
      <c r="L975" s="27"/>
      <c r="M975" s="27"/>
      <c r="N975" s="27"/>
      <c r="O975" s="27"/>
      <c r="P975" s="27"/>
      <c r="Q975" s="27"/>
      <c r="R975" s="27"/>
      <c r="S975" s="27"/>
      <c r="T975" s="27"/>
      <c r="U975" s="27"/>
      <c r="V975" s="27"/>
      <c r="W975" s="27"/>
      <c r="X975" s="27"/>
      <c r="Y975" s="27"/>
      <c r="Z975" s="27" t="s">
        <v>3816</v>
      </c>
      <c r="AA975" s="29">
        <f>IF(OR(G975="ALK",G975="PEM",G975="SOEC",G975="Other Electrolysis"),
AB975*VLOOKUP(G975,ElectrolysisConvF,3,FALSE),
"")</f>
        <v>5.0599999999999996</v>
      </c>
      <c r="AB975" s="30">
        <v>1100</v>
      </c>
      <c r="AC975" s="30">
        <f>AB975*H2dens*HoursInYear/10^6</f>
        <v>0.85760399999999992</v>
      </c>
      <c r="AD975" s="30"/>
      <c r="AE975" s="30">
        <f>IF(AND(G975&lt;&gt;"NG w CCUS",G975&lt;&gt;"Oil w CCUS",G975&lt;&gt;"Coal w CCUS"),AB975,AD975*10^3/(HoursInYear*IF(G975="NG w CCUS",0.9105,1.9075)))</f>
        <v>1100</v>
      </c>
      <c r="AF975" s="28" t="s">
        <v>3817</v>
      </c>
      <c r="AG975" s="28"/>
    </row>
    <row r="976" spans="1:33" ht="32.25" customHeight="1" x14ac:dyDescent="0.2">
      <c r="A976" s="70">
        <v>1315</v>
      </c>
      <c r="B976" s="27" t="s">
        <v>3818</v>
      </c>
      <c r="C976" s="27" t="s">
        <v>346</v>
      </c>
      <c r="D976" s="27">
        <v>2024</v>
      </c>
      <c r="E976" s="27"/>
      <c r="F976" s="27" t="s">
        <v>832</v>
      </c>
      <c r="G976" s="27" t="s">
        <v>758</v>
      </c>
      <c r="H976" s="27" t="s">
        <v>1406</v>
      </c>
      <c r="I976" s="27" t="s">
        <v>768</v>
      </c>
      <c r="J976" s="27" t="s">
        <v>863</v>
      </c>
      <c r="K976" s="27" t="s">
        <v>377</v>
      </c>
      <c r="L976" s="27"/>
      <c r="M976" s="27"/>
      <c r="N976" s="27"/>
      <c r="O976" s="27"/>
      <c r="P976" s="27">
        <v>1</v>
      </c>
      <c r="Q976" s="27">
        <v>1</v>
      </c>
      <c r="R976" s="27"/>
      <c r="S976" s="27"/>
      <c r="T976" s="27"/>
      <c r="U976" s="27"/>
      <c r="V976" s="27"/>
      <c r="W976" s="27"/>
      <c r="X976" s="27"/>
      <c r="Y976" s="27"/>
      <c r="Z976" s="27" t="s">
        <v>1410</v>
      </c>
      <c r="AA976" s="29">
        <v>1000</v>
      </c>
      <c r="AB976" s="30">
        <f>IF(OR(G976="ALK",G976="PEM",G976="SOEC",G976="Other Electrolysis"),
AA976/VLOOKUP(G976,ElectrolysisConvF,3,FALSE),
AC976*10^6/(H2dens*HoursInYear))</f>
        <v>222222.22222222225</v>
      </c>
      <c r="AC976" s="30">
        <f>AB976*H2dens*HoursInYear/10^6</f>
        <v>173.25333333333333</v>
      </c>
      <c r="AD976" s="30"/>
      <c r="AE976" s="30">
        <f>IF(AND(G976&lt;&gt;"NG w CCUS",G976&lt;&gt;"Oil w CCUS",G976&lt;&gt;"Coal w CCUS"),AB976,AD976*10^3/(HoursInYear*IF(G976="NG w CCUS",0.9105,1.9075)))</f>
        <v>222222.22222222225</v>
      </c>
      <c r="AF976" s="28" t="s">
        <v>3819</v>
      </c>
      <c r="AG976" s="74" t="s">
        <v>3912</v>
      </c>
    </row>
    <row r="977" spans="1:33" ht="32.25" customHeight="1" x14ac:dyDescent="0.2">
      <c r="A977" s="70">
        <v>1316</v>
      </c>
      <c r="B977" s="27" t="s">
        <v>3820</v>
      </c>
      <c r="C977" s="27" t="s">
        <v>338</v>
      </c>
      <c r="D977" s="27"/>
      <c r="E977" s="27"/>
      <c r="F977" s="27" t="s">
        <v>832</v>
      </c>
      <c r="G977" s="27" t="s">
        <v>758</v>
      </c>
      <c r="H977" s="27" t="s">
        <v>1406</v>
      </c>
      <c r="I977" s="27" t="s">
        <v>768</v>
      </c>
      <c r="J977" s="27" t="s">
        <v>378</v>
      </c>
      <c r="K977" s="27" t="s">
        <v>377</v>
      </c>
      <c r="L977" s="27"/>
      <c r="M977" s="27"/>
      <c r="N977" s="27"/>
      <c r="O977" s="27">
        <v>1</v>
      </c>
      <c r="P977" s="27"/>
      <c r="Q977" s="27"/>
      <c r="R977" s="27"/>
      <c r="S977" s="27"/>
      <c r="T977" s="27"/>
      <c r="U977" s="27"/>
      <c r="V977" s="27"/>
      <c r="W977" s="27"/>
      <c r="X977" s="27"/>
      <c r="Y977" s="27"/>
      <c r="Z977" s="27"/>
      <c r="AA977" s="29"/>
      <c r="AB977" s="30"/>
      <c r="AC977" s="30"/>
      <c r="AD977" s="30"/>
      <c r="AE977" s="30">
        <f>IF(AND(G977&lt;&gt;"NG w CCUS",G977&lt;&gt;"Oil w CCUS",G977&lt;&gt;"Coal w CCUS"),AB977,AD977*10^3/(HoursInYear*IF(G977="NG w CCUS",0.9105,1.9075)))</f>
        <v>0</v>
      </c>
      <c r="AF977" s="28" t="s">
        <v>3821</v>
      </c>
      <c r="AG977" s="28"/>
    </row>
    <row r="978" spans="1:33" ht="32.25" customHeight="1" x14ac:dyDescent="0.2">
      <c r="A978" s="70">
        <v>1317</v>
      </c>
      <c r="B978" s="27" t="s">
        <v>3822</v>
      </c>
      <c r="C978" s="27" t="s">
        <v>362</v>
      </c>
      <c r="D978" s="27">
        <v>2022</v>
      </c>
      <c r="E978" s="27"/>
      <c r="F978" s="27" t="s">
        <v>832</v>
      </c>
      <c r="G978" s="27" t="s">
        <v>762</v>
      </c>
      <c r="H978" s="27" t="s">
        <v>3051</v>
      </c>
      <c r="I978" s="27" t="str">
        <f>IF(AND(G978&lt;&gt;"ALK",G978&lt;&gt;"PEM",G978&lt;&gt;"SOEC",G978&lt;&gt;"Other electrolysis"),"N/A","")</f>
        <v>N/A</v>
      </c>
      <c r="J978" s="27" t="str">
        <f>IF(I978&lt;&gt;"Dedicated renewable","N/A",)</f>
        <v>N/A</v>
      </c>
      <c r="K978" s="27" t="s">
        <v>377</v>
      </c>
      <c r="L978" s="27"/>
      <c r="M978" s="27"/>
      <c r="N978" s="27"/>
      <c r="O978" s="27"/>
      <c r="P978" s="27"/>
      <c r="Q978" s="27"/>
      <c r="R978" s="27"/>
      <c r="S978" s="27"/>
      <c r="T978" s="27"/>
      <c r="U978" s="27"/>
      <c r="V978" s="27"/>
      <c r="W978" s="27"/>
      <c r="X978" s="27"/>
      <c r="Y978" s="27"/>
      <c r="Z978" s="27" t="s">
        <v>2986</v>
      </c>
      <c r="AA978" s="29" t="str">
        <f>IF(OR(G978="ALK",G978="PEM",G978="SOEC",G978="Other Electrolysis"),
AB978*VLOOKUP(G978,ElectrolysisConvF,3,FALSE),
"")</f>
        <v/>
      </c>
      <c r="AB978" s="30">
        <f>AC978/(H2dens*HoursInYear/10^6)</f>
        <v>1404.4943820224719</v>
      </c>
      <c r="AC978" s="30">
        <f>3*365/1000</f>
        <v>1.095</v>
      </c>
      <c r="AD978" s="30"/>
      <c r="AE978" s="30">
        <f>IF(AND(G978&lt;&gt;"NG w CCUS",G978&lt;&gt;"Oil w CCUS",G978&lt;&gt;"Coal w CCUS"),AB978,AD978*10^3/(HoursInYear*IF(G978="NG w CCUS",0.9105,1.9075)))</f>
        <v>1404.4943820224719</v>
      </c>
      <c r="AF978" s="28" t="s">
        <v>3823</v>
      </c>
      <c r="AG978" s="28"/>
    </row>
    <row r="979" spans="1:33" ht="32.25" customHeight="1" x14ac:dyDescent="0.2">
      <c r="A979" s="70">
        <v>1318</v>
      </c>
      <c r="B979" s="27" t="s">
        <v>3824</v>
      </c>
      <c r="C979" s="27" t="s">
        <v>334</v>
      </c>
      <c r="D979" s="27">
        <v>2026</v>
      </c>
      <c r="E979" s="27"/>
      <c r="F979" s="27" t="s">
        <v>1336</v>
      </c>
      <c r="G979" s="27" t="s">
        <v>760</v>
      </c>
      <c r="H979" s="27"/>
      <c r="I979" s="27" t="str">
        <f>IF(AND(G979&lt;&gt;"ALK",G979&lt;&gt;"PEM",G979&lt;&gt;"SOEC",G979&lt;&gt;"Other electrolysis"),"N/A","")</f>
        <v>N/A</v>
      </c>
      <c r="J979" s="27" t="str">
        <f>IF(I979&lt;&gt;"Dedicated renewable","N/A",)</f>
        <v>N/A</v>
      </c>
      <c r="K979" s="27" t="s">
        <v>740</v>
      </c>
      <c r="L979" s="27"/>
      <c r="M979" s="27">
        <v>1</v>
      </c>
      <c r="N979" s="27"/>
      <c r="O979" s="27"/>
      <c r="P979" s="27"/>
      <c r="Q979" s="27"/>
      <c r="R979" s="27"/>
      <c r="S979" s="27"/>
      <c r="T979" s="27"/>
      <c r="U979" s="27"/>
      <c r="V979" s="27"/>
      <c r="W979" s="27"/>
      <c r="X979" s="27"/>
      <c r="Y979" s="27"/>
      <c r="Z979" s="27" t="s">
        <v>3339</v>
      </c>
      <c r="AA979" s="29" t="str">
        <f>IF(OR(G979="ALK",G979="PEM",G979="SOEC",G979="Other Electrolysis"),
AB979*VLOOKUP(G979,ElectrolysisConvF,3,FALSE),
"")</f>
        <v/>
      </c>
      <c r="AB979" s="30">
        <f>AC979/(H2dens*HoursInYear/10^6)</f>
        <v>230968.17609605024</v>
      </c>
      <c r="AC979" s="30">
        <f>1000*3/17/0.98</f>
        <v>180.0720288115246</v>
      </c>
      <c r="AD979" s="30"/>
      <c r="AE979" s="30">
        <f>IF(AND(G979&lt;&gt;"NG w CCUS",G979&lt;&gt;"Oil w CCUS",G979&lt;&gt;"Coal w CCUS"),AB979,AD979*10^3/(HoursInYear*IF(G979="NG w CCUS",0.9105,1.9075)))</f>
        <v>0</v>
      </c>
      <c r="AF979" s="28" t="s">
        <v>3825</v>
      </c>
      <c r="AG979" s="28"/>
    </row>
    <row r="980" spans="1:33" ht="32.25" customHeight="1" x14ac:dyDescent="0.2">
      <c r="A980" s="70">
        <v>1319</v>
      </c>
      <c r="B980" s="27" t="s">
        <v>3826</v>
      </c>
      <c r="C980" s="27" t="s">
        <v>343</v>
      </c>
      <c r="D980" s="27">
        <v>2029</v>
      </c>
      <c r="E980" s="27"/>
      <c r="F980" s="27" t="s">
        <v>832</v>
      </c>
      <c r="G980" s="27" t="s">
        <v>760</v>
      </c>
      <c r="H980" s="27"/>
      <c r="I980" s="27" t="str">
        <f>IF(AND(G980&lt;&gt;"ALK",G980&lt;&gt;"PEM",G980&lt;&gt;"SOEC",G980&lt;&gt;"Other electrolysis"),"N/A","")</f>
        <v>N/A</v>
      </c>
      <c r="J980" s="27" t="str">
        <f>IF(I980&lt;&gt;"Dedicated renewable","N/A",)</f>
        <v>N/A</v>
      </c>
      <c r="K980" s="27" t="s">
        <v>377</v>
      </c>
      <c r="L980" s="27">
        <v>1</v>
      </c>
      <c r="M980" s="27"/>
      <c r="N980" s="27"/>
      <c r="O980" s="27"/>
      <c r="P980" s="27"/>
      <c r="Q980" s="27"/>
      <c r="R980" s="27"/>
      <c r="S980" s="27"/>
      <c r="T980" s="27"/>
      <c r="U980" s="27"/>
      <c r="V980" s="27"/>
      <c r="W980" s="27"/>
      <c r="X980" s="27"/>
      <c r="Y980" s="27"/>
      <c r="Z980" s="27" t="s">
        <v>3827</v>
      </c>
      <c r="AA980" s="29" t="str">
        <f>IF(OR(G980="ALK",G980="PEM",G980="SOEC",G980="Other Electrolysis"),
AB980*VLOOKUP(G980,ElectrolysisConvF,3,FALSE),
"")</f>
        <v/>
      </c>
      <c r="AB980" s="30"/>
      <c r="AC980" s="30"/>
      <c r="AD980" s="30">
        <v>1100000</v>
      </c>
      <c r="AE980" s="30">
        <f>IF(AND(G980&lt;&gt;"NG w CCUS",G980&lt;&gt;"Oil w CCUS",G980&lt;&gt;"Coal w CCUS"),AB980,AD980*10^3/(HoursInYear*IF(G980="NG w CCUS",0.9105,1.9075)))</f>
        <v>137914.0870463567</v>
      </c>
      <c r="AF980" s="28" t="s">
        <v>3828</v>
      </c>
      <c r="AG980" s="28"/>
    </row>
    <row r="981" spans="1:33" ht="32.25" customHeight="1" x14ac:dyDescent="0.2">
      <c r="A981" s="70">
        <v>1320</v>
      </c>
      <c r="B981" s="27" t="s">
        <v>3829</v>
      </c>
      <c r="C981" s="27" t="s">
        <v>804</v>
      </c>
      <c r="D981" s="27">
        <v>2025</v>
      </c>
      <c r="E981" s="27"/>
      <c r="F981" s="27" t="s">
        <v>753</v>
      </c>
      <c r="G981" s="27" t="s">
        <v>758</v>
      </c>
      <c r="H981" s="27" t="s">
        <v>1406</v>
      </c>
      <c r="I981" s="27" t="s">
        <v>768</v>
      </c>
      <c r="J981" s="27" t="s">
        <v>378</v>
      </c>
      <c r="K981" s="27" t="s">
        <v>377</v>
      </c>
      <c r="L981" s="27"/>
      <c r="M981" s="27"/>
      <c r="N981" s="27"/>
      <c r="O981" s="27">
        <v>1</v>
      </c>
      <c r="P981" s="27"/>
      <c r="Q981" s="27"/>
      <c r="R981" s="27"/>
      <c r="S981" s="27"/>
      <c r="T981" s="27"/>
      <c r="U981" s="27"/>
      <c r="V981" s="27"/>
      <c r="W981" s="27"/>
      <c r="X981" s="27"/>
      <c r="Y981" s="27"/>
      <c r="Z981" s="27" t="s">
        <v>1902</v>
      </c>
      <c r="AA981" s="29">
        <v>50</v>
      </c>
      <c r="AB981" s="30">
        <f>IF(OR(G981="ALK",G981="PEM",G981="SOEC",G981="Other Electrolysis"),
AA981/VLOOKUP(G981,ElectrolysisConvF,3,FALSE),
AC981*10^6/(H2dens*HoursInYear))</f>
        <v>11111.111111111111</v>
      </c>
      <c r="AC981" s="30">
        <f>AB981*H2dens*HoursInYear/10^6</f>
        <v>8.6626666666666665</v>
      </c>
      <c r="AD981" s="30"/>
      <c r="AE981" s="30">
        <f>IF(AND(G981&lt;&gt;"NG w CCUS",G981&lt;&gt;"Oil w CCUS",G981&lt;&gt;"Coal w CCUS"),AB981,AD981*10^3/(HoursInYear*IF(G981="NG w CCUS",0.9105,1.9075)))</f>
        <v>11111.111111111111</v>
      </c>
      <c r="AF981" s="28" t="s">
        <v>3828</v>
      </c>
      <c r="AG981" s="28"/>
    </row>
    <row r="982" spans="1:33" ht="32.25" customHeight="1" x14ac:dyDescent="0.2">
      <c r="A982" s="70">
        <v>1321</v>
      </c>
      <c r="B982" s="27" t="s">
        <v>3830</v>
      </c>
      <c r="C982" s="27" t="s">
        <v>361</v>
      </c>
      <c r="D982" s="27">
        <v>2022</v>
      </c>
      <c r="E982" s="27"/>
      <c r="F982" s="27" t="s">
        <v>753</v>
      </c>
      <c r="G982" s="27" t="s">
        <v>758</v>
      </c>
      <c r="H982" s="27" t="s">
        <v>1406</v>
      </c>
      <c r="I982" s="27" t="s">
        <v>768</v>
      </c>
      <c r="J982" s="27" t="s">
        <v>865</v>
      </c>
      <c r="K982" s="27" t="s">
        <v>377</v>
      </c>
      <c r="L982" s="27"/>
      <c r="M982" s="27"/>
      <c r="N982" s="27"/>
      <c r="O982" s="27"/>
      <c r="P982" s="27"/>
      <c r="Q982" s="27"/>
      <c r="R982" s="27"/>
      <c r="S982" s="27">
        <v>1</v>
      </c>
      <c r="T982" s="27"/>
      <c r="U982" s="27"/>
      <c r="V982" s="27"/>
      <c r="W982" s="27"/>
      <c r="X982" s="27"/>
      <c r="Y982" s="27"/>
      <c r="Z982" s="27" t="s">
        <v>3831</v>
      </c>
      <c r="AA982" s="29">
        <v>0.15</v>
      </c>
      <c r="AB982" s="30">
        <f>IF(OR(G982="ALK",G982="PEM",G982="SOEC",G982="Other Electrolysis"),
AA982/VLOOKUP(G982,ElectrolysisConvF,3,FALSE),
AC982*10^6/(H2dens*HoursInYear))</f>
        <v>33.333333333333336</v>
      </c>
      <c r="AC982" s="30">
        <f>AB982*H2dens*HoursInYear/10^6</f>
        <v>2.5988000000000001E-2</v>
      </c>
      <c r="AD982" s="30"/>
      <c r="AE982" s="30">
        <f>IF(AND(G982&lt;&gt;"NG w CCUS",G982&lt;&gt;"Oil w CCUS",G982&lt;&gt;"Coal w CCUS"),AB982,AD982*10^3/(HoursInYear*IF(G982="NG w CCUS",0.9105,1.9075)))</f>
        <v>33.333333333333336</v>
      </c>
      <c r="AF982" s="28" t="s">
        <v>3832</v>
      </c>
      <c r="AG982" s="28"/>
    </row>
    <row r="983" spans="1:33" ht="32.25" customHeight="1" x14ac:dyDescent="0.2">
      <c r="A983" s="70">
        <v>1322</v>
      </c>
      <c r="B983" s="27" t="s">
        <v>3833</v>
      </c>
      <c r="C983" s="27" t="s">
        <v>804</v>
      </c>
      <c r="D983" s="27">
        <v>2022</v>
      </c>
      <c r="E983" s="27"/>
      <c r="F983" s="27" t="s">
        <v>753</v>
      </c>
      <c r="G983" s="27" t="s">
        <v>268</v>
      </c>
      <c r="H983" s="27"/>
      <c r="I983" s="27" t="s">
        <v>768</v>
      </c>
      <c r="J983" s="27" t="s">
        <v>378</v>
      </c>
      <c r="K983" s="27" t="s">
        <v>377</v>
      </c>
      <c r="L983" s="27"/>
      <c r="M983" s="27"/>
      <c r="N983" s="27"/>
      <c r="O983" s="27"/>
      <c r="P983" s="27"/>
      <c r="Q983" s="27">
        <v>1</v>
      </c>
      <c r="R983" s="27"/>
      <c r="S983" s="27"/>
      <c r="T983" s="27"/>
      <c r="U983" s="27"/>
      <c r="V983" s="27"/>
      <c r="W983" s="27"/>
      <c r="X983" s="27"/>
      <c r="Y983" s="27"/>
      <c r="Z983" s="27" t="s">
        <v>1407</v>
      </c>
      <c r="AA983" s="29">
        <v>10</v>
      </c>
      <c r="AB983" s="30">
        <f>IF(OR(G983="ALK",G983="PEM",G983="SOEC",G983="Other Electrolysis"),
AA983/VLOOKUP(G983,ElectrolysisConvF,3,FALSE),
AC983*10^6/(H2dens*HoursInYear))</f>
        <v>2173.913043478261</v>
      </c>
      <c r="AC983" s="30">
        <f>AB983*H2dens*HoursInYear/10^6</f>
        <v>1.6948695652173913</v>
      </c>
      <c r="AD983" s="30"/>
      <c r="AE983" s="30">
        <f>IF(AND(G983&lt;&gt;"NG w CCUS",G983&lt;&gt;"Oil w CCUS",G983&lt;&gt;"Coal w CCUS"),AB983,AD983*10^3/(HoursInYear*IF(G983="NG w CCUS",0.9105,1.9075)))</f>
        <v>2173.913043478261</v>
      </c>
      <c r="AF983" s="28" t="s">
        <v>3834</v>
      </c>
      <c r="AG983" s="74" t="s">
        <v>4074</v>
      </c>
    </row>
    <row r="984" spans="1:33" ht="32.25" customHeight="1" x14ac:dyDescent="0.2">
      <c r="A984" s="70">
        <v>1323</v>
      </c>
      <c r="B984" s="27" t="s">
        <v>3835</v>
      </c>
      <c r="C984" s="27" t="s">
        <v>347</v>
      </c>
      <c r="D984" s="27">
        <v>2024</v>
      </c>
      <c r="E984" s="27"/>
      <c r="F984" s="27" t="s">
        <v>832</v>
      </c>
      <c r="G984" s="27" t="s">
        <v>761</v>
      </c>
      <c r="H984" s="27" t="s">
        <v>3348</v>
      </c>
      <c r="I984" s="27" t="str">
        <f>IF(AND(G984&lt;&gt;"ALK",G984&lt;&gt;"PEM",G984&lt;&gt;"SOEC",G984&lt;&gt;"Other electrolysis"),"N/A","")</f>
        <v>N/A</v>
      </c>
      <c r="J984" s="27" t="str">
        <f>IF(I984&lt;&gt;"Dedicated renewable","N/A",)</f>
        <v>N/A</v>
      </c>
      <c r="K984" s="27" t="s">
        <v>377</v>
      </c>
      <c r="L984" s="27">
        <v>1</v>
      </c>
      <c r="M984" s="27"/>
      <c r="N984" s="27"/>
      <c r="O984" s="27"/>
      <c r="P984" s="27"/>
      <c r="Q984" s="27"/>
      <c r="R984" s="27"/>
      <c r="S984" s="27"/>
      <c r="T984" s="27"/>
      <c r="U984" s="27"/>
      <c r="V984" s="27"/>
      <c r="W984" s="27"/>
      <c r="X984" s="27"/>
      <c r="Y984" s="27"/>
      <c r="Z984" s="27" t="s">
        <v>3836</v>
      </c>
      <c r="AA984" s="29" t="str">
        <f>IF(OR(G984="ALK",G984="PEM",G984="SOEC",G984="Other Electrolysis"),
AB984*VLOOKUP(G984,ElectrolysisConvF,3,FALSE),
"")</f>
        <v/>
      </c>
      <c r="AB984" s="30">
        <f>AC984/(0.089*24*365/10^6)</f>
        <v>1282643.2712533989</v>
      </c>
      <c r="AC984" s="30">
        <v>1000</v>
      </c>
      <c r="AD984" s="30">
        <v>1000000</v>
      </c>
      <c r="AE984" s="30">
        <f>IF(AND(G984&lt;&gt;"NG w CCUS",G984&lt;&gt;"Oil w CCUS",G984&lt;&gt;"Coal w CCUS"),AB984,AD984*10^3/(HoursInYear*IF(G984="NG w CCUS",0.9105,1.9075)))</f>
        <v>59845.478973290963</v>
      </c>
      <c r="AF984" s="28" t="s">
        <v>2502</v>
      </c>
      <c r="AG984" s="28"/>
    </row>
    <row r="985" spans="1:33" ht="32.25" customHeight="1" x14ac:dyDescent="0.2">
      <c r="A985" s="70">
        <v>1324</v>
      </c>
      <c r="B985" s="27" t="s">
        <v>3837</v>
      </c>
      <c r="C985" s="27" t="s">
        <v>980</v>
      </c>
      <c r="D985" s="27">
        <v>2022</v>
      </c>
      <c r="E985" s="27"/>
      <c r="F985" s="27" t="s">
        <v>753</v>
      </c>
      <c r="G985" s="27" t="s">
        <v>268</v>
      </c>
      <c r="H985" s="27"/>
      <c r="I985" s="27" t="s">
        <v>768</v>
      </c>
      <c r="J985" s="27" t="s">
        <v>378</v>
      </c>
      <c r="K985" s="27" t="s">
        <v>377</v>
      </c>
      <c r="L985" s="27">
        <v>1</v>
      </c>
      <c r="M985" s="27"/>
      <c r="N985" s="27"/>
      <c r="O985" s="27"/>
      <c r="P985" s="27"/>
      <c r="Q985" s="27"/>
      <c r="R985" s="27"/>
      <c r="S985" s="27"/>
      <c r="T985" s="27"/>
      <c r="U985" s="27"/>
      <c r="V985" s="27"/>
      <c r="W985" s="27"/>
      <c r="X985" s="27"/>
      <c r="Y985" s="27"/>
      <c r="Z985" s="27" t="s">
        <v>1412</v>
      </c>
      <c r="AA985" s="29">
        <v>2.5</v>
      </c>
      <c r="AB985" s="30">
        <f>IF(OR(G985="ALK",G985="PEM",G985="SOEC",G985="Other Electrolysis"),
AA985/VLOOKUP(G985,ElectrolysisConvF,3,FALSE),
AC985*10^6/(H2dens*HoursInYear))</f>
        <v>543.47826086956525</v>
      </c>
      <c r="AC985" s="30">
        <f>AB985*H2dens*HoursInYear/10^6</f>
        <v>0.42371739130434782</v>
      </c>
      <c r="AD985" s="30"/>
      <c r="AE985" s="30">
        <f>IF(AND(G985&lt;&gt;"NG w CCUS",G985&lt;&gt;"Oil w CCUS",G985&lt;&gt;"Coal w CCUS"),AB985,AD985*10^3/(HoursInYear*IF(G985="NG w CCUS",0.9105,1.9075)))</f>
        <v>543.47826086956525</v>
      </c>
      <c r="AF985" s="28" t="s">
        <v>3838</v>
      </c>
      <c r="AG985" s="28"/>
    </row>
    <row r="986" spans="1:33" ht="32.25" customHeight="1" x14ac:dyDescent="0.2">
      <c r="A986" s="70">
        <v>1325</v>
      </c>
      <c r="B986" s="27" t="s">
        <v>3841</v>
      </c>
      <c r="C986" s="27" t="s">
        <v>350</v>
      </c>
      <c r="D986" s="27">
        <v>2023</v>
      </c>
      <c r="E986" s="27"/>
      <c r="F986" s="27" t="s">
        <v>1336</v>
      </c>
      <c r="G986" s="27" t="s">
        <v>758</v>
      </c>
      <c r="H986" s="27" t="s">
        <v>1406</v>
      </c>
      <c r="I986" s="27" t="s">
        <v>768</v>
      </c>
      <c r="J986" s="27" t="s">
        <v>378</v>
      </c>
      <c r="K986" s="27" t="s">
        <v>377</v>
      </c>
      <c r="L986" s="27"/>
      <c r="M986" s="27"/>
      <c r="N986" s="27"/>
      <c r="O986" s="27"/>
      <c r="P986" s="27"/>
      <c r="Q986" s="27"/>
      <c r="R986" s="27"/>
      <c r="S986" s="27"/>
      <c r="T986" s="27"/>
      <c r="U986" s="27"/>
      <c r="V986" s="27"/>
      <c r="W986" s="27"/>
      <c r="X986" s="27"/>
      <c r="Y986" s="27"/>
      <c r="Z986" s="27" t="s">
        <v>2568</v>
      </c>
      <c r="AA986" s="29">
        <v>500</v>
      </c>
      <c r="AB986" s="30">
        <f>IF(OR(G986="ALK",G986="PEM",G986="SOEC",G986="Other Electrolysis"),
AA986/VLOOKUP(G986,ElectrolysisConvF,3,FALSE),
AC986*10^6/(H2dens*HoursInYear))</f>
        <v>111111.11111111112</v>
      </c>
      <c r="AC986" s="30">
        <f>AB986*H2dens*HoursInYear/10^6</f>
        <v>86.626666666666665</v>
      </c>
      <c r="AD986" s="30"/>
      <c r="AE986" s="30">
        <f>IF(AND(G986&lt;&gt;"NG w CCUS",G986&lt;&gt;"Oil w CCUS",G986&lt;&gt;"Coal w CCUS"),AB986,AD986*10^3/(HoursInYear*IF(G986="NG w CCUS",0.9105,1.9075)))</f>
        <v>111111.11111111112</v>
      </c>
      <c r="AF986" s="28" t="s">
        <v>3842</v>
      </c>
      <c r="AG986" s="74" t="s">
        <v>3972</v>
      </c>
    </row>
    <row r="987" spans="1:33" ht="32.25" customHeight="1" x14ac:dyDescent="0.2">
      <c r="A987" s="70">
        <v>1326</v>
      </c>
      <c r="B987" s="27" t="s">
        <v>3843</v>
      </c>
      <c r="C987" s="27" t="s">
        <v>331</v>
      </c>
      <c r="D987" s="27"/>
      <c r="E987" s="27"/>
      <c r="F987" s="27" t="s">
        <v>1336</v>
      </c>
      <c r="G987" s="27" t="s">
        <v>760</v>
      </c>
      <c r="H987" s="27"/>
      <c r="I987" s="27"/>
      <c r="J987" s="27"/>
      <c r="K987" s="27" t="s">
        <v>377</v>
      </c>
      <c r="L987" s="27"/>
      <c r="M987" s="27"/>
      <c r="N987" s="27"/>
      <c r="O987" s="27"/>
      <c r="P987" s="27"/>
      <c r="Q987" s="27"/>
      <c r="R987" s="27"/>
      <c r="S987" s="27"/>
      <c r="T987" s="27"/>
      <c r="U987" s="27"/>
      <c r="V987" s="27"/>
      <c r="W987" s="27"/>
      <c r="X987" s="27"/>
      <c r="Y987" s="27"/>
      <c r="Z987" s="27"/>
      <c r="AA987" s="29" t="str">
        <f>IF(OR(G987="ALK",G987="PEM",G987="SOEC",G987="Other Electrolysis"),
AB987*VLOOKUP(G987,ElectrolysisConvF,3,FALSE),
"")</f>
        <v/>
      </c>
      <c r="AB987" s="30"/>
      <c r="AC987" s="30"/>
      <c r="AD987" s="30"/>
      <c r="AE987" s="30">
        <f>IF(AND(G987&lt;&gt;"NG w CCUS",G987&lt;&gt;"Oil w CCUS",G987&lt;&gt;"Coal w CCUS"),AB987,AD987*10^3/(HoursInYear*IF(G987="NG w CCUS",0.9105,1.9075)))</f>
        <v>0</v>
      </c>
      <c r="AF987" s="28" t="s">
        <v>3845</v>
      </c>
      <c r="AG987" s="28"/>
    </row>
    <row r="988" spans="1:33" ht="32.25" customHeight="1" x14ac:dyDescent="0.2">
      <c r="A988" s="70">
        <v>1327</v>
      </c>
      <c r="B988" s="27" t="s">
        <v>3844</v>
      </c>
      <c r="C988" s="27" t="s">
        <v>331</v>
      </c>
      <c r="D988" s="27"/>
      <c r="E988" s="27"/>
      <c r="F988" s="27" t="s">
        <v>1336</v>
      </c>
      <c r="G988" s="27" t="s">
        <v>758</v>
      </c>
      <c r="H988" s="27" t="s">
        <v>1406</v>
      </c>
      <c r="I988" s="27" t="s">
        <v>768</v>
      </c>
      <c r="J988" s="27" t="s">
        <v>378</v>
      </c>
      <c r="K988" s="27" t="s">
        <v>377</v>
      </c>
      <c r="L988" s="27"/>
      <c r="M988" s="27"/>
      <c r="N988" s="27"/>
      <c r="O988" s="27"/>
      <c r="P988" s="27"/>
      <c r="Q988" s="27"/>
      <c r="R988" s="27"/>
      <c r="S988" s="27"/>
      <c r="T988" s="27"/>
      <c r="U988" s="27"/>
      <c r="V988" s="27"/>
      <c r="W988" s="27"/>
      <c r="X988" s="27"/>
      <c r="Y988" s="27"/>
      <c r="Z988" s="27"/>
      <c r="AA988" s="29"/>
      <c r="AB988" s="30"/>
      <c r="AC988" s="30"/>
      <c r="AD988" s="30"/>
      <c r="AE988" s="30">
        <f>IF(AND(G988&lt;&gt;"NG w CCUS",G988&lt;&gt;"Oil w CCUS",G988&lt;&gt;"Coal w CCUS"),AB988,AD988*10^3/(HoursInYear*IF(G988="NG w CCUS",0.9105,1.9075)))</f>
        <v>0</v>
      </c>
      <c r="AF988" s="28" t="s">
        <v>3845</v>
      </c>
      <c r="AG988" s="28"/>
    </row>
    <row r="989" spans="1:33" ht="32.25" customHeight="1" x14ac:dyDescent="0.2">
      <c r="A989" s="92">
        <v>1413</v>
      </c>
      <c r="B989" s="92" t="s">
        <v>4147</v>
      </c>
      <c r="C989" s="92" t="s">
        <v>804</v>
      </c>
      <c r="D989" s="99">
        <v>2030</v>
      </c>
      <c r="E989" s="92"/>
      <c r="F989" s="92" t="s">
        <v>832</v>
      </c>
      <c r="G989" s="92" t="s">
        <v>758</v>
      </c>
      <c r="H989" s="92" t="s">
        <v>1406</v>
      </c>
      <c r="I989" s="92" t="s">
        <v>768</v>
      </c>
      <c r="J989" s="92" t="s">
        <v>378</v>
      </c>
      <c r="K989" s="92" t="s">
        <v>377</v>
      </c>
      <c r="L989" s="92"/>
      <c r="M989" s="92"/>
      <c r="N989" s="92"/>
      <c r="O989" s="92">
        <v>1</v>
      </c>
      <c r="P989" s="92">
        <v>1</v>
      </c>
      <c r="Q989" s="92"/>
      <c r="R989" s="92"/>
      <c r="S989" s="92"/>
      <c r="T989" s="92"/>
      <c r="U989" s="92"/>
      <c r="V989" s="92"/>
      <c r="W989" s="92"/>
      <c r="X989" s="92"/>
      <c r="Y989" s="92"/>
      <c r="Z989" s="92" t="s">
        <v>3337</v>
      </c>
      <c r="AA989" s="91">
        <v>340</v>
      </c>
      <c r="AB989" s="100">
        <f>IF(OR(G989="ALK",G989="PEM",G989="SOEC",G989="Other Electrolysis"),
AA989/VLOOKUP(G989,ElectrolysisConvF,3,FALSE),
AC989*10^6/(H2dens*HoursInYear))</f>
        <v>75555.555555555562</v>
      </c>
      <c r="AC989" s="101">
        <f>AB989*H2dens*HoursInYear/10^6</f>
        <v>58.906133333333337</v>
      </c>
      <c r="AD989" s="100"/>
      <c r="AE989" s="100">
        <f>IF(AND(G989&lt;&gt;"NG w CCUS",G989&lt;&gt;"Oil w CCUS",G989&lt;&gt;"Coal w CCUS"),AB989,AD989*10^3/(HoursInYear*IF(G989="NG w CCUS",0.9105,1.9075)))</f>
        <v>75555.555555555562</v>
      </c>
      <c r="AF989" s="102" t="s">
        <v>4148</v>
      </c>
      <c r="AG989" s="102"/>
    </row>
    <row r="990" spans="1:33" ht="32.25" customHeight="1" x14ac:dyDescent="0.2">
      <c r="A990" s="93">
        <v>1598</v>
      </c>
      <c r="B990" s="93" t="s">
        <v>4133</v>
      </c>
      <c r="C990" s="93" t="s">
        <v>332</v>
      </c>
      <c r="D990" s="93">
        <v>2029</v>
      </c>
      <c r="E990" s="93"/>
      <c r="F990" s="93" t="s">
        <v>1336</v>
      </c>
      <c r="G990" s="93" t="s">
        <v>267</v>
      </c>
      <c r="H990" s="93"/>
      <c r="I990" s="93" t="s">
        <v>768</v>
      </c>
      <c r="J990" s="93" t="s">
        <v>865</v>
      </c>
      <c r="K990" s="93" t="s">
        <v>766</v>
      </c>
      <c r="L990" s="93"/>
      <c r="M990" s="93"/>
      <c r="N990" s="93"/>
      <c r="O990" s="93"/>
      <c r="P990" s="93"/>
      <c r="Q990" s="93"/>
      <c r="R990" s="93"/>
      <c r="S990" s="93"/>
      <c r="T990" s="93"/>
      <c r="U990" s="93"/>
      <c r="V990" s="93"/>
      <c r="W990" s="93">
        <v>1</v>
      </c>
      <c r="X990" s="93"/>
      <c r="Y990" s="93"/>
      <c r="Z990" s="93" t="s">
        <v>1421</v>
      </c>
      <c r="AA990" s="94">
        <f>IF(OR(G990="ALK",G990="PEM",G990="SOEC",G990="Other Electrolysis"),
AB990*VLOOKUP(G990,ElectrolysisConvF,3,FALSE),
"")</f>
        <v>150.79074957672776</v>
      </c>
      <c r="AB990" s="95">
        <f>AC990/(H2dens*HoursInYear/10^6)</f>
        <v>39681.776204402042</v>
      </c>
      <c r="AC990" s="95">
        <f>75*0.803*0.045/0.73/0.12</f>
        <v>30.937500000000004</v>
      </c>
      <c r="AD990" s="95"/>
      <c r="AE990" s="95">
        <f>AB990</f>
        <v>39681.776204402042</v>
      </c>
      <c r="AF990" s="96" t="s">
        <v>4134</v>
      </c>
      <c r="AG990" s="97"/>
    </row>
    <row r="991" spans="1:33" ht="32.25" customHeight="1" x14ac:dyDescent="0.2">
      <c r="A991" s="93">
        <v>1631</v>
      </c>
      <c r="B991" s="93" t="s">
        <v>4143</v>
      </c>
      <c r="C991" s="93" t="s">
        <v>804</v>
      </c>
      <c r="D991" s="93">
        <v>2024</v>
      </c>
      <c r="E991" s="93"/>
      <c r="F991" s="93" t="s">
        <v>4137</v>
      </c>
      <c r="G991" s="93" t="s">
        <v>266</v>
      </c>
      <c r="H991" s="93"/>
      <c r="I991" s="93" t="s">
        <v>768</v>
      </c>
      <c r="J991" s="93" t="s">
        <v>863</v>
      </c>
      <c r="K991" s="93" t="s">
        <v>377</v>
      </c>
      <c r="L991" s="93">
        <v>1</v>
      </c>
      <c r="M991" s="93"/>
      <c r="N991" s="93"/>
      <c r="O991" s="93">
        <v>1</v>
      </c>
      <c r="P991" s="93"/>
      <c r="Q991" s="93"/>
      <c r="R991" s="93">
        <v>1</v>
      </c>
      <c r="S991" s="93"/>
      <c r="T991" s="93"/>
      <c r="U991" s="93"/>
      <c r="V991" s="93"/>
      <c r="W991" s="93"/>
      <c r="X991" s="93"/>
      <c r="Y991" s="93"/>
      <c r="Z991" s="93" t="s">
        <v>1483</v>
      </c>
      <c r="AA991" s="94">
        <v>4</v>
      </c>
      <c r="AB991" s="95">
        <f>IF(OR(G991="ALK",G991="PEM",G991="SOEC",G991="Other Electrolysis"),
AA991/VLOOKUP(G991,ElectrolysisConvF,3,FALSE),
AC991*10^6/(H2dens*HoursInYear))</f>
        <v>769.23076923076928</v>
      </c>
      <c r="AC991" s="95">
        <f>AB991*H2dens*HoursInYear/10^6</f>
        <v>0.59972307692307703</v>
      </c>
      <c r="AD991" s="95"/>
      <c r="AE991" s="95">
        <f>IF(AND(G991&lt;&gt;"NG w CCUS",G991&lt;&gt;"Oil w CCUS",G991&lt;&gt;"Coal w CCUS"),AB991,AD991*10^3/(HoursInYear*IF(G991="NG w CCUS",0.9105,1.9075)))</f>
        <v>769.23076923076928</v>
      </c>
      <c r="AF991" s="96" t="s">
        <v>4138</v>
      </c>
      <c r="AG991" s="97"/>
    </row>
    <row r="992" spans="1:33" x14ac:dyDescent="0.2">
      <c r="A992" s="93">
        <v>1632</v>
      </c>
      <c r="B992" s="93" t="s">
        <v>4139</v>
      </c>
      <c r="C992" s="93" t="s">
        <v>804</v>
      </c>
      <c r="D992" s="93">
        <v>2024</v>
      </c>
      <c r="E992" s="93"/>
      <c r="F992" s="93" t="s">
        <v>832</v>
      </c>
      <c r="G992" s="93" t="s">
        <v>266</v>
      </c>
      <c r="H992" s="93"/>
      <c r="I992" s="93" t="s">
        <v>768</v>
      </c>
      <c r="J992" s="93" t="s">
        <v>863</v>
      </c>
      <c r="K992" s="93" t="s">
        <v>377</v>
      </c>
      <c r="L992" s="93">
        <v>1</v>
      </c>
      <c r="M992" s="93"/>
      <c r="N992" s="93"/>
      <c r="O992" s="93">
        <v>1</v>
      </c>
      <c r="P992" s="93"/>
      <c r="Q992" s="93">
        <v>1</v>
      </c>
      <c r="R992" s="93">
        <v>1</v>
      </c>
      <c r="S992" s="93"/>
      <c r="T992" s="93"/>
      <c r="U992" s="93"/>
      <c r="V992" s="93"/>
      <c r="W992" s="93"/>
      <c r="X992" s="93"/>
      <c r="Y992" s="93"/>
      <c r="Z992" s="93" t="s">
        <v>1917</v>
      </c>
      <c r="AA992" s="94">
        <f>100-10-4</f>
        <v>86</v>
      </c>
      <c r="AB992" s="95">
        <f>IF(OR(G992="ALK",G992="PEM",G992="SOEC",G992="Other Electrolysis"),
AA992/VLOOKUP(G992,ElectrolysisConvF,3,FALSE),
AC992*10^6/(H2dens*HoursInYear))</f>
        <v>16538.461538461539</v>
      </c>
      <c r="AC992" s="95">
        <f>AB992*H2dens*HoursInYear/10^6</f>
        <v>12.894046153846155</v>
      </c>
      <c r="AD992" s="95"/>
      <c r="AE992" s="95">
        <f>IF(AND(G992&lt;&gt;"NG w CCUS",G992&lt;&gt;"Oil w CCUS",G992&lt;&gt;"Coal w CCUS"),AB992,AD992*10^3/(HoursInYear*IF(G992="NG w CCUS",0.9105,1.9075)))</f>
        <v>16538.461538461539</v>
      </c>
      <c r="AF992" s="96" t="s">
        <v>4140</v>
      </c>
      <c r="AG992" s="97" t="s">
        <v>4141</v>
      </c>
    </row>
    <row r="993" spans="1:33" ht="15" customHeight="1" x14ac:dyDescent="0.2">
      <c r="A993" s="93">
        <v>1877</v>
      </c>
      <c r="B993" s="93" t="s">
        <v>4149</v>
      </c>
      <c r="C993" s="93" t="s">
        <v>977</v>
      </c>
      <c r="D993" s="93">
        <v>2027</v>
      </c>
      <c r="E993" s="93"/>
      <c r="F993" s="93" t="s">
        <v>1336</v>
      </c>
      <c r="G993" s="93" t="s">
        <v>758</v>
      </c>
      <c r="H993" s="93" t="s">
        <v>1406</v>
      </c>
      <c r="I993" s="93" t="s">
        <v>768</v>
      </c>
      <c r="J993" s="93" t="s">
        <v>378</v>
      </c>
      <c r="K993" s="93" t="s">
        <v>377</v>
      </c>
      <c r="L993" s="93">
        <v>1</v>
      </c>
      <c r="M993" s="93"/>
      <c r="N993" s="93"/>
      <c r="O993" s="93"/>
      <c r="P993" s="93"/>
      <c r="Q993" s="93"/>
      <c r="R993" s="93"/>
      <c r="S993" s="93"/>
      <c r="T993" s="93"/>
      <c r="U993" s="93"/>
      <c r="V993" s="93"/>
      <c r="W993" s="93"/>
      <c r="X993" s="93"/>
      <c r="Y993" s="93"/>
      <c r="Z993" s="93" t="s">
        <v>4150</v>
      </c>
      <c r="AA993" s="94">
        <v>900</v>
      </c>
      <c r="AB993" s="95">
        <f>IF(OR(G993="ALK",G993="PEM",G993="SOEC",G993="Other Electrolysis"),
AA993/VLOOKUP(G993,ElectrolysisConvF,3,FALSE),
AC993*10^6/(H2dens*HoursInYear))</f>
        <v>200000.00000000003</v>
      </c>
      <c r="AC993" s="95">
        <f>AB993*H2dens*HoursInYear/10^6</f>
        <v>155.928</v>
      </c>
      <c r="AD993" s="95"/>
      <c r="AE993" s="95">
        <f>IF(AND(G993&lt;&gt;"NG w CCUS",G993&lt;&gt;"Oil w CCUS",G993&lt;&gt;"Coal w CCUS"),AB993,AD993*10^3/(HoursInYear*IF(G993="NG w CCUS",0.9105,1.9075)))</f>
        <v>200000.00000000003</v>
      </c>
      <c r="AF993" s="96" t="s">
        <v>3524</v>
      </c>
      <c r="AG993" s="97"/>
    </row>
    <row r="994" spans="1:33" ht="15" customHeight="1" x14ac:dyDescent="0.2"/>
  </sheetData>
  <mergeCells count="9">
    <mergeCell ref="A1:AG1"/>
    <mergeCell ref="A2:A3"/>
    <mergeCell ref="B2:B3"/>
    <mergeCell ref="C2:C3"/>
    <mergeCell ref="D2:D3"/>
    <mergeCell ref="E2:E3"/>
    <mergeCell ref="F2:F3"/>
    <mergeCell ref="AA2:AD2"/>
    <mergeCell ref="AE2:AE3"/>
  </mergeCells>
  <conditionalFormatting sqref="B551">
    <cfRule type="expression" dxfId="205" priority="80" stopIfTrue="1">
      <formula>$D551="Confidential"</formula>
    </cfRule>
  </conditionalFormatting>
  <conditionalFormatting sqref="B564">
    <cfRule type="expression" dxfId="204" priority="12" stopIfTrue="1">
      <formula>#REF!="Confidential"</formula>
    </cfRule>
  </conditionalFormatting>
  <conditionalFormatting sqref="B992">
    <cfRule type="expression" dxfId="203" priority="3" stopIfTrue="1">
      <formula>#REF!="Confidential"</formula>
    </cfRule>
  </conditionalFormatting>
  <conditionalFormatting sqref="B228:C228 C442 L442:AE442 AG442 B456:C456 L456:AE456 AG520 B543:B544 D543:E544 L543:AE544 AG543:AG544 D547:E547 B547:B548 L547:AE549 AG547:AG549 B549:C549 C551 E551 L551:AA551 B553:C555 L553:AE555 AG553:AG555 L557:Y559 AA557:AE559 B557:C561 L560:AE560 D560:E561 L561:Z561 AB561:AE561 AD562:AE562 B562:E563 L563:AE564 C564:E564 B568:E568 L568:AE596 C569 B570:C571 D571:E587 C572:C575 B574 B576:C580 C581 B582:C583 C584 B585:C596 E588:E596 R600:AE600 B602:C602 L602:Y602 D602:E603 B603 L603:AE603 L604:Y604 AC604:AE604 B604:E613 L605:AE613 AB614:AE614 L615:AE618 B615:C636 L619:AD619 D619:E636 L620:AE623 L624:Z624 L625:AD628 L629:AE636 E638 L638:AE638 B638:C645 T639:AE639 D639:E645 L640:AE656 B646:E663 Y657:AE657 L658:AD659 L660:AE662 L663:Y663 AD663:AE663 E666:E667 B666:C673 L667:AD667 D668:E669 E670:E671 D672:E672 B674:E674 B675:C679 B680:E680 L681:AA681 AC681:AE681 B681:C689 L682:AE689 B690 L690:Y690 AD690:AE690 L691:AE704 B691:C717 L705:Y705 AB705:AE705 L706:AE729 B718:E718 B719:C729 B730:E731 AD730:AE731 L732:AE748 B732:C751 D743:E743 L749:Y750 AD749:AE750 D751:E751 L751:AA751 AC751:AE751 B753:C761 Z756:AE756 AG756 B762:E762 L762:AE762 AG762 B763:C784 AC769:AE769 AA772:AE777 L783:AE784 L785:AB785 B785:E803 L786:AE800 AA801:AE801 L802:AE803 B805:C805 E805 L805:AE805 AG805 AC807:AE807 D807:E808 B807:C859 L808:AE809 E809:E810 L810:Z810 AB810:AE810 D811:E811 L811:AE813 E812 D813:E817 L814:Z814 AB814:AE814 AD817:AE818 L817:AA824 E818:E821 AE819 D822:E824 L825:Z825 E825:E828 L826:AA829 D829:E829 L830:AE830 L831:AA833 AC833:AE833 L834:Z835 R836:AA836 L837:AA839 D839:E841 L840:Z840 L841:AA842 E842 L843:AE843 D843:E847 L844:AA844 AD844:AE844 L845:Z845 AC845:AE845 L846:AE847 E848 L848:AA848 AC848:AE848 D849:E858 L849:AE859 E859 B860:E860 L860:AB860 C861:E861 B862:E863 B864:C864 E864 B865:E875 D876:D877 E876:E878 B876:C880 D879:E880 AD881:AE881 B881:E885 L882:AE885 B886:C886 E886 L886:AD889 B887:E889 B890:C891 E890:E893 L890:AE900 B892:D893 B894:E896 B897:C901 E897:E901 D898 D900:D901 L901:Z902 AD901:AE907 B902:E902 B903:C903 E903 L903:Y903 B904:E904 L904:Z904 B905:C905 E905 L905:Y907 B906:E906 B907:C907 E907 L909:AA910 D909:E927 B909:C956 L911:AE913 L914:Z914 AC914:AE914 L915:AE923 L924:Z924 AD924:AE924 L928:AA929 E928:E930 L930:Y930 L933:AE935 L936:AA938 D937:E937 E938 AC938:AD938 D939:E944 L943:Z943 AC943:AE943 L944:AA944 L945:AE945 E945:E947 L946:Z948 AC946:AE948 D948:E948 L949:AA950 E949:E951 AC950:AE950 L951:AE952 D952:E952 AD953:AE953 L953:AA955 AC954:AE954 L956:Z956 AC956:AE956 L957:AA959 AC958:AE958 B958:C962 AD959:AE960 L960:Y960 AC961:AE963 B963:E964 L965:AA965 B965:C966 E965:E966 L966:Z966 B967:E969 L967:AE971 B970:C970 E970 B971:E971 D972:E972 L972:Y972 AD972:AE973 B972:C983 E973 L973:AA973 D974:E974 L974:AE974 L975:Z975 AB975 E975:E976 AD975:AE976 L976:AA976 D977:E977 L977:AE977 AG977 L978:AA978 AC978:AE978 E978:E983 L979:AE980 AG979:AG983 L981:AA983 AD981:AE983 B985:C985 E985 L985:AA985 AD985:AE985 AG985">
    <cfRule type="expression" dxfId="202" priority="1354" stopIfTrue="1">
      <formula>#REF!="Confidential"</formula>
    </cfRule>
  </conditionalFormatting>
  <conditionalFormatting sqref="B987:C988">
    <cfRule type="expression" dxfId="201" priority="77" stopIfTrue="1">
      <formula>$D987="Confidential"</formula>
    </cfRule>
  </conditionalFormatting>
  <conditionalFormatting sqref="B986:D986">
    <cfRule type="expression" dxfId="200" priority="78" stopIfTrue="1">
      <formula>$D986="Confidential"</formula>
    </cfRule>
  </conditionalFormatting>
  <conditionalFormatting sqref="D570">
    <cfRule type="expression" dxfId="199" priority="1337" stopIfTrue="1">
      <formula>#REF!="Confidential"</formula>
    </cfRule>
  </conditionalFormatting>
  <conditionalFormatting sqref="D587:D597">
    <cfRule type="expression" dxfId="198" priority="904" stopIfTrue="1">
      <formula>#REF!="Confidential"</formula>
    </cfRule>
  </conditionalFormatting>
  <conditionalFormatting sqref="D600">
    <cfRule type="expression" dxfId="197" priority="1333" stopIfTrue="1">
      <formula>#REF!="Confidential"</formula>
    </cfRule>
  </conditionalFormatting>
  <conditionalFormatting sqref="D614:D618">
    <cfRule type="expression" dxfId="196" priority="1302" stopIfTrue="1">
      <formula>#REF!="Confidential"</formula>
    </cfRule>
  </conditionalFormatting>
  <conditionalFormatting sqref="D753">
    <cfRule type="expression" dxfId="195" priority="986" stopIfTrue="1">
      <formula>#REF!="Confidential"</formula>
    </cfRule>
  </conditionalFormatting>
  <conditionalFormatting sqref="D757:D758">
    <cfRule type="expression" dxfId="194" priority="965" stopIfTrue="1">
      <formula>#REF!="Confidential"</formula>
    </cfRule>
  </conditionalFormatting>
  <conditionalFormatting sqref="D764:D766">
    <cfRule type="expression" dxfId="193" priority="946" stopIfTrue="1">
      <formula>#REF!="Confidential"</formula>
    </cfRule>
  </conditionalFormatting>
  <conditionalFormatting sqref="D771:D784">
    <cfRule type="expression" dxfId="192" priority="67" stopIfTrue="1">
      <formula>#REF!="Confidential"</formula>
    </cfRule>
  </conditionalFormatting>
  <conditionalFormatting sqref="D804">
    <cfRule type="expression" dxfId="191" priority="601" stopIfTrue="1">
      <formula>#REF!="Confidential"</formula>
    </cfRule>
  </conditionalFormatting>
  <conditionalFormatting sqref="D828">
    <cfRule type="expression" dxfId="190" priority="497" stopIfTrue="1">
      <formula>#REF!="Confidential"</formula>
    </cfRule>
  </conditionalFormatting>
  <conditionalFormatting sqref="D886">
    <cfRule type="expression" dxfId="189" priority="339" stopIfTrue="1">
      <formula>#REF!="Confidential"</formula>
    </cfRule>
  </conditionalFormatting>
  <conditionalFormatting sqref="D890:D891">
    <cfRule type="expression" dxfId="188" priority="332" stopIfTrue="1">
      <formula>#REF!="Confidential"</formula>
    </cfRule>
  </conditionalFormatting>
  <conditionalFormatting sqref="D928:D930">
    <cfRule type="expression" dxfId="187" priority="231" stopIfTrue="1">
      <formula>#REF!="Confidential"</formula>
    </cfRule>
  </conditionalFormatting>
  <conditionalFormatting sqref="D933:D936">
    <cfRule type="expression" dxfId="186" priority="205" stopIfTrue="1">
      <formula>#REF!="Confidential"</formula>
    </cfRule>
  </conditionalFormatting>
  <conditionalFormatting sqref="D938">
    <cfRule type="expression" dxfId="185" priority="204" stopIfTrue="1">
      <formula>#REF!="Confidential"</formula>
    </cfRule>
  </conditionalFormatting>
  <conditionalFormatting sqref="D945:D947">
    <cfRule type="expression" dxfId="184" priority="201" stopIfTrue="1">
      <formula>#REF!="Confidential"</formula>
    </cfRule>
  </conditionalFormatting>
  <conditionalFormatting sqref="D949:D951">
    <cfRule type="expression" dxfId="183" priority="191" stopIfTrue="1">
      <formula>#REF!="Confidential"</formula>
    </cfRule>
  </conditionalFormatting>
  <conditionalFormatting sqref="D953:D962">
    <cfRule type="expression" dxfId="182" priority="161" stopIfTrue="1">
      <formula>#REF!="Confidential"</formula>
    </cfRule>
  </conditionalFormatting>
  <conditionalFormatting sqref="D965:D966">
    <cfRule type="expression" dxfId="181" priority="134" stopIfTrue="1">
      <formula>#REF!="Confidential"</formula>
    </cfRule>
  </conditionalFormatting>
  <conditionalFormatting sqref="D970">
    <cfRule type="expression" dxfId="180" priority="112" stopIfTrue="1">
      <formula>#REF!="Confidential"</formula>
    </cfRule>
  </conditionalFormatting>
  <conditionalFormatting sqref="D973">
    <cfRule type="expression" dxfId="179" priority="103" stopIfTrue="1">
      <formula>#REF!="Confidential"</formula>
    </cfRule>
  </conditionalFormatting>
  <conditionalFormatting sqref="D975:D976">
    <cfRule type="expression" dxfId="178" priority="97" stopIfTrue="1">
      <formula>#REF!="Confidential"</formula>
    </cfRule>
  </conditionalFormatting>
  <conditionalFormatting sqref="D978:D985">
    <cfRule type="expression" dxfId="177" priority="82" stopIfTrue="1">
      <formula>#REF!="Confidential"</formula>
    </cfRule>
  </conditionalFormatting>
  <conditionalFormatting sqref="D989:D991">
    <cfRule type="expression" dxfId="176" priority="15" stopIfTrue="1">
      <formula>#REF!="Confidential"</formula>
    </cfRule>
  </conditionalFormatting>
  <conditionalFormatting sqref="E228">
    <cfRule type="expression" dxfId="175" priority="1349" stopIfTrue="1">
      <formula>#REF!="Confidential"</formula>
    </cfRule>
  </conditionalFormatting>
  <conditionalFormatting sqref="E442">
    <cfRule type="expression" dxfId="174" priority="556" stopIfTrue="1">
      <formula>#REF!="Confidential"</formula>
    </cfRule>
  </conditionalFormatting>
  <conditionalFormatting sqref="E456">
    <cfRule type="expression" dxfId="173" priority="551" stopIfTrue="1">
      <formula>#REF!="Confidential"</formula>
    </cfRule>
  </conditionalFormatting>
  <conditionalFormatting sqref="E548:E549">
    <cfRule type="expression" dxfId="172" priority="553" stopIfTrue="1">
      <formula>#REF!="Confidential"</formula>
    </cfRule>
  </conditionalFormatting>
  <conditionalFormatting sqref="E553:E555">
    <cfRule type="expression" dxfId="171" priority="1256" stopIfTrue="1">
      <formula>#REF!="Confidential"</formula>
    </cfRule>
  </conditionalFormatting>
  <conditionalFormatting sqref="E557:E559">
    <cfRule type="expression" dxfId="170" priority="1254" stopIfTrue="1">
      <formula>#REF!="Confidential"</formula>
    </cfRule>
  </conditionalFormatting>
  <conditionalFormatting sqref="E569:E570">
    <cfRule type="expression" dxfId="169" priority="555" stopIfTrue="1">
      <formula>#REF!="Confidential"</formula>
    </cfRule>
  </conditionalFormatting>
  <conditionalFormatting sqref="E615:E618">
    <cfRule type="expression" dxfId="168" priority="1310" stopIfTrue="1">
      <formula>#REF!="Confidential"</formula>
    </cfRule>
  </conditionalFormatting>
  <conditionalFormatting sqref="E673">
    <cfRule type="expression" dxfId="167" priority="1150" stopIfTrue="1">
      <formula>#REF!="Confidential"</formula>
    </cfRule>
  </conditionalFormatting>
  <conditionalFormatting sqref="E675:E679">
    <cfRule type="expression" dxfId="166" priority="1138" stopIfTrue="1">
      <formula>#REF!="Confidential"</formula>
    </cfRule>
  </conditionalFormatting>
  <conditionalFormatting sqref="E681:E717">
    <cfRule type="expression" dxfId="165" priority="1062" stopIfTrue="1">
      <formula>#REF!="Confidential"</formula>
    </cfRule>
  </conditionalFormatting>
  <conditionalFormatting sqref="E719:E729">
    <cfRule type="expression" dxfId="164" priority="1036" stopIfTrue="1">
      <formula>#REF!="Confidential"</formula>
    </cfRule>
  </conditionalFormatting>
  <conditionalFormatting sqref="E732:E742">
    <cfRule type="expression" dxfId="163" priority="1014" stopIfTrue="1">
      <formula>#REF!="Confidential"</formula>
    </cfRule>
  </conditionalFormatting>
  <conditionalFormatting sqref="E744:E750">
    <cfRule type="expression" dxfId="162" priority="1000" stopIfTrue="1">
      <formula>#REF!="Confidential"</formula>
    </cfRule>
  </conditionalFormatting>
  <conditionalFormatting sqref="E764:E766">
    <cfRule type="expression" dxfId="161" priority="951" stopIfTrue="1">
      <formula>#REF!="Confidential"</formula>
    </cfRule>
  </conditionalFormatting>
  <conditionalFormatting sqref="E771">
    <cfRule type="expression" dxfId="160" priority="926" stopIfTrue="1">
      <formula>#REF!="Confidential"</formula>
    </cfRule>
  </conditionalFormatting>
  <conditionalFormatting sqref="E830:E838">
    <cfRule type="expression" dxfId="159" priority="429" stopIfTrue="1">
      <formula>#REF!="Confidential"</formula>
    </cfRule>
  </conditionalFormatting>
  <conditionalFormatting sqref="E933:E936">
    <cfRule type="expression" dxfId="158" priority="222" stopIfTrue="1">
      <formula>#REF!="Confidential"</formula>
    </cfRule>
  </conditionalFormatting>
  <conditionalFormatting sqref="E953:E956">
    <cfRule type="expression" dxfId="157" priority="182" stopIfTrue="1">
      <formula>#REF!="Confidential"</formula>
    </cfRule>
  </conditionalFormatting>
  <conditionalFormatting sqref="E958:E962">
    <cfRule type="expression" dxfId="156" priority="162" stopIfTrue="1">
      <formula>#REF!="Confidential"</formula>
    </cfRule>
  </conditionalFormatting>
  <conditionalFormatting sqref="E992:F992 L992:AA992 AC992:AE992">
    <cfRule type="expression" dxfId="155" priority="6" stopIfTrue="1">
      <formula>#REF!="Confidential"</formula>
    </cfRule>
  </conditionalFormatting>
  <conditionalFormatting sqref="L836:Q836">
    <cfRule type="expression" dxfId="154" priority="435" stopIfTrue="1">
      <formula>#REF!="Confidential"</formula>
    </cfRule>
  </conditionalFormatting>
  <conditionalFormatting sqref="L639:S639">
    <cfRule type="expression" dxfId="153" priority="1298" stopIfTrue="1">
      <formula>#REF!="Confidential"</formula>
    </cfRule>
  </conditionalFormatting>
  <conditionalFormatting sqref="L770:U770">
    <cfRule type="expression" dxfId="152" priority="931" stopIfTrue="1">
      <formula>#REF!="Confidential"</formula>
    </cfRule>
  </conditionalFormatting>
  <conditionalFormatting sqref="L666:V666">
    <cfRule type="expression" dxfId="151" priority="1273" stopIfTrue="1">
      <formula>#REF!="Confidential"</formula>
    </cfRule>
  </conditionalFormatting>
  <conditionalFormatting sqref="L657:X657">
    <cfRule type="expression" dxfId="150" priority="1280" stopIfTrue="1">
      <formula>#REF!="Confidential"</formula>
    </cfRule>
  </conditionalFormatting>
  <conditionalFormatting sqref="L778:Y782">
    <cfRule type="expression" dxfId="149" priority="619" stopIfTrue="1">
      <formula>#REF!="Confidential"</formula>
    </cfRule>
  </conditionalFormatting>
  <conditionalFormatting sqref="L964:Y964">
    <cfRule type="expression" dxfId="148" priority="150" stopIfTrue="1">
      <formula>#REF!="Confidential"</formula>
    </cfRule>
  </conditionalFormatting>
  <conditionalFormatting sqref="L730:Z731">
    <cfRule type="expression" dxfId="147" priority="1187" stopIfTrue="1">
      <formula>#REF!="Confidential"</formula>
    </cfRule>
  </conditionalFormatting>
  <conditionalFormatting sqref="L767:Z767">
    <cfRule type="expression" dxfId="146" priority="940" stopIfTrue="1">
      <formula>#REF!="Confidential"</formula>
    </cfRule>
  </conditionalFormatting>
  <conditionalFormatting sqref="L769:Z769">
    <cfRule type="expression" dxfId="145" priority="932" stopIfTrue="1">
      <formula>#REF!="Confidential"</formula>
    </cfRule>
  </conditionalFormatting>
  <conditionalFormatting sqref="L771:Z777">
    <cfRule type="expression" dxfId="144" priority="909" stopIfTrue="1">
      <formula>#REF!="Confidential"</formula>
    </cfRule>
  </conditionalFormatting>
  <conditionalFormatting sqref="L801:Z801">
    <cfRule type="expression" dxfId="143" priority="736" stopIfTrue="1">
      <formula>#REF!="Confidential"</formula>
    </cfRule>
  </conditionalFormatting>
  <conditionalFormatting sqref="L807:Z807">
    <cfRule type="expression" dxfId="142" priority="598" stopIfTrue="1">
      <formula>#REF!="Confidential"</formula>
    </cfRule>
  </conditionalFormatting>
  <conditionalFormatting sqref="L961:Z963">
    <cfRule type="expression" dxfId="141" priority="151" stopIfTrue="1">
      <formula>#REF!="Confidential"</formula>
    </cfRule>
  </conditionalFormatting>
  <conditionalFormatting sqref="L562:AA562">
    <cfRule type="expression" dxfId="140" priority="570" stopIfTrue="1">
      <formula>#REF!="Confidential"</formula>
    </cfRule>
  </conditionalFormatting>
  <conditionalFormatting sqref="L881:AA881">
    <cfRule type="expression" dxfId="139" priority="347" stopIfTrue="1">
      <formula>#REF!="Confidential"</formula>
    </cfRule>
  </conditionalFormatting>
  <conditionalFormatting sqref="L668:AE680">
    <cfRule type="expression" dxfId="138" priority="1148" stopIfTrue="1">
      <formula>#REF!="Confidential"</formula>
    </cfRule>
  </conditionalFormatting>
  <conditionalFormatting sqref="L815:AE816">
    <cfRule type="expression" dxfId="137" priority="592" stopIfTrue="1">
      <formula>#REF!="Confidential"</formula>
    </cfRule>
  </conditionalFormatting>
  <conditionalFormatting sqref="L861:AE880">
    <cfRule type="expression" dxfId="136" priority="376" stopIfTrue="1">
      <formula>#REF!="Confidential"</formula>
    </cfRule>
  </conditionalFormatting>
  <conditionalFormatting sqref="L925:AE927">
    <cfRule type="expression" dxfId="135" priority="244" stopIfTrue="1">
      <formula>#REF!="Confidential"</formula>
    </cfRule>
  </conditionalFormatting>
  <conditionalFormatting sqref="L939:AE942">
    <cfRule type="expression" dxfId="134" priority="216" stopIfTrue="1">
      <formula>#REF!="Confidential"</formula>
    </cfRule>
  </conditionalFormatting>
  <conditionalFormatting sqref="V770:Z770">
    <cfRule type="expression" dxfId="133" priority="933" stopIfTrue="1">
      <formula>#REF!="Confidential"</formula>
    </cfRule>
  </conditionalFormatting>
  <conditionalFormatting sqref="W666:AE666">
    <cfRule type="expression" dxfId="132" priority="1274" stopIfTrue="1">
      <formula>#REF!="Confidential"</formula>
    </cfRule>
  </conditionalFormatting>
  <conditionalFormatting sqref="Z749:Z750">
    <cfRule type="expression" dxfId="131" priority="529" stopIfTrue="1">
      <formula>#REF!="Confidential"</formula>
    </cfRule>
  </conditionalFormatting>
  <conditionalFormatting sqref="Z903">
    <cfRule type="expression" dxfId="130" priority="317" stopIfTrue="1">
      <formula>#REF!="Confidential"</formula>
    </cfRule>
  </conditionalFormatting>
  <conditionalFormatting sqref="Z905:Z907">
    <cfRule type="expression" dxfId="129" priority="298" stopIfTrue="1">
      <formula>#REF!="Confidential"</formula>
    </cfRule>
  </conditionalFormatting>
  <conditionalFormatting sqref="Z960">
    <cfRule type="expression" dxfId="128" priority="167" stopIfTrue="1">
      <formula>#REF!="Confidential"</formula>
    </cfRule>
  </conditionalFormatting>
  <conditionalFormatting sqref="Z964">
    <cfRule type="expression" dxfId="127" priority="147" stopIfTrue="1">
      <formula>#REF!="Confidential"</formula>
    </cfRule>
  </conditionalFormatting>
  <conditionalFormatting sqref="Z972">
    <cfRule type="expression" dxfId="126" priority="107" stopIfTrue="1">
      <formula>#REF!="Confidential"</formula>
    </cfRule>
  </conditionalFormatting>
  <conditionalFormatting sqref="Z520:AA520">
    <cfRule type="expression" dxfId="125" priority="561" stopIfTrue="1">
      <formula>#REF!="Confidential"</formula>
    </cfRule>
  </conditionalFormatting>
  <conditionalFormatting sqref="Z565:AA565">
    <cfRule type="expression" dxfId="124" priority="66" stopIfTrue="1">
      <formula>#REF!="Confidential"</formula>
    </cfRule>
  </conditionalFormatting>
  <conditionalFormatting sqref="Z604:AA604">
    <cfRule type="expression" dxfId="123" priority="922" stopIfTrue="1">
      <formula>#REF!="Confidential"</formula>
    </cfRule>
  </conditionalFormatting>
  <conditionalFormatting sqref="Z705:AA705">
    <cfRule type="expression" dxfId="122" priority="542" stopIfTrue="1">
      <formula>#REF!="Confidential"</formula>
    </cfRule>
  </conditionalFormatting>
  <conditionalFormatting sqref="Z930:AA930">
    <cfRule type="expression" dxfId="121" priority="229" stopIfTrue="1">
      <formula>#REF!="Confidential"</formula>
    </cfRule>
  </conditionalFormatting>
  <conditionalFormatting sqref="Z663:AC663">
    <cfRule type="expression" dxfId="120" priority="543" stopIfTrue="1">
      <formula>#REF!="Confidential"</formula>
    </cfRule>
  </conditionalFormatting>
  <conditionalFormatting sqref="Z602:AE602">
    <cfRule type="expression" dxfId="119" priority="920" stopIfTrue="1">
      <formula>#REF!="Confidential"</formula>
    </cfRule>
  </conditionalFormatting>
  <conditionalFormatting sqref="Z764:AE766">
    <cfRule type="expression" dxfId="118" priority="944" stopIfTrue="1">
      <formula>#REF!="Confidential"</formula>
    </cfRule>
  </conditionalFormatting>
  <conditionalFormatting sqref="Z778:AE782">
    <cfRule type="expression" dxfId="117" priority="627" stopIfTrue="1">
      <formula>#REF!="Confidential"</formula>
    </cfRule>
  </conditionalFormatting>
  <conditionalFormatting sqref="AA413">
    <cfRule type="expression" dxfId="116" priority="580" stopIfTrue="1">
      <formula>#REF!="Confidential"</formula>
    </cfRule>
  </conditionalFormatting>
  <conditionalFormatting sqref="AA488">
    <cfRule type="expression" dxfId="115" priority="1159" stopIfTrue="1">
      <formula>#REF!="Confidential"</formula>
    </cfRule>
  </conditionalFormatting>
  <conditionalFormatting sqref="AA521">
    <cfRule type="expression" dxfId="114" priority="559" stopIfTrue="1">
      <formula>#REF!="Confidential"</formula>
    </cfRule>
  </conditionalFormatting>
  <conditionalFormatting sqref="AA545">
    <cfRule type="expression" dxfId="113" priority="600" stopIfTrue="1">
      <formula>#REF!="Confidential"</formula>
    </cfRule>
  </conditionalFormatting>
  <conditionalFormatting sqref="AA624">
    <cfRule type="expression" dxfId="112" priority="546" stopIfTrue="1">
      <formula>#REF!="Confidential"</formula>
    </cfRule>
  </conditionalFormatting>
  <conditionalFormatting sqref="AA690">
    <cfRule type="expression" dxfId="111" priority="991" stopIfTrue="1">
      <formula>#REF!="Confidential"</formula>
    </cfRule>
  </conditionalFormatting>
  <conditionalFormatting sqref="AA749:AA750">
    <cfRule type="expression" dxfId="110" priority="532" stopIfTrue="1">
      <formula>#REF!="Confidential"</formula>
    </cfRule>
  </conditionalFormatting>
  <conditionalFormatting sqref="AA769">
    <cfRule type="expression" dxfId="109" priority="930" stopIfTrue="1">
      <formula>#REF!="Confidential"</formula>
    </cfRule>
  </conditionalFormatting>
  <conditionalFormatting sqref="AA834:AA835">
    <cfRule type="expression" dxfId="108" priority="451" stopIfTrue="1">
      <formula>#REF!="Confidential"</formula>
    </cfRule>
  </conditionalFormatting>
  <conditionalFormatting sqref="AA908">
    <cfRule type="expression" dxfId="107" priority="293" stopIfTrue="1">
      <formula>#REF!="Confidential"</formula>
    </cfRule>
  </conditionalFormatting>
  <conditionalFormatting sqref="AA914">
    <cfRule type="expression" dxfId="106" priority="276" stopIfTrue="1">
      <formula>#REF!="Confidential"</formula>
    </cfRule>
  </conditionalFormatting>
  <conditionalFormatting sqref="AA943">
    <cfRule type="expression" dxfId="105" priority="212" stopIfTrue="1">
      <formula>#REF!="Confidential"</formula>
    </cfRule>
  </conditionalFormatting>
  <conditionalFormatting sqref="AA946:AA948">
    <cfRule type="expression" dxfId="104" priority="197" stopIfTrue="1">
      <formula>#REF!="Confidential"</formula>
    </cfRule>
  </conditionalFormatting>
  <conditionalFormatting sqref="AA956">
    <cfRule type="expression" dxfId="103" priority="179" stopIfTrue="1">
      <formula>#REF!="Confidential"</formula>
    </cfRule>
  </conditionalFormatting>
  <conditionalFormatting sqref="AA960:AA964">
    <cfRule type="expression" dxfId="102" priority="141" stopIfTrue="1">
      <formula>#REF!="Confidential"</formula>
    </cfRule>
  </conditionalFormatting>
  <conditionalFormatting sqref="AA966">
    <cfRule type="expression" dxfId="101" priority="122" stopIfTrue="1">
      <formula>#REF!="Confidential"</formula>
    </cfRule>
  </conditionalFormatting>
  <conditionalFormatting sqref="AA972">
    <cfRule type="expression" dxfId="100" priority="105" stopIfTrue="1">
      <formula>#REF!="Confidential"</formula>
    </cfRule>
  </conditionalFormatting>
  <conditionalFormatting sqref="AA975">
    <cfRule type="expression" dxfId="99" priority="98" stopIfTrue="1">
      <formula>#REF!="Confidential"</formula>
    </cfRule>
  </conditionalFormatting>
  <conditionalFormatting sqref="AA730:AC731">
    <cfRule type="expression" dxfId="98" priority="1174" stopIfTrue="1">
      <formula>#REF!="Confidential"</formula>
    </cfRule>
  </conditionalFormatting>
  <conditionalFormatting sqref="AA901:AC907">
    <cfRule type="expression" dxfId="97" priority="310" stopIfTrue="1">
      <formula>#REF!="Confidential"</formula>
    </cfRule>
  </conditionalFormatting>
  <conditionalFormatting sqref="AB89">
    <cfRule type="expression" dxfId="96" priority="567" stopIfTrue="1">
      <formula>#REF!="Confidential"</formula>
    </cfRule>
  </conditionalFormatting>
  <conditionalFormatting sqref="AB238">
    <cfRule type="expression" dxfId="95" priority="566" stopIfTrue="1">
      <formula>#REF!="Confidential"</formula>
    </cfRule>
  </conditionalFormatting>
  <conditionalFormatting sqref="AB457">
    <cfRule type="expression" dxfId="94" priority="1346" stopIfTrue="1">
      <formula>#REF!="Confidential"</formula>
    </cfRule>
  </conditionalFormatting>
  <conditionalFormatting sqref="AB459">
    <cfRule type="expression" dxfId="93" priority="1345" stopIfTrue="1">
      <formula>#REF!="Confidential"</formula>
    </cfRule>
  </conditionalFormatting>
  <conditionalFormatting sqref="AB681">
    <cfRule type="expression" dxfId="92" priority="990" stopIfTrue="1">
      <formula>#REF!="Confidential"</formula>
    </cfRule>
  </conditionalFormatting>
  <conditionalFormatting sqref="AB690">
    <cfRule type="expression" dxfId="91" priority="992" stopIfTrue="1">
      <formula>#REF!="Confidential"</formula>
    </cfRule>
  </conditionalFormatting>
  <conditionalFormatting sqref="AB751">
    <cfRule type="expression" dxfId="90" priority="998" stopIfTrue="1">
      <formula>#REF!="Confidential"</formula>
    </cfRule>
  </conditionalFormatting>
  <conditionalFormatting sqref="AB769">
    <cfRule type="expression" dxfId="89" priority="929" stopIfTrue="1">
      <formula>#REF!="Confidential"</formula>
    </cfRule>
  </conditionalFormatting>
  <conditionalFormatting sqref="AB817:AB819">
    <cfRule type="expression" dxfId="88" priority="523" stopIfTrue="1">
      <formula>#REF!="Confidential"</formula>
    </cfRule>
  </conditionalFormatting>
  <conditionalFormatting sqref="AB821:AB829">
    <cfRule type="expression" dxfId="87" priority="483" stopIfTrue="1">
      <formula>#REF!="Confidential"</formula>
    </cfRule>
  </conditionalFormatting>
  <conditionalFormatting sqref="AB831:AB842">
    <cfRule type="expression" dxfId="86" priority="401" stopIfTrue="1">
      <formula>#REF!="Confidential"</formula>
    </cfRule>
  </conditionalFormatting>
  <conditionalFormatting sqref="AB844:AB845">
    <cfRule type="expression" dxfId="85" priority="391" stopIfTrue="1">
      <formula>#REF!="Confidential"</formula>
    </cfRule>
  </conditionalFormatting>
  <conditionalFormatting sqref="AB848">
    <cfRule type="expression" dxfId="84" priority="386" stopIfTrue="1">
      <formula>#REF!="Confidential"</formula>
    </cfRule>
  </conditionalFormatting>
  <conditionalFormatting sqref="AB914">
    <cfRule type="expression" dxfId="83" priority="277" stopIfTrue="1">
      <formula>#REF!="Confidential"</formula>
    </cfRule>
  </conditionalFormatting>
  <conditionalFormatting sqref="AB938">
    <cfRule type="expression" dxfId="82" priority="219" stopIfTrue="1">
      <formula>#REF!="Confidential"</formula>
    </cfRule>
  </conditionalFormatting>
  <conditionalFormatting sqref="AB943">
    <cfRule type="expression" dxfId="81" priority="213" stopIfTrue="1">
      <formula>#REF!="Confidential"</formula>
    </cfRule>
  </conditionalFormatting>
  <conditionalFormatting sqref="AB946:AB948">
    <cfRule type="expression" dxfId="80" priority="198" stopIfTrue="1">
      <formula>#REF!="Confidential"</formula>
    </cfRule>
  </conditionalFormatting>
  <conditionalFormatting sqref="AB950">
    <cfRule type="expression" dxfId="79" priority="192" stopIfTrue="1">
      <formula>#REF!="Confidential"</formula>
    </cfRule>
  </conditionalFormatting>
  <conditionalFormatting sqref="AB954">
    <cfRule type="expression" dxfId="78" priority="186" stopIfTrue="1">
      <formula>#REF!="Confidential"</formula>
    </cfRule>
  </conditionalFormatting>
  <conditionalFormatting sqref="AB956">
    <cfRule type="expression" dxfId="77" priority="180" stopIfTrue="1">
      <formula>#REF!="Confidential"</formula>
    </cfRule>
  </conditionalFormatting>
  <conditionalFormatting sqref="AB958:AB966">
    <cfRule type="expression" dxfId="76" priority="123" stopIfTrue="1">
      <formula>#REF!="Confidential"</formula>
    </cfRule>
  </conditionalFormatting>
  <conditionalFormatting sqref="AB972:AB973">
    <cfRule type="expression" dxfId="75" priority="101" stopIfTrue="1">
      <formula>#REF!="Confidential"</formula>
    </cfRule>
  </conditionalFormatting>
  <conditionalFormatting sqref="AB978">
    <cfRule type="expression" dxfId="74" priority="94" stopIfTrue="1">
      <formula>#REF!="Confidential"</formula>
    </cfRule>
  </conditionalFormatting>
  <conditionalFormatting sqref="AB989">
    <cfRule type="expression" dxfId="73" priority="17" stopIfTrue="1">
      <formula>#REF!="Confidential"</formula>
    </cfRule>
  </conditionalFormatting>
  <conditionalFormatting sqref="AB992:AB993">
    <cfRule type="expression" dxfId="72" priority="1" stopIfTrue="1">
      <formula>#REF!="Confidential"</formula>
    </cfRule>
  </conditionalFormatting>
  <conditionalFormatting sqref="AB454:AC454">
    <cfRule type="expression" dxfId="70" priority="535" stopIfTrue="1">
      <formula>#REF!="Confidential"</formula>
    </cfRule>
  </conditionalFormatting>
  <conditionalFormatting sqref="AB510:AC510">
    <cfRule type="expression" dxfId="69" priority="903" stopIfTrue="1">
      <formula>#REF!="Confidential"</formula>
    </cfRule>
  </conditionalFormatting>
  <conditionalFormatting sqref="AB521:AC521">
    <cfRule type="expression" dxfId="68" priority="560" stopIfTrue="1">
      <formula>#REF!="Confidential"</formula>
    </cfRule>
  </conditionalFormatting>
  <conditionalFormatting sqref="AB749:AC750">
    <cfRule type="expression" dxfId="67" priority="531" stopIfTrue="1">
      <formula>#REF!="Confidential"</formula>
    </cfRule>
  </conditionalFormatting>
  <conditionalFormatting sqref="AB876:AC877">
    <cfRule type="expression" dxfId="66" priority="353" stopIfTrue="1">
      <formula>#REF!="Confidential"</formula>
    </cfRule>
  </conditionalFormatting>
  <conditionalFormatting sqref="AB881:AC881">
    <cfRule type="expression" dxfId="65" priority="342" stopIfTrue="1">
      <formula>#REF!="Confidential"</formula>
    </cfRule>
  </conditionalFormatting>
  <conditionalFormatting sqref="AB908:AC910">
    <cfRule type="expression" dxfId="64" priority="288" stopIfTrue="1">
      <formula>#REF!="Confidential"</formula>
    </cfRule>
  </conditionalFormatting>
  <conditionalFormatting sqref="AB924:AC924">
    <cfRule type="expression" dxfId="63" priority="249" stopIfTrue="1">
      <formula>#REF!="Confidential"</formula>
    </cfRule>
  </conditionalFormatting>
  <conditionalFormatting sqref="AB953:AC953">
    <cfRule type="expression" dxfId="62" priority="188" stopIfTrue="1">
      <formula>#REF!="Confidential"</formula>
    </cfRule>
  </conditionalFormatting>
  <conditionalFormatting sqref="AB976:AC976">
    <cfRule type="expression" dxfId="61" priority="96" stopIfTrue="1">
      <formula>#REF!="Confidential"</formula>
    </cfRule>
  </conditionalFormatting>
  <conditionalFormatting sqref="AB981:AC983">
    <cfRule type="expression" dxfId="60" priority="87" stopIfTrue="1">
      <formula>#REF!="Confidential"</formula>
    </cfRule>
  </conditionalFormatting>
  <conditionalFormatting sqref="AB985:AC985">
    <cfRule type="expression" dxfId="59" priority="81" stopIfTrue="1">
      <formula>#REF!="Confidential"</formula>
    </cfRule>
  </conditionalFormatting>
  <conditionalFormatting sqref="AB477:AE477">
    <cfRule type="expression" dxfId="58" priority="558" stopIfTrue="1">
      <formula>#REF!="Confidential"</formula>
    </cfRule>
  </conditionalFormatting>
  <conditionalFormatting sqref="AB567:AE567">
    <cfRule type="expression" dxfId="57" priority="574" stopIfTrue="1">
      <formula>#REF!="Confidential"</formula>
    </cfRule>
  </conditionalFormatting>
  <conditionalFormatting sqref="AB624:AE624">
    <cfRule type="expression" dxfId="56" priority="545" stopIfTrue="1">
      <formula>#REF!="Confidential"</formula>
    </cfRule>
  </conditionalFormatting>
  <conditionalFormatting sqref="AB928:AE930">
    <cfRule type="expression" dxfId="55" priority="228" stopIfTrue="1">
      <formula>#REF!="Confidential"</formula>
    </cfRule>
  </conditionalFormatting>
  <conditionalFormatting sqref="AB936:AE937">
    <cfRule type="expression" dxfId="54" priority="220" stopIfTrue="1">
      <formula>#REF!="Confidential"</formula>
    </cfRule>
  </conditionalFormatting>
  <conditionalFormatting sqref="AB944:AE944">
    <cfRule type="expression" dxfId="53" priority="211" stopIfTrue="1">
      <formula>#REF!="Confidential"</formula>
    </cfRule>
  </conditionalFormatting>
  <conditionalFormatting sqref="AB949:AE949">
    <cfRule type="expression" dxfId="52" priority="195" stopIfTrue="1">
      <formula>#REF!="Confidential"</formula>
    </cfRule>
  </conditionalFormatting>
  <conditionalFormatting sqref="AB955:AE955">
    <cfRule type="expression" dxfId="51" priority="183" stopIfTrue="1">
      <formula>#REF!="Confidential"</formula>
    </cfRule>
  </conditionalFormatting>
  <conditionalFormatting sqref="AC817:AC819">
    <cfRule type="expression" dxfId="50" priority="522" stopIfTrue="1">
      <formula>#REF!="Confidential"</formula>
    </cfRule>
  </conditionalFormatting>
  <conditionalFormatting sqref="AC821:AC829">
    <cfRule type="expression" dxfId="49" priority="482" stopIfTrue="1">
      <formula>#REF!="Confidential"</formula>
    </cfRule>
  </conditionalFormatting>
  <conditionalFormatting sqref="AC831:AC832">
    <cfRule type="expression" dxfId="48" priority="466" stopIfTrue="1">
      <formula>#REF!="Confidential"</formula>
    </cfRule>
  </conditionalFormatting>
  <conditionalFormatting sqref="AC834:AC842">
    <cfRule type="expression" dxfId="47" priority="400" stopIfTrue="1">
      <formula>#REF!="Confidential"</formula>
    </cfRule>
  </conditionalFormatting>
  <conditionalFormatting sqref="AC844">
    <cfRule type="expression" dxfId="46" priority="393" stopIfTrue="1">
      <formula>#REF!="Confidential"</formula>
    </cfRule>
  </conditionalFormatting>
  <conditionalFormatting sqref="AC959:AC960">
    <cfRule type="expression" dxfId="45" priority="166" stopIfTrue="1">
      <formula>#REF!="Confidential"</formula>
    </cfRule>
  </conditionalFormatting>
  <conditionalFormatting sqref="AC964:AC966">
    <cfRule type="expression" dxfId="44" priority="121" stopIfTrue="1">
      <formula>#REF!="Confidential"</formula>
    </cfRule>
  </conditionalFormatting>
  <conditionalFormatting sqref="AC972:AC973">
    <cfRule type="expression" dxfId="43" priority="102" stopIfTrue="1">
      <formula>#REF!="Confidential"</formula>
    </cfRule>
  </conditionalFormatting>
  <conditionalFormatting sqref="AC975">
    <cfRule type="expression" dxfId="42" priority="99" stopIfTrue="1">
      <formula>#REF!="Confidential"</formula>
    </cfRule>
  </conditionalFormatting>
  <conditionalFormatting sqref="AD819">
    <cfRule type="expression" dxfId="41" priority="524" stopIfTrue="1">
      <formula>#REF!="Confidential"</formula>
    </cfRule>
  </conditionalFormatting>
  <conditionalFormatting sqref="AD821:AE829">
    <cfRule type="expression" dxfId="40" priority="495" stopIfTrue="1">
      <formula>#REF!="Confidential"</formula>
    </cfRule>
  </conditionalFormatting>
  <conditionalFormatting sqref="AD831:AE832">
    <cfRule type="expression" dxfId="39" priority="468" stopIfTrue="1">
      <formula>#REF!="Confidential"</formula>
    </cfRule>
  </conditionalFormatting>
  <conditionalFormatting sqref="AD834:AE842">
    <cfRule type="expression" dxfId="38" priority="413" stopIfTrue="1">
      <formula>#REF!="Confidential"</formula>
    </cfRule>
  </conditionalFormatting>
  <conditionalFormatting sqref="AD909:AE910">
    <cfRule type="expression" dxfId="37" priority="289" stopIfTrue="1">
      <formula>#REF!="Confidential"</formula>
    </cfRule>
  </conditionalFormatting>
  <conditionalFormatting sqref="AD964:AE966">
    <cfRule type="expression" dxfId="36" priority="127" stopIfTrue="1">
      <formula>#REF!="Confidential"</formula>
    </cfRule>
  </conditionalFormatting>
  <conditionalFormatting sqref="AE507">
    <cfRule type="expression" dxfId="34" priority="536" stopIfTrue="1">
      <formula>#REF!="Confidential"</formula>
    </cfRule>
  </conditionalFormatting>
  <conditionalFormatting sqref="AE886:AE889">
    <cfRule type="expression" dxfId="33" priority="334" stopIfTrue="1">
      <formula>#REF!="Confidential"</formula>
    </cfRule>
  </conditionalFormatting>
  <conditionalFormatting sqref="AE938">
    <cfRule type="expression" dxfId="32" priority="218" stopIfTrue="1">
      <formula>#REF!="Confidential"</formula>
    </cfRule>
  </conditionalFormatting>
  <conditionalFormatting sqref="AE984">
    <cfRule type="expression" dxfId="31" priority="84" stopIfTrue="1">
      <formula>#REF!="Confidential"</formula>
    </cfRule>
  </conditionalFormatting>
  <conditionalFormatting sqref="AF442 AF520 AF543:AF544 AF547:AF549 AF553:AF555 AF756 AF762 AF805 AF977 AF979:AF983 AF985">
    <cfRule type="expression" dxfId="30" priority="65" stopIfTrue="1">
      <formula>#REF!="Confidential"</formula>
    </cfRule>
  </conditionalFormatting>
  <conditionalFormatting sqref="AF456">
    <cfRule type="expression" dxfId="29" priority="43" stopIfTrue="1">
      <formula>#REF!="Confidential"</formula>
    </cfRule>
  </conditionalFormatting>
  <conditionalFormatting sqref="AF551">
    <cfRule type="expression" dxfId="28" priority="19" stopIfTrue="1">
      <formula>$D551="Confidential"</formula>
    </cfRule>
  </conditionalFormatting>
  <conditionalFormatting sqref="AF557:AF564">
    <cfRule type="expression" dxfId="27" priority="61" stopIfTrue="1">
      <formula>#REF!="Confidential"</formula>
    </cfRule>
  </conditionalFormatting>
  <conditionalFormatting sqref="AF567:AF596">
    <cfRule type="expression" dxfId="26" priority="44" stopIfTrue="1">
      <formula>#REF!="Confidential"</formula>
    </cfRule>
  </conditionalFormatting>
  <conditionalFormatting sqref="AF601:AF636">
    <cfRule type="expression" dxfId="25" priority="42" stopIfTrue="1">
      <formula>#REF!="Confidential"</formula>
    </cfRule>
  </conditionalFormatting>
  <conditionalFormatting sqref="AF638:AF663">
    <cfRule type="expression" dxfId="24" priority="62" stopIfTrue="1">
      <formula>#REF!="Confidential"</formula>
    </cfRule>
  </conditionalFormatting>
  <conditionalFormatting sqref="AF667:AF689">
    <cfRule type="expression" dxfId="23" priority="40" stopIfTrue="1">
      <formula>#REF!="Confidential"</formula>
    </cfRule>
  </conditionalFormatting>
  <conditionalFormatting sqref="AF691:AF751">
    <cfRule type="expression" dxfId="22" priority="41" stopIfTrue="1">
      <formula>#REF!="Confidential"</formula>
    </cfRule>
  </conditionalFormatting>
  <conditionalFormatting sqref="AF764:AF766">
    <cfRule type="expression" dxfId="21" priority="56" stopIfTrue="1">
      <formula>#REF!="Confidential"</formula>
    </cfRule>
  </conditionalFormatting>
  <conditionalFormatting sqref="AF768">
    <cfRule type="expression" dxfId="20" priority="55" stopIfTrue="1">
      <formula>#REF!="Confidential"</formula>
    </cfRule>
  </conditionalFormatting>
  <conditionalFormatting sqref="AF772:AF803">
    <cfRule type="expression" dxfId="19" priority="47" stopIfTrue="1">
      <formula>#REF!="Confidential"</formula>
    </cfRule>
  </conditionalFormatting>
  <conditionalFormatting sqref="AF807:AF907">
    <cfRule type="expression" dxfId="18" priority="23" stopIfTrue="1">
      <formula>#REF!="Confidential"</formula>
    </cfRule>
  </conditionalFormatting>
  <conditionalFormatting sqref="AF909:AF930">
    <cfRule type="expression" dxfId="17" priority="22" stopIfTrue="1">
      <formula>#REF!="Confidential"</formula>
    </cfRule>
  </conditionalFormatting>
  <conditionalFormatting sqref="AF942:AF974">
    <cfRule type="expression" dxfId="16" priority="20" stopIfTrue="1">
      <formula>#REF!="Confidential"</formula>
    </cfRule>
  </conditionalFormatting>
  <conditionalFormatting sqref="AF992">
    <cfRule type="expression" dxfId="15" priority="2" stopIfTrue="1">
      <formula>#REF!="Confidential"</formula>
    </cfRule>
  </conditionalFormatting>
  <conditionalFormatting sqref="AG456">
    <cfRule type="expression" dxfId="14" priority="550" stopIfTrue="1">
      <formula>#REF!="Confidential"</formula>
    </cfRule>
  </conditionalFormatting>
  <conditionalFormatting sqref="AG551">
    <cfRule type="expression" dxfId="13" priority="79" stopIfTrue="1">
      <formula>$D551="Confidential"</formula>
    </cfRule>
  </conditionalFormatting>
  <conditionalFormatting sqref="AG557:AG564">
    <cfRule type="expression" dxfId="12" priority="1252" stopIfTrue="1">
      <formula>#REF!="Confidential"</formula>
    </cfRule>
  </conditionalFormatting>
  <conditionalFormatting sqref="AG567:AG596">
    <cfRule type="expression" dxfId="11" priority="554" stopIfTrue="1">
      <formula>#REF!="Confidential"</formula>
    </cfRule>
  </conditionalFormatting>
  <conditionalFormatting sqref="AG601:AG636">
    <cfRule type="expression" dxfId="10" priority="544" stopIfTrue="1">
      <formula>#REF!="Confidential"</formula>
    </cfRule>
  </conditionalFormatting>
  <conditionalFormatting sqref="AG638:AG663">
    <cfRule type="expression" dxfId="9" priority="1290" stopIfTrue="1">
      <formula>#REF!="Confidential"</formula>
    </cfRule>
  </conditionalFormatting>
  <conditionalFormatting sqref="AG667:AG689">
    <cfRule type="expression" dxfId="8" priority="538" stopIfTrue="1">
      <formula>#REF!="Confidential"</formula>
    </cfRule>
  </conditionalFormatting>
  <conditionalFormatting sqref="AG691:AG751">
    <cfRule type="expression" dxfId="7" priority="541" stopIfTrue="1">
      <formula>#REF!="Confidential"</formula>
    </cfRule>
  </conditionalFormatting>
  <conditionalFormatting sqref="AG764:AG766">
    <cfRule type="expression" dxfId="6" priority="942" stopIfTrue="1">
      <formula>#REF!="Confidential"</formula>
    </cfRule>
  </conditionalFormatting>
  <conditionalFormatting sqref="AG768">
    <cfRule type="expression" dxfId="5" priority="923" stopIfTrue="1">
      <formula>#REF!="Confidential"</formula>
    </cfRule>
  </conditionalFormatting>
  <conditionalFormatting sqref="AG772:AG803">
    <cfRule type="expression" dxfId="4" priority="854" stopIfTrue="1">
      <formula>#REF!="Confidential"</formula>
    </cfRule>
  </conditionalFormatting>
  <conditionalFormatting sqref="AG807:AG907">
    <cfRule type="expression" dxfId="3" priority="226" stopIfTrue="1">
      <formula>#REF!="Confidential"</formula>
    </cfRule>
  </conditionalFormatting>
  <conditionalFormatting sqref="AG909:AG930">
    <cfRule type="expression" dxfId="2" priority="175" stopIfTrue="1">
      <formula>#REF!="Confidential"</formula>
    </cfRule>
  </conditionalFormatting>
  <conditionalFormatting sqref="AG942:AG974">
    <cfRule type="expression" dxfId="1" priority="120" stopIfTrue="1">
      <formula>#REF!="Confidential"</formula>
    </cfRule>
  </conditionalFormatting>
  <conditionalFormatting sqref="AG992">
    <cfRule type="expression" dxfId="0" priority="4" stopIfTrue="1">
      <formula>#REF!="Confidential"</formula>
    </cfRule>
  </conditionalFormatting>
  <dataValidations count="1">
    <dataValidation type="whole" allowBlank="1" showInputMessage="1" showErrorMessage="1" sqref="L5:Y993" xr:uid="{00000000-0002-0000-0200-000000000000}">
      <formula1>0</formula1>
      <formula2>1</formula2>
    </dataValidation>
  </dataValidations>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200-000001000000}">
          <x14:formula1>
            <xm:f>'/Users/Christian_Rumpelnik/Downloads/C:\Users\Bermudez_J\Desktop\Offline\[New IEA Hydrogen Project Database.xlsx]Lists'!#REF!</xm:f>
          </x14:formula1>
          <xm:sqref>H258 H529:H531 H254:H256 H240:H241 H804:H805</xm:sqref>
        </x14:dataValidation>
        <x14:dataValidation type="list" allowBlank="1" showInputMessage="1" showErrorMessage="1" xr:uid="{00000000-0002-0000-0200-000002000000}">
          <x14:formula1>
            <xm:f>'/Users/Christian_Rumpelnik/Downloads/C:\Users\Bermudez_J\Desktop\Offline\[New IEA Hydrogen Project Database.xlsx]Countries'!#REF!</xm:f>
          </x14:formula1>
          <xm:sqref>C436 C732:C751 C559 C510 C602 C199 C325 C699:C729 C562 C306 C281 C413 C406 C672:C694 C545 C441:C442 C567:C569 C298 C549 C477 C521 C519 C605 C261 C89 C238 C753:C817 C454:C456</xm:sqref>
        </x14:dataValidation>
        <x14:dataValidation type="list" allowBlank="1" showInputMessage="1" showErrorMessage="1" xr:uid="{00000000-0002-0000-0200-000003000000}">
          <x14:formula1>
            <xm:f>Countries!$A$2:$A$215</xm:f>
          </x14:formula1>
          <xm:sqref>C563:C566 C299:C305 C414:C435 C437:C440 C752 C606:C671 C522:C544 C262:C280 C457:C476 C326:C405 C407:C412 C478:C509 C560:C561 C307:C324 C570:C601 C443:C453 C200:C237 C603:C604 C239:C260 C511:C518 C520 C550:C558 C282:C297 C546:C548 C90:C198 C5:C88</xm:sqref>
        </x14:dataValidation>
        <x14:dataValidation type="list" allowBlank="1" showInputMessage="1" showErrorMessage="1" xr:uid="{00000000-0002-0000-0200-000004000000}">
          <x14:formula1>
            <xm:f>'/Users/Christian_Rumpelnik/Downloads/I:\DOCS\Hydrogen\Global Hydrogen Review 2021\4. Analysis\Low-C deployment\[New IEA Hydrogen Project Database.xlsx]Countries'!#REF!</xm:f>
          </x14:formula1>
          <xm:sqref>C882:C988 C818:C880</xm:sqref>
        </x14:dataValidation>
        <x14:dataValidation type="list" allowBlank="1" showInputMessage="1" showErrorMessage="1" xr:uid="{00000000-0002-0000-0200-000005000000}">
          <x14:formula1>
            <xm:f>'/Users/Christian_Rumpelnik/Downloads/I:\DOCS\Hydrogen\Global Hydrogen Review 2021\4. Analysis\Low-C deployment\[New IEA Hydrogen Project Database.xlsx]Lists'!#REF!</xm:f>
          </x14:formula1>
          <xm:sqref>H854:H856 H878 H880:H882 H858</xm:sqref>
        </x14:dataValidation>
        <x14:dataValidation type="list" allowBlank="1" showInputMessage="1" showErrorMessage="1" xr:uid="{00000000-0002-0000-0200-000006000000}">
          <x14:formula1>
            <xm:f>Lists!$I$3:$I$8</xm:f>
          </x14:formula1>
          <xm:sqref>I5:I991</xm:sqref>
        </x14:dataValidation>
        <x14:dataValidation type="list" allowBlank="1" showInputMessage="1" showErrorMessage="1" xr:uid="{00000000-0002-0000-0200-000007000000}">
          <x14:formula1>
            <xm:f>Lists!$N$3:$N$9</xm:f>
          </x14:formula1>
          <xm:sqref>J5:J991</xm:sqref>
        </x14:dataValidation>
        <x14:dataValidation type="list" allowBlank="1" showInputMessage="1" showErrorMessage="1" xr:uid="{00000000-0002-0000-0200-000008000000}">
          <x14:formula1>
            <xm:f>Lists!$L$3:$L$9</xm:f>
          </x14:formula1>
          <xm:sqref>K5:K991</xm:sqref>
        </x14:dataValidation>
        <x14:dataValidation type="list" allowBlank="1" showInputMessage="1" showErrorMessage="1" xr:uid="{00000000-0002-0000-0200-000009000000}">
          <x14:formula1>
            <xm:f>Lists!$A$3:$A$10</xm:f>
          </x14:formula1>
          <xm:sqref>F5:F991</xm:sqref>
        </x14:dataValidation>
        <x14:dataValidation type="list" allowBlank="1" showInputMessage="1" showErrorMessage="1" xr:uid="{00000000-0002-0000-0200-00000A000000}">
          <x14:formula1>
            <xm:f>Lists!$D$3:$D$12</xm:f>
          </x14:formula1>
          <xm:sqref>G5:G991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4BFF"/>
  </sheetPr>
  <dimension ref="A1:XEQ1084"/>
  <sheetViews>
    <sheetView zoomScaleNormal="100" zoomScalePageLayoutView="80" workbookViewId="0">
      <pane xSplit="1" ySplit="2" topLeftCell="B324" activePane="bottomRight" state="frozen"/>
      <selection pane="topRight" activeCell="B1" sqref="B1"/>
      <selection pane="bottomLeft" activeCell="A3" sqref="A3"/>
      <selection pane="bottomRight" activeCell="B340" sqref="B340"/>
    </sheetView>
  </sheetViews>
  <sheetFormatPr baseColWidth="10" defaultColWidth="0" defaultRowHeight="18.75" customHeight="1" x14ac:dyDescent="0.2"/>
  <cols>
    <col min="1" max="1" width="16.1640625" style="2" customWidth="1"/>
    <col min="2" max="2" width="230" style="2" customWidth="1"/>
    <col min="3" max="3" width="10.1640625" style="2" hidden="1"/>
    <col min="4" max="16371" width="0" style="2" hidden="1"/>
    <col min="16372" max="16384" width="10.1640625" style="2" hidden="1"/>
  </cols>
  <sheetData>
    <row r="1" spans="1:2" s="4" customFormat="1" ht="33" customHeight="1" x14ac:dyDescent="0.2">
      <c r="A1" s="73" t="s">
        <v>3</v>
      </c>
    </row>
    <row r="2" spans="1:2" s="7" customFormat="1" ht="33" customHeight="1" x14ac:dyDescent="0.2">
      <c r="A2" s="72" t="s">
        <v>4</v>
      </c>
      <c r="B2" s="72" t="s">
        <v>5</v>
      </c>
    </row>
    <row r="3" spans="1:2" s="1" customFormat="1" ht="18" customHeight="1" x14ac:dyDescent="0.2">
      <c r="A3" s="1">
        <v>1</v>
      </c>
      <c r="B3" s="1" t="s">
        <v>7</v>
      </c>
    </row>
    <row r="4" spans="1:2" s="1" customFormat="1" ht="18" customHeight="1" x14ac:dyDescent="0.2">
      <c r="A4" s="1">
        <v>2</v>
      </c>
      <c r="B4" s="1" t="s">
        <v>8</v>
      </c>
    </row>
    <row r="5" spans="1:2" s="1" customFormat="1" ht="18" customHeight="1" x14ac:dyDescent="0.2">
      <c r="A5" s="1">
        <v>3</v>
      </c>
      <c r="B5" s="1" t="s">
        <v>9</v>
      </c>
    </row>
    <row r="6" spans="1:2" s="1" customFormat="1" ht="18" customHeight="1" x14ac:dyDescent="0.2">
      <c r="A6" s="8">
        <v>4</v>
      </c>
      <c r="B6" s="1" t="s">
        <v>10</v>
      </c>
    </row>
    <row r="7" spans="1:2" s="1" customFormat="1" ht="18" customHeight="1" x14ac:dyDescent="0.2">
      <c r="A7" s="1">
        <v>5</v>
      </c>
      <c r="B7" s="1" t="s">
        <v>11</v>
      </c>
    </row>
    <row r="8" spans="1:2" s="1" customFormat="1" ht="18" customHeight="1" x14ac:dyDescent="0.2">
      <c r="A8" s="1">
        <v>6</v>
      </c>
      <c r="B8" s="1" t="s">
        <v>12</v>
      </c>
    </row>
    <row r="9" spans="1:2" s="1" customFormat="1" ht="18" customHeight="1" x14ac:dyDescent="0.2">
      <c r="A9" s="1">
        <v>7</v>
      </c>
      <c r="B9" s="1" t="s">
        <v>13</v>
      </c>
    </row>
    <row r="10" spans="1:2" s="1" customFormat="1" ht="18" customHeight="1" x14ac:dyDescent="0.2">
      <c r="A10" s="8">
        <v>8</v>
      </c>
      <c r="B10" s="1" t="s">
        <v>14</v>
      </c>
    </row>
    <row r="11" spans="1:2" s="1" customFormat="1" ht="18" customHeight="1" x14ac:dyDescent="0.2">
      <c r="A11" s="1">
        <v>9</v>
      </c>
      <c r="B11" s="1" t="s">
        <v>15</v>
      </c>
    </row>
    <row r="12" spans="1:2" ht="18.75" customHeight="1" x14ac:dyDescent="0.2">
      <c r="A12" s="1">
        <v>10</v>
      </c>
      <c r="B12" s="1" t="s">
        <v>16</v>
      </c>
    </row>
    <row r="13" spans="1:2" s="1" customFormat="1" ht="18" customHeight="1" x14ac:dyDescent="0.2">
      <c r="A13" s="1">
        <v>11</v>
      </c>
      <c r="B13" s="1" t="s">
        <v>17</v>
      </c>
    </row>
    <row r="14" spans="1:2" s="1" customFormat="1" ht="18" customHeight="1" x14ac:dyDescent="0.2">
      <c r="A14" s="8">
        <v>12</v>
      </c>
      <c r="B14" s="1" t="s">
        <v>18</v>
      </c>
    </row>
    <row r="15" spans="1:2" ht="18.75" customHeight="1" x14ac:dyDescent="0.2">
      <c r="A15" s="1">
        <v>13</v>
      </c>
      <c r="B15" s="2" t="s">
        <v>19</v>
      </c>
    </row>
    <row r="16" spans="1:2" ht="18.75" customHeight="1" x14ac:dyDescent="0.2">
      <c r="A16" s="1">
        <v>14</v>
      </c>
      <c r="B16" s="3" t="s">
        <v>20</v>
      </c>
    </row>
    <row r="17" spans="1:2" ht="18.75" customHeight="1" x14ac:dyDescent="0.2">
      <c r="A17" s="1">
        <v>15</v>
      </c>
      <c r="B17" s="3" t="s">
        <v>21</v>
      </c>
    </row>
    <row r="18" spans="1:2" ht="18.75" customHeight="1" x14ac:dyDescent="0.2">
      <c r="A18" s="8">
        <v>16</v>
      </c>
      <c r="B18" s="2" t="s">
        <v>22</v>
      </c>
    </row>
    <row r="19" spans="1:2" ht="18.75" customHeight="1" x14ac:dyDescent="0.2">
      <c r="A19" s="1">
        <v>17</v>
      </c>
      <c r="B19" s="2" t="s">
        <v>23</v>
      </c>
    </row>
    <row r="20" spans="1:2" ht="18.75" customHeight="1" x14ac:dyDescent="0.2">
      <c r="A20" s="1">
        <v>18</v>
      </c>
      <c r="B20" s="2" t="s">
        <v>24</v>
      </c>
    </row>
    <row r="21" spans="1:2" ht="18.75" customHeight="1" x14ac:dyDescent="0.2">
      <c r="A21" s="1">
        <v>19</v>
      </c>
      <c r="B21" s="2" t="s">
        <v>25</v>
      </c>
    </row>
    <row r="22" spans="1:2" ht="18.75" customHeight="1" x14ac:dyDescent="0.2">
      <c r="A22" s="8">
        <v>20</v>
      </c>
      <c r="B22" s="2" t="s">
        <v>26</v>
      </c>
    </row>
    <row r="23" spans="1:2" ht="18.75" customHeight="1" x14ac:dyDescent="0.2">
      <c r="A23" s="1">
        <v>21</v>
      </c>
      <c r="B23" s="2" t="s">
        <v>27</v>
      </c>
    </row>
    <row r="24" spans="1:2" ht="18.75" customHeight="1" x14ac:dyDescent="0.2">
      <c r="A24" s="1">
        <v>22</v>
      </c>
      <c r="B24" s="2" t="s">
        <v>28</v>
      </c>
    </row>
    <row r="25" spans="1:2" ht="18.75" customHeight="1" x14ac:dyDescent="0.2">
      <c r="A25" s="1">
        <v>23</v>
      </c>
      <c r="B25" s="2" t="s">
        <v>29</v>
      </c>
    </row>
    <row r="26" spans="1:2" ht="18.75" customHeight="1" x14ac:dyDescent="0.2">
      <c r="A26" s="8">
        <v>24</v>
      </c>
      <c r="B26" s="2" t="s">
        <v>30</v>
      </c>
    </row>
    <row r="27" spans="1:2" ht="18.75" customHeight="1" x14ac:dyDescent="0.2">
      <c r="A27" s="1">
        <v>25</v>
      </c>
      <c r="B27" s="2" t="s">
        <v>31</v>
      </c>
    </row>
    <row r="28" spans="1:2" ht="18.75" customHeight="1" x14ac:dyDescent="0.2">
      <c r="A28" s="1">
        <v>26</v>
      </c>
      <c r="B28" s="2" t="s">
        <v>32</v>
      </c>
    </row>
    <row r="29" spans="1:2" ht="18.75" customHeight="1" x14ac:dyDescent="0.2">
      <c r="A29" s="1">
        <v>27</v>
      </c>
      <c r="B29" s="2" t="s">
        <v>33</v>
      </c>
    </row>
    <row r="30" spans="1:2" ht="18.75" customHeight="1" x14ac:dyDescent="0.2">
      <c r="A30" s="8">
        <v>28</v>
      </c>
      <c r="B30" s="2" t="s">
        <v>34</v>
      </c>
    </row>
    <row r="31" spans="1:2" ht="18.75" customHeight="1" x14ac:dyDescent="0.2">
      <c r="A31" s="1">
        <v>29</v>
      </c>
      <c r="B31" s="2" t="s">
        <v>35</v>
      </c>
    </row>
    <row r="32" spans="1:2" ht="18.75" customHeight="1" x14ac:dyDescent="0.2">
      <c r="A32" s="1">
        <v>30</v>
      </c>
      <c r="B32" s="2" t="s">
        <v>36</v>
      </c>
    </row>
    <row r="33" spans="1:2" ht="18.75" customHeight="1" x14ac:dyDescent="0.2">
      <c r="A33" s="1">
        <v>31</v>
      </c>
      <c r="B33" s="2" t="s">
        <v>37</v>
      </c>
    </row>
    <row r="34" spans="1:2" ht="18.75" customHeight="1" x14ac:dyDescent="0.2">
      <c r="A34" s="8">
        <v>32</v>
      </c>
      <c r="B34" s="2" t="s">
        <v>38</v>
      </c>
    </row>
    <row r="35" spans="1:2" ht="18.75" customHeight="1" x14ac:dyDescent="0.2">
      <c r="A35" s="1">
        <v>33</v>
      </c>
      <c r="B35" s="2" t="s">
        <v>39</v>
      </c>
    </row>
    <row r="36" spans="1:2" ht="18.75" customHeight="1" x14ac:dyDescent="0.2">
      <c r="A36" s="1">
        <v>34</v>
      </c>
      <c r="B36" s="2" t="s">
        <v>40</v>
      </c>
    </row>
    <row r="37" spans="1:2" ht="18.75" customHeight="1" x14ac:dyDescent="0.2">
      <c r="A37" s="1">
        <v>35</v>
      </c>
      <c r="B37" s="2" t="s">
        <v>41</v>
      </c>
    </row>
    <row r="38" spans="1:2" ht="18.75" customHeight="1" x14ac:dyDescent="0.2">
      <c r="A38" s="8">
        <v>36</v>
      </c>
      <c r="B38" s="2" t="s">
        <v>42</v>
      </c>
    </row>
    <row r="39" spans="1:2" ht="18.75" customHeight="1" x14ac:dyDescent="0.2">
      <c r="A39" s="1">
        <v>37</v>
      </c>
      <c r="B39" s="2" t="s">
        <v>43</v>
      </c>
    </row>
    <row r="40" spans="1:2" ht="18.75" customHeight="1" x14ac:dyDescent="0.2">
      <c r="A40" s="1">
        <v>38</v>
      </c>
      <c r="B40" s="2" t="s">
        <v>44</v>
      </c>
    </row>
    <row r="41" spans="1:2" ht="18.75" customHeight="1" x14ac:dyDescent="0.2">
      <c r="A41" s="1">
        <v>39</v>
      </c>
      <c r="B41" s="2" t="s">
        <v>45</v>
      </c>
    </row>
    <row r="42" spans="1:2" ht="18.75" customHeight="1" x14ac:dyDescent="0.2">
      <c r="A42" s="8">
        <v>40</v>
      </c>
      <c r="B42" s="2" t="s">
        <v>46</v>
      </c>
    </row>
    <row r="43" spans="1:2" ht="18.75" customHeight="1" x14ac:dyDescent="0.2">
      <c r="A43" s="1">
        <v>41</v>
      </c>
      <c r="B43" s="2" t="s">
        <v>47</v>
      </c>
    </row>
    <row r="44" spans="1:2" ht="18.75" customHeight="1" x14ac:dyDescent="0.2">
      <c r="A44" s="1">
        <v>42</v>
      </c>
      <c r="B44" s="3" t="s">
        <v>48</v>
      </c>
    </row>
    <row r="45" spans="1:2" ht="18.75" customHeight="1" x14ac:dyDescent="0.2">
      <c r="A45" s="1">
        <v>43</v>
      </c>
      <c r="B45" s="2" t="s">
        <v>49</v>
      </c>
    </row>
    <row r="46" spans="1:2" ht="18.75" customHeight="1" x14ac:dyDescent="0.2">
      <c r="A46" s="8">
        <v>44</v>
      </c>
      <c r="B46" s="5" t="s">
        <v>50</v>
      </c>
    </row>
    <row r="47" spans="1:2" ht="18.75" customHeight="1" x14ac:dyDescent="0.2">
      <c r="A47" s="1">
        <v>45</v>
      </c>
      <c r="B47" s="13" t="s">
        <v>51</v>
      </c>
    </row>
    <row r="48" spans="1:2" ht="18.75" customHeight="1" x14ac:dyDescent="0.2">
      <c r="A48" s="1">
        <v>46</v>
      </c>
      <c r="B48" s="5" t="s">
        <v>52</v>
      </c>
    </row>
    <row r="49" spans="1:2" ht="18.75" customHeight="1" x14ac:dyDescent="0.2">
      <c r="A49" s="1">
        <v>47</v>
      </c>
      <c r="B49" s="5" t="s">
        <v>53</v>
      </c>
    </row>
    <row r="50" spans="1:2" ht="18.75" customHeight="1" x14ac:dyDescent="0.2">
      <c r="A50" s="8">
        <v>48</v>
      </c>
      <c r="B50" s="5" t="s">
        <v>54</v>
      </c>
    </row>
    <row r="51" spans="1:2" ht="18.75" customHeight="1" x14ac:dyDescent="0.2">
      <c r="A51" s="1">
        <v>49</v>
      </c>
      <c r="B51" s="5" t="s">
        <v>55</v>
      </c>
    </row>
    <row r="52" spans="1:2" ht="18.75" customHeight="1" x14ac:dyDescent="0.2">
      <c r="A52" s="1">
        <v>50</v>
      </c>
      <c r="B52" s="5" t="s">
        <v>56</v>
      </c>
    </row>
    <row r="53" spans="1:2" ht="18.75" customHeight="1" x14ac:dyDescent="0.2">
      <c r="A53" s="1">
        <v>51</v>
      </c>
      <c r="B53" s="3" t="s">
        <v>57</v>
      </c>
    </row>
    <row r="54" spans="1:2" ht="18.75" customHeight="1" x14ac:dyDescent="0.2">
      <c r="A54" s="8">
        <v>52</v>
      </c>
      <c r="B54" s="3" t="s">
        <v>58</v>
      </c>
    </row>
    <row r="55" spans="1:2" ht="18.75" customHeight="1" x14ac:dyDescent="0.2">
      <c r="A55" s="1">
        <v>53</v>
      </c>
      <c r="B55" s="3" t="s">
        <v>59</v>
      </c>
    </row>
    <row r="56" spans="1:2" ht="18.75" customHeight="1" x14ac:dyDescent="0.2">
      <c r="A56" s="1">
        <v>54</v>
      </c>
      <c r="B56" s="3" t="s">
        <v>60</v>
      </c>
    </row>
    <row r="57" spans="1:2" ht="18.75" customHeight="1" x14ac:dyDescent="0.2">
      <c r="A57" s="1">
        <v>55</v>
      </c>
      <c r="B57" s="3" t="s">
        <v>61</v>
      </c>
    </row>
    <row r="58" spans="1:2" ht="18.75" customHeight="1" x14ac:dyDescent="0.2">
      <c r="A58" s="8">
        <v>56</v>
      </c>
      <c r="B58" s="3" t="s">
        <v>62</v>
      </c>
    </row>
    <row r="59" spans="1:2" ht="18.75" customHeight="1" x14ac:dyDescent="0.2">
      <c r="A59" s="1">
        <v>57</v>
      </c>
      <c r="B59" s="3" t="s">
        <v>63</v>
      </c>
    </row>
    <row r="60" spans="1:2" ht="18.75" customHeight="1" x14ac:dyDescent="0.2">
      <c r="A60" s="1">
        <v>58</v>
      </c>
      <c r="B60" s="3" t="s">
        <v>64</v>
      </c>
    </row>
    <row r="61" spans="1:2" ht="18.75" customHeight="1" x14ac:dyDescent="0.2">
      <c r="A61" s="1">
        <v>59</v>
      </c>
      <c r="B61" s="2" t="s">
        <v>65</v>
      </c>
    </row>
    <row r="62" spans="1:2" ht="18.75" customHeight="1" x14ac:dyDescent="0.2">
      <c r="A62" s="8">
        <v>60</v>
      </c>
      <c r="B62" s="2" t="s">
        <v>66</v>
      </c>
    </row>
    <row r="63" spans="1:2" ht="18.75" customHeight="1" x14ac:dyDescent="0.2">
      <c r="A63" s="1">
        <v>61</v>
      </c>
      <c r="B63" s="2" t="s">
        <v>67</v>
      </c>
    </row>
    <row r="64" spans="1:2" ht="18.75" customHeight="1" x14ac:dyDescent="0.2">
      <c r="A64" s="1">
        <v>62</v>
      </c>
      <c r="B64" s="2" t="s">
        <v>68</v>
      </c>
    </row>
    <row r="65" spans="1:2" ht="18.75" customHeight="1" x14ac:dyDescent="0.2">
      <c r="A65" s="1">
        <v>63</v>
      </c>
      <c r="B65" s="2" t="s">
        <v>69</v>
      </c>
    </row>
    <row r="66" spans="1:2" ht="18.75" customHeight="1" x14ac:dyDescent="0.2">
      <c r="A66" s="8">
        <v>64</v>
      </c>
      <c r="B66" s="2" t="s">
        <v>70</v>
      </c>
    </row>
    <row r="67" spans="1:2" ht="18.75" customHeight="1" x14ac:dyDescent="0.2">
      <c r="A67" s="1">
        <v>65</v>
      </c>
      <c r="B67" s="2" t="s">
        <v>71</v>
      </c>
    </row>
    <row r="68" spans="1:2" ht="18.75" customHeight="1" x14ac:dyDescent="0.2">
      <c r="A68" s="1">
        <v>66</v>
      </c>
      <c r="B68" s="3" t="s">
        <v>72</v>
      </c>
    </row>
    <row r="69" spans="1:2" ht="18.75" customHeight="1" x14ac:dyDescent="0.2">
      <c r="A69" s="1">
        <v>67</v>
      </c>
      <c r="B69" s="2" t="s">
        <v>73</v>
      </c>
    </row>
    <row r="70" spans="1:2" ht="18.75" customHeight="1" x14ac:dyDescent="0.2">
      <c r="A70" s="8">
        <v>68</v>
      </c>
      <c r="B70" s="2" t="s">
        <v>74</v>
      </c>
    </row>
    <row r="71" spans="1:2" ht="18.75" customHeight="1" x14ac:dyDescent="0.2">
      <c r="A71" s="1">
        <v>69</v>
      </c>
      <c r="B71" s="2" t="s">
        <v>75</v>
      </c>
    </row>
    <row r="72" spans="1:2" ht="18.75" customHeight="1" x14ac:dyDescent="0.2">
      <c r="A72" s="1">
        <v>70</v>
      </c>
      <c r="B72" s="2" t="s">
        <v>76</v>
      </c>
    </row>
    <row r="73" spans="1:2" ht="18.75" customHeight="1" x14ac:dyDescent="0.2">
      <c r="A73" s="1">
        <v>71</v>
      </c>
      <c r="B73" s="3" t="s">
        <v>77</v>
      </c>
    </row>
    <row r="74" spans="1:2" ht="18.75" customHeight="1" x14ac:dyDescent="0.2">
      <c r="A74" s="8">
        <v>72</v>
      </c>
      <c r="B74" s="2" t="s">
        <v>78</v>
      </c>
    </row>
    <row r="75" spans="1:2" ht="18.75" customHeight="1" x14ac:dyDescent="0.2">
      <c r="A75" s="1">
        <v>73</v>
      </c>
      <c r="B75" s="2" t="s">
        <v>78</v>
      </c>
    </row>
    <row r="76" spans="1:2" ht="18.75" customHeight="1" x14ac:dyDescent="0.2">
      <c r="A76" s="1">
        <v>74</v>
      </c>
      <c r="B76" s="2" t="s">
        <v>79</v>
      </c>
    </row>
    <row r="77" spans="1:2" ht="18.75" customHeight="1" x14ac:dyDescent="0.2">
      <c r="A77" s="1">
        <v>75</v>
      </c>
      <c r="B77" s="2" t="s">
        <v>80</v>
      </c>
    </row>
    <row r="78" spans="1:2" ht="18.75" customHeight="1" x14ac:dyDescent="0.2">
      <c r="A78" s="8">
        <v>76</v>
      </c>
      <c r="B78" s="2" t="s">
        <v>81</v>
      </c>
    </row>
    <row r="79" spans="1:2" ht="18.75" customHeight="1" x14ac:dyDescent="0.2">
      <c r="A79" s="1">
        <v>77</v>
      </c>
      <c r="B79" s="2" t="s">
        <v>82</v>
      </c>
    </row>
    <row r="80" spans="1:2" ht="18.75" customHeight="1" x14ac:dyDescent="0.2">
      <c r="A80" s="1">
        <v>78</v>
      </c>
      <c r="B80" s="2" t="s">
        <v>83</v>
      </c>
    </row>
    <row r="81" spans="1:2" ht="18.75" customHeight="1" x14ac:dyDescent="0.2">
      <c r="A81" s="1">
        <v>79</v>
      </c>
      <c r="B81" s="2" t="s">
        <v>84</v>
      </c>
    </row>
    <row r="82" spans="1:2" ht="18.75" customHeight="1" x14ac:dyDescent="0.2">
      <c r="A82" s="8">
        <v>80</v>
      </c>
      <c r="B82" s="2" t="s">
        <v>85</v>
      </c>
    </row>
    <row r="83" spans="1:2" ht="18.75" customHeight="1" x14ac:dyDescent="0.2">
      <c r="A83" s="1">
        <v>81</v>
      </c>
      <c r="B83" s="2" t="s">
        <v>86</v>
      </c>
    </row>
    <row r="84" spans="1:2" ht="18.75" customHeight="1" x14ac:dyDescent="0.2">
      <c r="A84" s="1">
        <v>82</v>
      </c>
      <c r="B84" s="2" t="s">
        <v>87</v>
      </c>
    </row>
    <row r="85" spans="1:2" ht="18.75" customHeight="1" x14ac:dyDescent="0.2">
      <c r="A85" s="1">
        <v>83</v>
      </c>
      <c r="B85" s="2" t="s">
        <v>88</v>
      </c>
    </row>
    <row r="86" spans="1:2" ht="18.75" customHeight="1" x14ac:dyDescent="0.2">
      <c r="A86" s="8">
        <v>84</v>
      </c>
      <c r="B86" s="2" t="s">
        <v>89</v>
      </c>
    </row>
    <row r="87" spans="1:2" ht="18.75" customHeight="1" x14ac:dyDescent="0.2">
      <c r="A87" s="1">
        <v>85</v>
      </c>
      <c r="B87" s="2" t="s">
        <v>90</v>
      </c>
    </row>
    <row r="88" spans="1:2" ht="18.75" customHeight="1" x14ac:dyDescent="0.2">
      <c r="A88" s="1">
        <v>86</v>
      </c>
      <c r="B88" s="2" t="s">
        <v>91</v>
      </c>
    </row>
    <row r="89" spans="1:2" ht="18.75" customHeight="1" x14ac:dyDescent="0.2">
      <c r="A89" s="1">
        <v>87</v>
      </c>
      <c r="B89" s="2" t="s">
        <v>92</v>
      </c>
    </row>
    <row r="90" spans="1:2" ht="18.75" customHeight="1" x14ac:dyDescent="0.2">
      <c r="A90" s="8">
        <v>88</v>
      </c>
      <c r="B90" s="2" t="s">
        <v>93</v>
      </c>
    </row>
    <row r="91" spans="1:2" ht="18.75" customHeight="1" x14ac:dyDescent="0.2">
      <c r="A91" s="1">
        <v>89</v>
      </c>
      <c r="B91" s="2" t="s">
        <v>94</v>
      </c>
    </row>
    <row r="92" spans="1:2" ht="18.75" customHeight="1" x14ac:dyDescent="0.2">
      <c r="A92" s="1">
        <v>90</v>
      </c>
      <c r="B92" s="2" t="s">
        <v>95</v>
      </c>
    </row>
    <row r="93" spans="1:2" ht="18.75" customHeight="1" x14ac:dyDescent="0.2">
      <c r="A93" s="1">
        <v>91</v>
      </c>
      <c r="B93" s="2" t="s">
        <v>96</v>
      </c>
    </row>
    <row r="94" spans="1:2" ht="18.75" customHeight="1" x14ac:dyDescent="0.2">
      <c r="A94" s="8">
        <v>92</v>
      </c>
      <c r="B94" s="2" t="s">
        <v>97</v>
      </c>
    </row>
    <row r="95" spans="1:2" ht="18.75" customHeight="1" x14ac:dyDescent="0.2">
      <c r="A95" s="1">
        <v>93</v>
      </c>
      <c r="B95" s="2" t="s">
        <v>98</v>
      </c>
    </row>
    <row r="96" spans="1:2" ht="18.75" customHeight="1" x14ac:dyDescent="0.2">
      <c r="A96" s="1">
        <v>94</v>
      </c>
      <c r="B96" s="2" t="s">
        <v>99</v>
      </c>
    </row>
    <row r="97" spans="1:2" ht="18.75" customHeight="1" x14ac:dyDescent="0.2">
      <c r="A97" s="1">
        <v>95</v>
      </c>
      <c r="B97" s="13" t="s">
        <v>100</v>
      </c>
    </row>
    <row r="98" spans="1:2" ht="18.75" customHeight="1" x14ac:dyDescent="0.2">
      <c r="A98" s="8">
        <v>96</v>
      </c>
      <c r="B98" s="2" t="s">
        <v>101</v>
      </c>
    </row>
    <row r="99" spans="1:2" ht="18.75" customHeight="1" x14ac:dyDescent="0.2">
      <c r="A99" s="1">
        <v>97</v>
      </c>
      <c r="B99" s="2" t="s">
        <v>102</v>
      </c>
    </row>
    <row r="100" spans="1:2" ht="18.75" customHeight="1" x14ac:dyDescent="0.2">
      <c r="A100" s="1">
        <v>98</v>
      </c>
      <c r="B100" s="2" t="s">
        <v>103</v>
      </c>
    </row>
    <row r="101" spans="1:2" ht="18.75" customHeight="1" x14ac:dyDescent="0.2">
      <c r="A101" s="1">
        <v>99</v>
      </c>
      <c r="B101" s="13" t="s">
        <v>104</v>
      </c>
    </row>
    <row r="102" spans="1:2" ht="18.75" customHeight="1" x14ac:dyDescent="0.2">
      <c r="A102" s="8">
        <v>100</v>
      </c>
      <c r="B102" s="2" t="s">
        <v>105</v>
      </c>
    </row>
    <row r="103" spans="1:2" ht="18.75" customHeight="1" x14ac:dyDescent="0.2">
      <c r="A103" s="1">
        <v>101</v>
      </c>
      <c r="B103" s="2" t="s">
        <v>106</v>
      </c>
    </row>
    <row r="104" spans="1:2" ht="18.75" customHeight="1" x14ac:dyDescent="0.2">
      <c r="A104" s="1">
        <v>102</v>
      </c>
      <c r="B104" s="2" t="s">
        <v>107</v>
      </c>
    </row>
    <row r="105" spans="1:2" ht="18.75" customHeight="1" x14ac:dyDescent="0.2">
      <c r="A105" s="1">
        <v>103</v>
      </c>
      <c r="B105" s="2" t="s">
        <v>108</v>
      </c>
    </row>
    <row r="106" spans="1:2" ht="18.75" customHeight="1" x14ac:dyDescent="0.2">
      <c r="A106" s="8">
        <v>104</v>
      </c>
      <c r="B106" s="14" t="s">
        <v>383</v>
      </c>
    </row>
    <row r="107" spans="1:2" ht="18.75" customHeight="1" x14ac:dyDescent="0.2">
      <c r="A107" s="1">
        <v>105</v>
      </c>
      <c r="B107" s="2" t="s">
        <v>109</v>
      </c>
    </row>
    <row r="108" spans="1:2" ht="18.75" customHeight="1" x14ac:dyDescent="0.2">
      <c r="A108" s="1">
        <v>106</v>
      </c>
      <c r="B108" s="2" t="s">
        <v>110</v>
      </c>
    </row>
    <row r="109" spans="1:2" ht="18.75" customHeight="1" x14ac:dyDescent="0.2">
      <c r="A109" s="1">
        <v>107</v>
      </c>
      <c r="B109" s="2" t="s">
        <v>111</v>
      </c>
    </row>
    <row r="110" spans="1:2" ht="18.75" customHeight="1" x14ac:dyDescent="0.2">
      <c r="A110" s="8">
        <v>108</v>
      </c>
      <c r="B110" s="13" t="s">
        <v>112</v>
      </c>
    </row>
    <row r="111" spans="1:2" ht="18.75" customHeight="1" x14ac:dyDescent="0.2">
      <c r="A111" s="1">
        <v>109</v>
      </c>
      <c r="B111" s="13" t="s">
        <v>113</v>
      </c>
    </row>
    <row r="112" spans="1:2" ht="18.75" customHeight="1" x14ac:dyDescent="0.2">
      <c r="A112" s="1">
        <v>110</v>
      </c>
      <c r="B112" s="2" t="s">
        <v>114</v>
      </c>
    </row>
    <row r="113" spans="1:2" ht="18.75" customHeight="1" x14ac:dyDescent="0.2">
      <c r="A113" s="1">
        <v>111</v>
      </c>
      <c r="B113" s="2" t="s">
        <v>115</v>
      </c>
    </row>
    <row r="114" spans="1:2" ht="18.75" customHeight="1" x14ac:dyDescent="0.2">
      <c r="A114" s="8">
        <v>112</v>
      </c>
      <c r="B114" s="2" t="s">
        <v>116</v>
      </c>
    </row>
    <row r="115" spans="1:2" ht="18.75" customHeight="1" x14ac:dyDescent="0.2">
      <c r="A115" s="1">
        <v>113</v>
      </c>
      <c r="B115" s="2" t="s">
        <v>117</v>
      </c>
    </row>
    <row r="116" spans="1:2" ht="18.75" customHeight="1" x14ac:dyDescent="0.2">
      <c r="A116" s="1">
        <v>114</v>
      </c>
      <c r="B116" s="2" t="s">
        <v>118</v>
      </c>
    </row>
    <row r="117" spans="1:2" ht="18.75" customHeight="1" x14ac:dyDescent="0.2">
      <c r="A117" s="1">
        <v>115</v>
      </c>
      <c r="B117" s="2" t="s">
        <v>119</v>
      </c>
    </row>
    <row r="118" spans="1:2" ht="18.75" customHeight="1" x14ac:dyDescent="0.2">
      <c r="A118" s="8">
        <v>116</v>
      </c>
      <c r="B118" s="2" t="s">
        <v>120</v>
      </c>
    </row>
    <row r="119" spans="1:2" ht="18.75" customHeight="1" x14ac:dyDescent="0.2">
      <c r="A119" s="1">
        <v>117</v>
      </c>
      <c r="B119" s="2" t="s">
        <v>121</v>
      </c>
    </row>
    <row r="120" spans="1:2" ht="18.75" customHeight="1" x14ac:dyDescent="0.2">
      <c r="A120" s="1">
        <v>118</v>
      </c>
      <c r="B120" s="2" t="s">
        <v>122</v>
      </c>
    </row>
    <row r="121" spans="1:2" ht="18.75" customHeight="1" x14ac:dyDescent="0.2">
      <c r="A121" s="1">
        <v>119</v>
      </c>
      <c r="B121" s="2" t="s">
        <v>123</v>
      </c>
    </row>
    <row r="122" spans="1:2" ht="18.75" customHeight="1" x14ac:dyDescent="0.2">
      <c r="A122" s="8">
        <v>120</v>
      </c>
      <c r="B122" s="2" t="s">
        <v>124</v>
      </c>
    </row>
    <row r="123" spans="1:2" ht="18.75" customHeight="1" x14ac:dyDescent="0.2">
      <c r="A123" s="1">
        <v>121</v>
      </c>
      <c r="B123" s="2" t="s">
        <v>125</v>
      </c>
    </row>
    <row r="124" spans="1:2" ht="18.75" customHeight="1" x14ac:dyDescent="0.2">
      <c r="A124" s="1">
        <v>122</v>
      </c>
      <c r="B124" s="13" t="s">
        <v>126</v>
      </c>
    </row>
    <row r="125" spans="1:2" ht="18.75" customHeight="1" x14ac:dyDescent="0.2">
      <c r="A125" s="1">
        <v>123</v>
      </c>
      <c r="B125" s="13" t="s">
        <v>127</v>
      </c>
    </row>
    <row r="126" spans="1:2" ht="18.75" customHeight="1" x14ac:dyDescent="0.2">
      <c r="A126" s="8">
        <v>124</v>
      </c>
      <c r="B126" s="2" t="s">
        <v>128</v>
      </c>
    </row>
    <row r="127" spans="1:2" ht="18.75" customHeight="1" x14ac:dyDescent="0.2">
      <c r="A127" s="1">
        <v>125</v>
      </c>
      <c r="B127" s="2" t="s">
        <v>129</v>
      </c>
    </row>
    <row r="128" spans="1:2" ht="18.75" customHeight="1" x14ac:dyDescent="0.2">
      <c r="A128" s="1">
        <v>126</v>
      </c>
      <c r="B128" s="2" t="s">
        <v>130</v>
      </c>
    </row>
    <row r="129" spans="1:2" ht="18.75" customHeight="1" x14ac:dyDescent="0.2">
      <c r="A129" s="1">
        <v>127</v>
      </c>
      <c r="B129" s="13" t="s">
        <v>131</v>
      </c>
    </row>
    <row r="130" spans="1:2" ht="18.75" customHeight="1" x14ac:dyDescent="0.2">
      <c r="A130" s="8">
        <v>128</v>
      </c>
      <c r="B130" s="2" t="s">
        <v>132</v>
      </c>
    </row>
    <row r="131" spans="1:2" ht="18.75" customHeight="1" x14ac:dyDescent="0.2">
      <c r="A131" s="1">
        <v>129</v>
      </c>
      <c r="B131" s="2" t="s">
        <v>133</v>
      </c>
    </row>
    <row r="132" spans="1:2" ht="18.75" customHeight="1" x14ac:dyDescent="0.2">
      <c r="A132" s="1">
        <v>130</v>
      </c>
      <c r="B132" s="13" t="s">
        <v>407</v>
      </c>
    </row>
    <row r="133" spans="1:2" ht="18.75" customHeight="1" x14ac:dyDescent="0.2">
      <c r="A133" s="1">
        <v>131</v>
      </c>
      <c r="B133" s="13" t="s">
        <v>134</v>
      </c>
    </row>
    <row r="134" spans="1:2" ht="18.75" customHeight="1" x14ac:dyDescent="0.2">
      <c r="A134" s="8">
        <v>132</v>
      </c>
      <c r="B134" s="2" t="s">
        <v>135</v>
      </c>
    </row>
    <row r="135" spans="1:2" ht="18.75" customHeight="1" x14ac:dyDescent="0.2">
      <c r="A135" s="1">
        <v>133</v>
      </c>
      <c r="B135" s="2" t="s">
        <v>136</v>
      </c>
    </row>
    <row r="136" spans="1:2" ht="18.75" customHeight="1" x14ac:dyDescent="0.2">
      <c r="A136" s="1">
        <v>134</v>
      </c>
      <c r="B136" s="2" t="s">
        <v>137</v>
      </c>
    </row>
    <row r="137" spans="1:2" ht="18.75" customHeight="1" x14ac:dyDescent="0.2">
      <c r="A137" s="1">
        <v>135</v>
      </c>
      <c r="B137" s="2" t="s">
        <v>138</v>
      </c>
    </row>
    <row r="138" spans="1:2" ht="18.75" customHeight="1" x14ac:dyDescent="0.2">
      <c r="A138" s="8">
        <v>136</v>
      </c>
      <c r="B138" s="2" t="s">
        <v>139</v>
      </c>
    </row>
    <row r="139" spans="1:2" ht="18.75" customHeight="1" x14ac:dyDescent="0.2">
      <c r="A139" s="1">
        <v>137</v>
      </c>
      <c r="B139" s="2" t="s">
        <v>140</v>
      </c>
    </row>
    <row r="140" spans="1:2" ht="18.75" customHeight="1" x14ac:dyDescent="0.2">
      <c r="A140" s="1">
        <v>138</v>
      </c>
      <c r="B140" s="2" t="s">
        <v>141</v>
      </c>
    </row>
    <row r="141" spans="1:2" ht="18.75" customHeight="1" x14ac:dyDescent="0.2">
      <c r="A141" s="1">
        <v>139</v>
      </c>
      <c r="B141" s="13" t="s">
        <v>142</v>
      </c>
    </row>
    <row r="142" spans="1:2" ht="18.75" customHeight="1" x14ac:dyDescent="0.2">
      <c r="A142" s="8">
        <v>140</v>
      </c>
      <c r="B142" s="13" t="s">
        <v>143</v>
      </c>
    </row>
    <row r="143" spans="1:2" ht="18.75" customHeight="1" x14ac:dyDescent="0.2">
      <c r="A143" s="1">
        <v>141</v>
      </c>
      <c r="B143" s="2" t="s">
        <v>144</v>
      </c>
    </row>
    <row r="144" spans="1:2" ht="18.75" customHeight="1" x14ac:dyDescent="0.2">
      <c r="A144" s="1">
        <v>142</v>
      </c>
      <c r="B144" s="2" t="s">
        <v>145</v>
      </c>
    </row>
    <row r="145" spans="1:2" ht="18.75" customHeight="1" x14ac:dyDescent="0.2">
      <c r="A145" s="1">
        <v>143</v>
      </c>
      <c r="B145" s="2" t="s">
        <v>146</v>
      </c>
    </row>
    <row r="146" spans="1:2" ht="18.75" customHeight="1" x14ac:dyDescent="0.2">
      <c r="A146" s="8">
        <v>144</v>
      </c>
      <c r="B146" s="2" t="s">
        <v>147</v>
      </c>
    </row>
    <row r="147" spans="1:2" ht="18.75" customHeight="1" x14ac:dyDescent="0.2">
      <c r="A147" s="1">
        <v>145</v>
      </c>
      <c r="B147" s="2" t="s">
        <v>148</v>
      </c>
    </row>
    <row r="148" spans="1:2" ht="18.75" customHeight="1" x14ac:dyDescent="0.2">
      <c r="A148" s="1">
        <v>146</v>
      </c>
      <c r="B148" s="2" t="s">
        <v>149</v>
      </c>
    </row>
    <row r="149" spans="1:2" ht="18.75" customHeight="1" x14ac:dyDescent="0.2">
      <c r="A149" s="1">
        <v>147</v>
      </c>
      <c r="B149" s="2" t="s">
        <v>150</v>
      </c>
    </row>
    <row r="150" spans="1:2" ht="18.75" customHeight="1" x14ac:dyDescent="0.2">
      <c r="A150" s="8">
        <v>148</v>
      </c>
      <c r="B150" s="2" t="s">
        <v>151</v>
      </c>
    </row>
    <row r="151" spans="1:2" ht="18.75" customHeight="1" x14ac:dyDescent="0.2">
      <c r="A151" s="1">
        <v>149</v>
      </c>
      <c r="B151" s="2" t="s">
        <v>152</v>
      </c>
    </row>
    <row r="152" spans="1:2" ht="18.75" customHeight="1" x14ac:dyDescent="0.2">
      <c r="A152" s="1">
        <v>150</v>
      </c>
      <c r="B152" s="2" t="s">
        <v>153</v>
      </c>
    </row>
    <row r="153" spans="1:2" ht="18.75" customHeight="1" x14ac:dyDescent="0.2">
      <c r="A153" s="1">
        <v>151</v>
      </c>
      <c r="B153" s="2" t="s">
        <v>154</v>
      </c>
    </row>
    <row r="154" spans="1:2" ht="18.75" customHeight="1" x14ac:dyDescent="0.2">
      <c r="A154" s="8">
        <v>152</v>
      </c>
      <c r="B154" s="2" t="s">
        <v>155</v>
      </c>
    </row>
    <row r="155" spans="1:2" ht="18.75" customHeight="1" x14ac:dyDescent="0.2">
      <c r="A155" s="1">
        <v>153</v>
      </c>
      <c r="B155" s="2" t="s">
        <v>156</v>
      </c>
    </row>
    <row r="156" spans="1:2" ht="18.75" customHeight="1" x14ac:dyDescent="0.2">
      <c r="A156" s="1">
        <v>154</v>
      </c>
      <c r="B156" s="13" t="s">
        <v>157</v>
      </c>
    </row>
    <row r="157" spans="1:2" ht="18.75" customHeight="1" x14ac:dyDescent="0.2">
      <c r="A157" s="1">
        <v>155</v>
      </c>
      <c r="B157" s="2" t="s">
        <v>158</v>
      </c>
    </row>
    <row r="158" spans="1:2" ht="18.75" customHeight="1" x14ac:dyDescent="0.2">
      <c r="A158" s="8">
        <v>156</v>
      </c>
      <c r="B158" s="2" t="s">
        <v>159</v>
      </c>
    </row>
    <row r="159" spans="1:2" ht="18.75" customHeight="1" x14ac:dyDescent="0.2">
      <c r="A159" s="1">
        <v>157</v>
      </c>
      <c r="B159" s="2" t="s">
        <v>160</v>
      </c>
    </row>
    <row r="160" spans="1:2" ht="18.75" customHeight="1" x14ac:dyDescent="0.2">
      <c r="A160" s="1">
        <v>158</v>
      </c>
      <c r="B160" s="2" t="s">
        <v>161</v>
      </c>
    </row>
    <row r="161" spans="1:2" ht="18.75" customHeight="1" x14ac:dyDescent="0.2">
      <c r="A161" s="1">
        <v>159</v>
      </c>
      <c r="B161" s="2" t="s">
        <v>162</v>
      </c>
    </row>
    <row r="162" spans="1:2" ht="18.75" customHeight="1" x14ac:dyDescent="0.2">
      <c r="A162" s="8">
        <v>160</v>
      </c>
      <c r="B162" s="2" t="s">
        <v>163</v>
      </c>
    </row>
    <row r="163" spans="1:2" ht="18.75" customHeight="1" x14ac:dyDescent="0.2">
      <c r="A163" s="1">
        <v>161</v>
      </c>
      <c r="B163" s="2" t="s">
        <v>164</v>
      </c>
    </row>
    <row r="164" spans="1:2" ht="18.75" customHeight="1" x14ac:dyDescent="0.2">
      <c r="A164" s="1">
        <v>162</v>
      </c>
      <c r="B164" s="2" t="s">
        <v>165</v>
      </c>
    </row>
    <row r="165" spans="1:2" ht="18.75" customHeight="1" x14ac:dyDescent="0.2">
      <c r="A165" s="1">
        <v>163</v>
      </c>
      <c r="B165" s="2" t="s">
        <v>166</v>
      </c>
    </row>
    <row r="166" spans="1:2" ht="18.75" customHeight="1" x14ac:dyDescent="0.2">
      <c r="A166" s="8">
        <v>164</v>
      </c>
      <c r="B166" s="2" t="s">
        <v>167</v>
      </c>
    </row>
    <row r="167" spans="1:2" ht="18.75" customHeight="1" x14ac:dyDescent="0.2">
      <c r="A167" s="1">
        <v>165</v>
      </c>
      <c r="B167" s="13" t="s">
        <v>168</v>
      </c>
    </row>
    <row r="168" spans="1:2" ht="18.75" customHeight="1" x14ac:dyDescent="0.2">
      <c r="A168" s="1">
        <v>166</v>
      </c>
      <c r="B168" s="2" t="s">
        <v>169</v>
      </c>
    </row>
    <row r="169" spans="1:2" ht="18.75" customHeight="1" x14ac:dyDescent="0.2">
      <c r="A169" s="1">
        <v>167</v>
      </c>
      <c r="B169" s="2" t="s">
        <v>170</v>
      </c>
    </row>
    <row r="170" spans="1:2" ht="18.75" customHeight="1" x14ac:dyDescent="0.2">
      <c r="A170" s="8">
        <v>168</v>
      </c>
      <c r="B170" s="2" t="s">
        <v>171</v>
      </c>
    </row>
    <row r="171" spans="1:2" ht="18.75" customHeight="1" x14ac:dyDescent="0.2">
      <c r="A171" s="1">
        <v>169</v>
      </c>
      <c r="B171" s="2" t="s">
        <v>172</v>
      </c>
    </row>
    <row r="172" spans="1:2" ht="18.75" customHeight="1" x14ac:dyDescent="0.2">
      <c r="A172" s="1">
        <v>170</v>
      </c>
      <c r="B172" s="2" t="s">
        <v>173</v>
      </c>
    </row>
    <row r="173" spans="1:2" ht="18.75" customHeight="1" x14ac:dyDescent="0.2">
      <c r="A173" s="1">
        <v>171</v>
      </c>
      <c r="B173" s="2" t="s">
        <v>174</v>
      </c>
    </row>
    <row r="174" spans="1:2" ht="18.75" customHeight="1" x14ac:dyDescent="0.2">
      <c r="A174" s="8">
        <v>172</v>
      </c>
      <c r="B174" s="2" t="s">
        <v>175</v>
      </c>
    </row>
    <row r="175" spans="1:2" ht="18.75" customHeight="1" x14ac:dyDescent="0.2">
      <c r="A175" s="1">
        <v>173</v>
      </c>
      <c r="B175" s="2" t="s">
        <v>176</v>
      </c>
    </row>
    <row r="176" spans="1:2" ht="18.75" customHeight="1" x14ac:dyDescent="0.2">
      <c r="A176" s="1">
        <v>174</v>
      </c>
      <c r="B176" s="2" t="s">
        <v>177</v>
      </c>
    </row>
    <row r="177" spans="1:2" ht="18.75" customHeight="1" x14ac:dyDescent="0.2">
      <c r="A177" s="1">
        <v>175</v>
      </c>
      <c r="B177" s="2" t="s">
        <v>178</v>
      </c>
    </row>
    <row r="178" spans="1:2" ht="18.75" customHeight="1" x14ac:dyDescent="0.2">
      <c r="A178" s="8">
        <v>176</v>
      </c>
      <c r="B178" s="2" t="s">
        <v>179</v>
      </c>
    </row>
    <row r="179" spans="1:2" ht="18.75" customHeight="1" x14ac:dyDescent="0.2">
      <c r="A179" s="1">
        <v>177</v>
      </c>
      <c r="B179" s="2" t="s">
        <v>180</v>
      </c>
    </row>
    <row r="180" spans="1:2" ht="18.75" customHeight="1" x14ac:dyDescent="0.2">
      <c r="A180" s="1">
        <v>178</v>
      </c>
      <c r="B180" s="2" t="s">
        <v>181</v>
      </c>
    </row>
    <row r="181" spans="1:2" ht="18.75" customHeight="1" x14ac:dyDescent="0.2">
      <c r="A181" s="1">
        <v>179</v>
      </c>
      <c r="B181" s="2" t="s">
        <v>182</v>
      </c>
    </row>
    <row r="182" spans="1:2" ht="18.75" customHeight="1" x14ac:dyDescent="0.2">
      <c r="A182" s="8">
        <v>180</v>
      </c>
      <c r="B182" s="2" t="s">
        <v>183</v>
      </c>
    </row>
    <row r="183" spans="1:2" ht="18.75" customHeight="1" x14ac:dyDescent="0.2">
      <c r="A183" s="1">
        <v>181</v>
      </c>
      <c r="B183" s="2" t="s">
        <v>184</v>
      </c>
    </row>
    <row r="184" spans="1:2" ht="18.75" customHeight="1" x14ac:dyDescent="0.2">
      <c r="A184" s="1">
        <v>182</v>
      </c>
      <c r="B184" s="2" t="s">
        <v>185</v>
      </c>
    </row>
    <row r="185" spans="1:2" ht="18.75" customHeight="1" x14ac:dyDescent="0.2">
      <c r="A185" s="1">
        <v>183</v>
      </c>
      <c r="B185" s="2" t="s">
        <v>6</v>
      </c>
    </row>
    <row r="186" spans="1:2" ht="18.75" customHeight="1" x14ac:dyDescent="0.2">
      <c r="A186" s="8">
        <v>184</v>
      </c>
      <c r="B186" s="2" t="s">
        <v>186</v>
      </c>
    </row>
    <row r="187" spans="1:2" ht="18.75" customHeight="1" x14ac:dyDescent="0.2">
      <c r="A187" s="1">
        <v>185</v>
      </c>
      <c r="B187" s="2" t="s">
        <v>187</v>
      </c>
    </row>
    <row r="188" spans="1:2" ht="18.75" customHeight="1" x14ac:dyDescent="0.2">
      <c r="A188" s="1">
        <v>186</v>
      </c>
      <c r="B188" s="2" t="s">
        <v>188</v>
      </c>
    </row>
    <row r="189" spans="1:2" ht="18.75" customHeight="1" x14ac:dyDescent="0.2">
      <c r="A189" s="1">
        <v>187</v>
      </c>
      <c r="B189" s="2" t="s">
        <v>189</v>
      </c>
    </row>
    <row r="190" spans="1:2" ht="18.75" customHeight="1" x14ac:dyDescent="0.2">
      <c r="A190" s="8">
        <v>188</v>
      </c>
      <c r="B190" s="2" t="s">
        <v>190</v>
      </c>
    </row>
    <row r="191" spans="1:2" ht="18.75" customHeight="1" x14ac:dyDescent="0.2">
      <c r="A191" s="1">
        <v>189</v>
      </c>
      <c r="B191" s="13" t="s">
        <v>191</v>
      </c>
    </row>
    <row r="192" spans="1:2" ht="18.75" customHeight="1" x14ac:dyDescent="0.2">
      <c r="A192" s="1">
        <v>190</v>
      </c>
      <c r="B192" s="2" t="s">
        <v>192</v>
      </c>
    </row>
    <row r="193" spans="1:2" ht="18.75" customHeight="1" x14ac:dyDescent="0.2">
      <c r="A193" s="1">
        <v>191</v>
      </c>
      <c r="B193" s="2" t="s">
        <v>193</v>
      </c>
    </row>
    <row r="194" spans="1:2" ht="18.75" customHeight="1" x14ac:dyDescent="0.2">
      <c r="A194" s="8">
        <v>192</v>
      </c>
      <c r="B194" s="2" t="s">
        <v>194</v>
      </c>
    </row>
    <row r="195" spans="1:2" ht="18.75" customHeight="1" x14ac:dyDescent="0.2">
      <c r="A195" s="1">
        <v>193</v>
      </c>
      <c r="B195" s="2" t="s">
        <v>195</v>
      </c>
    </row>
    <row r="196" spans="1:2" ht="18.75" customHeight="1" x14ac:dyDescent="0.2">
      <c r="A196" s="1">
        <v>194</v>
      </c>
      <c r="B196" s="2" t="s">
        <v>196</v>
      </c>
    </row>
    <row r="197" spans="1:2" ht="18.75" customHeight="1" x14ac:dyDescent="0.2">
      <c r="A197" s="1">
        <v>195</v>
      </c>
      <c r="B197" s="2" t="s">
        <v>197</v>
      </c>
    </row>
    <row r="198" spans="1:2" ht="18.75" customHeight="1" x14ac:dyDescent="0.2">
      <c r="A198" s="8">
        <v>196</v>
      </c>
      <c r="B198" s="2" t="s">
        <v>198</v>
      </c>
    </row>
    <row r="199" spans="1:2" ht="18.75" customHeight="1" x14ac:dyDescent="0.2">
      <c r="A199" s="1">
        <v>197</v>
      </c>
      <c r="B199" s="13" t="s">
        <v>199</v>
      </c>
    </row>
    <row r="200" spans="1:2" ht="18.75" customHeight="1" x14ac:dyDescent="0.2">
      <c r="A200" s="1">
        <v>198</v>
      </c>
      <c r="B200" s="2" t="s">
        <v>200</v>
      </c>
    </row>
    <row r="201" spans="1:2" ht="18.75" customHeight="1" x14ac:dyDescent="0.2">
      <c r="A201" s="1">
        <v>199</v>
      </c>
      <c r="B201" s="13" t="s">
        <v>201</v>
      </c>
    </row>
    <row r="202" spans="1:2" ht="18.75" customHeight="1" x14ac:dyDescent="0.2">
      <c r="A202" s="8">
        <v>200</v>
      </c>
      <c r="B202" s="2" t="s">
        <v>202</v>
      </c>
    </row>
    <row r="203" spans="1:2" ht="18.75" customHeight="1" x14ac:dyDescent="0.2">
      <c r="A203" s="1">
        <v>201</v>
      </c>
      <c r="B203" s="13" t="s">
        <v>203</v>
      </c>
    </row>
    <row r="204" spans="1:2" ht="18.75" customHeight="1" x14ac:dyDescent="0.2">
      <c r="A204" s="1">
        <v>202</v>
      </c>
      <c r="B204" s="13" t="s">
        <v>204</v>
      </c>
    </row>
    <row r="205" spans="1:2" ht="18.75" customHeight="1" x14ac:dyDescent="0.2">
      <c r="A205" s="1">
        <v>203</v>
      </c>
      <c r="B205" s="2" t="s">
        <v>205</v>
      </c>
    </row>
    <row r="206" spans="1:2" ht="18.75" customHeight="1" x14ac:dyDescent="0.2">
      <c r="A206" s="8">
        <v>204</v>
      </c>
      <c r="B206" s="2" t="s">
        <v>206</v>
      </c>
    </row>
    <row r="207" spans="1:2" ht="18.75" customHeight="1" x14ac:dyDescent="0.2">
      <c r="A207" s="1">
        <v>205</v>
      </c>
      <c r="B207" s="2" t="s">
        <v>207</v>
      </c>
    </row>
    <row r="208" spans="1:2" ht="18.75" customHeight="1" x14ac:dyDescent="0.2">
      <c r="A208" s="1">
        <v>206</v>
      </c>
      <c r="B208" s="2" t="s">
        <v>208</v>
      </c>
    </row>
    <row r="209" spans="1:2" ht="18.75" customHeight="1" x14ac:dyDescent="0.2">
      <c r="A209" s="1">
        <v>207</v>
      </c>
      <c r="B209" s="2" t="s">
        <v>209</v>
      </c>
    </row>
    <row r="210" spans="1:2" ht="18.75" customHeight="1" x14ac:dyDescent="0.2">
      <c r="A210" s="8">
        <v>208</v>
      </c>
      <c r="B210" s="2" t="s">
        <v>210</v>
      </c>
    </row>
    <row r="211" spans="1:2" ht="18.75" customHeight="1" x14ac:dyDescent="0.2">
      <c r="A211" s="1">
        <v>209</v>
      </c>
      <c r="B211" s="2" t="s">
        <v>211</v>
      </c>
    </row>
    <row r="212" spans="1:2" ht="18.75" customHeight="1" x14ac:dyDescent="0.2">
      <c r="A212" s="1">
        <v>210</v>
      </c>
      <c r="B212" s="2" t="s">
        <v>212</v>
      </c>
    </row>
    <row r="213" spans="1:2" ht="18.75" customHeight="1" x14ac:dyDescent="0.2">
      <c r="A213" s="1">
        <v>211</v>
      </c>
      <c r="B213" s="13" t="s">
        <v>213</v>
      </c>
    </row>
    <row r="214" spans="1:2" ht="18.75" customHeight="1" x14ac:dyDescent="0.2">
      <c r="A214" s="8">
        <v>212</v>
      </c>
      <c r="B214" s="2" t="s">
        <v>214</v>
      </c>
    </row>
    <row r="215" spans="1:2" ht="18.75" customHeight="1" x14ac:dyDescent="0.2">
      <c r="A215" s="1">
        <v>213</v>
      </c>
      <c r="B215" s="2" t="s">
        <v>215</v>
      </c>
    </row>
    <row r="216" spans="1:2" ht="18.75" customHeight="1" x14ac:dyDescent="0.2">
      <c r="A216" s="1">
        <v>214</v>
      </c>
      <c r="B216" s="2" t="s">
        <v>216</v>
      </c>
    </row>
    <row r="217" spans="1:2" ht="18.75" customHeight="1" x14ac:dyDescent="0.2">
      <c r="A217" s="1">
        <v>215</v>
      </c>
      <c r="B217" s="13" t="s">
        <v>217</v>
      </c>
    </row>
    <row r="218" spans="1:2" ht="18.75" customHeight="1" x14ac:dyDescent="0.2">
      <c r="A218" s="8">
        <v>216</v>
      </c>
      <c r="B218" s="13" t="s">
        <v>218</v>
      </c>
    </row>
    <row r="219" spans="1:2" ht="18.75" customHeight="1" x14ac:dyDescent="0.2">
      <c r="A219" s="1">
        <v>217</v>
      </c>
      <c r="B219" s="2" t="s">
        <v>219</v>
      </c>
    </row>
    <row r="220" spans="1:2" ht="18.75" customHeight="1" x14ac:dyDescent="0.2">
      <c r="A220" s="1">
        <v>218</v>
      </c>
      <c r="B220" s="2" t="s">
        <v>220</v>
      </c>
    </row>
    <row r="221" spans="1:2" ht="18.75" customHeight="1" x14ac:dyDescent="0.2">
      <c r="A221" s="1">
        <v>219</v>
      </c>
      <c r="B221" s="2" t="s">
        <v>221</v>
      </c>
    </row>
    <row r="222" spans="1:2" ht="18.75" customHeight="1" x14ac:dyDescent="0.2">
      <c r="A222" s="8">
        <v>220</v>
      </c>
      <c r="B222" s="2" t="s">
        <v>222</v>
      </c>
    </row>
    <row r="223" spans="1:2" ht="18.75" customHeight="1" x14ac:dyDescent="0.2">
      <c r="A223" s="1">
        <v>221</v>
      </c>
      <c r="B223" s="13" t="s">
        <v>223</v>
      </c>
    </row>
    <row r="224" spans="1:2" ht="18.75" customHeight="1" x14ac:dyDescent="0.2">
      <c r="A224" s="1">
        <v>222</v>
      </c>
      <c r="B224" s="13" t="s">
        <v>224</v>
      </c>
    </row>
    <row r="225" spans="1:2" ht="18.75" customHeight="1" x14ac:dyDescent="0.2">
      <c r="A225" s="1">
        <v>223</v>
      </c>
      <c r="B225" s="13" t="s">
        <v>225</v>
      </c>
    </row>
    <row r="226" spans="1:2" ht="18.75" customHeight="1" x14ac:dyDescent="0.2">
      <c r="A226" s="8">
        <v>224</v>
      </c>
      <c r="B226" s="13" t="s">
        <v>372</v>
      </c>
    </row>
    <row r="227" spans="1:2" ht="18.75" customHeight="1" x14ac:dyDescent="0.2">
      <c r="A227" s="1">
        <v>225</v>
      </c>
      <c r="B227" s="2" t="s">
        <v>226</v>
      </c>
    </row>
    <row r="228" spans="1:2" ht="18.75" customHeight="1" x14ac:dyDescent="0.2">
      <c r="A228" s="1">
        <v>226</v>
      </c>
      <c r="B228" s="13" t="s">
        <v>227</v>
      </c>
    </row>
    <row r="229" spans="1:2" ht="18.75" customHeight="1" x14ac:dyDescent="0.2">
      <c r="A229" s="1">
        <v>227</v>
      </c>
      <c r="B229" s="2" t="s">
        <v>228</v>
      </c>
    </row>
    <row r="230" spans="1:2" ht="18.75" customHeight="1" x14ac:dyDescent="0.2">
      <c r="A230" s="8">
        <v>228</v>
      </c>
      <c r="B230" s="14" t="s">
        <v>382</v>
      </c>
    </row>
    <row r="231" spans="1:2" ht="18.75" customHeight="1" x14ac:dyDescent="0.2">
      <c r="A231" s="1">
        <v>229</v>
      </c>
      <c r="B231" s="13" t="s">
        <v>229</v>
      </c>
    </row>
    <row r="232" spans="1:2" ht="18.75" customHeight="1" x14ac:dyDescent="0.2">
      <c r="A232" s="1">
        <v>230</v>
      </c>
      <c r="B232" s="2" t="s">
        <v>230</v>
      </c>
    </row>
    <row r="233" spans="1:2" ht="18.75" customHeight="1" x14ac:dyDescent="0.2">
      <c r="A233" s="1">
        <v>231</v>
      </c>
      <c r="B233" s="13" t="s">
        <v>231</v>
      </c>
    </row>
    <row r="234" spans="1:2" ht="18.75" customHeight="1" x14ac:dyDescent="0.2">
      <c r="A234" s="8">
        <v>232</v>
      </c>
      <c r="B234" s="13" t="s">
        <v>232</v>
      </c>
    </row>
    <row r="235" spans="1:2" ht="18.75" customHeight="1" x14ac:dyDescent="0.2">
      <c r="A235" s="1">
        <v>233</v>
      </c>
      <c r="B235" s="13" t="s">
        <v>233</v>
      </c>
    </row>
    <row r="236" spans="1:2" ht="18.75" customHeight="1" x14ac:dyDescent="0.2">
      <c r="A236" s="1">
        <v>234</v>
      </c>
      <c r="B236" s="13" t="s">
        <v>234</v>
      </c>
    </row>
    <row r="237" spans="1:2" ht="18.75" customHeight="1" x14ac:dyDescent="0.2">
      <c r="A237" s="1">
        <v>235</v>
      </c>
      <c r="B237" s="13" t="s">
        <v>235</v>
      </c>
    </row>
    <row r="238" spans="1:2" ht="18.75" customHeight="1" x14ac:dyDescent="0.2">
      <c r="A238" s="8">
        <v>236</v>
      </c>
      <c r="B238" s="13" t="s">
        <v>236</v>
      </c>
    </row>
    <row r="239" spans="1:2" ht="18.75" customHeight="1" x14ac:dyDescent="0.2">
      <c r="A239" s="1">
        <v>237</v>
      </c>
      <c r="B239" s="13" t="s">
        <v>237</v>
      </c>
    </row>
    <row r="240" spans="1:2" ht="18.75" customHeight="1" x14ac:dyDescent="0.2">
      <c r="A240" s="1">
        <v>238</v>
      </c>
      <c r="B240" s="13" t="s">
        <v>238</v>
      </c>
    </row>
    <row r="241" spans="1:2" ht="18.75" customHeight="1" x14ac:dyDescent="0.2">
      <c r="A241" s="1">
        <v>239</v>
      </c>
      <c r="B241" s="13" t="s">
        <v>239</v>
      </c>
    </row>
    <row r="242" spans="1:2" ht="18.75" customHeight="1" x14ac:dyDescent="0.2">
      <c r="A242" s="8">
        <v>240</v>
      </c>
      <c r="B242" s="13" t="s">
        <v>240</v>
      </c>
    </row>
    <row r="243" spans="1:2" ht="18.75" customHeight="1" x14ac:dyDescent="0.2">
      <c r="A243" s="1">
        <v>241</v>
      </c>
      <c r="B243" s="13" t="s">
        <v>241</v>
      </c>
    </row>
    <row r="244" spans="1:2" ht="18.75" customHeight="1" x14ac:dyDescent="0.2">
      <c r="A244" s="1">
        <v>242</v>
      </c>
      <c r="B244" s="13" t="s">
        <v>242</v>
      </c>
    </row>
    <row r="245" spans="1:2" ht="18.75" customHeight="1" x14ac:dyDescent="0.2">
      <c r="A245" s="1">
        <v>243</v>
      </c>
      <c r="B245" s="2" t="s">
        <v>243</v>
      </c>
    </row>
    <row r="246" spans="1:2" ht="18.75" customHeight="1" x14ac:dyDescent="0.2">
      <c r="A246" s="8">
        <v>244</v>
      </c>
      <c r="B246" s="13" t="s">
        <v>244</v>
      </c>
    </row>
    <row r="247" spans="1:2" ht="18.75" customHeight="1" x14ac:dyDescent="0.2">
      <c r="A247" s="1">
        <v>245</v>
      </c>
      <c r="B247" s="13" t="s">
        <v>245</v>
      </c>
    </row>
    <row r="248" spans="1:2" ht="18.75" customHeight="1" x14ac:dyDescent="0.2">
      <c r="A248" s="1">
        <v>246</v>
      </c>
      <c r="B248" s="13" t="s">
        <v>246</v>
      </c>
    </row>
    <row r="249" spans="1:2" ht="18.75" customHeight="1" x14ac:dyDescent="0.2">
      <c r="A249" s="1">
        <v>247</v>
      </c>
      <c r="B249" s="2" t="s">
        <v>247</v>
      </c>
    </row>
    <row r="250" spans="1:2" ht="18.75" customHeight="1" x14ac:dyDescent="0.2">
      <c r="A250" s="8">
        <v>248</v>
      </c>
      <c r="B250" s="13" t="s">
        <v>248</v>
      </c>
    </row>
    <row r="251" spans="1:2" ht="18.75" customHeight="1" x14ac:dyDescent="0.2">
      <c r="A251" s="1">
        <v>249</v>
      </c>
      <c r="B251" s="13" t="s">
        <v>249</v>
      </c>
    </row>
    <row r="252" spans="1:2" ht="18.75" customHeight="1" x14ac:dyDescent="0.2">
      <c r="A252" s="1">
        <v>250</v>
      </c>
      <c r="B252" s="13" t="s">
        <v>248</v>
      </c>
    </row>
    <row r="253" spans="1:2" ht="18.75" customHeight="1" x14ac:dyDescent="0.2">
      <c r="A253" s="1">
        <v>251</v>
      </c>
      <c r="B253" s="13" t="s">
        <v>250</v>
      </c>
    </row>
    <row r="254" spans="1:2" ht="18.75" customHeight="1" x14ac:dyDescent="0.2">
      <c r="A254" s="8">
        <v>252</v>
      </c>
      <c r="B254" s="13" t="s">
        <v>251</v>
      </c>
    </row>
    <row r="255" spans="1:2" ht="18.75" customHeight="1" x14ac:dyDescent="0.2">
      <c r="A255" s="1">
        <v>253</v>
      </c>
      <c r="B255" s="13" t="s">
        <v>251</v>
      </c>
    </row>
    <row r="256" spans="1:2" ht="18.75" customHeight="1" x14ac:dyDescent="0.2">
      <c r="A256" s="1">
        <v>254</v>
      </c>
      <c r="B256" s="2" t="s">
        <v>252</v>
      </c>
    </row>
    <row r="257" spans="1:2" ht="18.75" customHeight="1" x14ac:dyDescent="0.2">
      <c r="A257" s="1">
        <v>255</v>
      </c>
      <c r="B257" s="13" t="s">
        <v>253</v>
      </c>
    </row>
    <row r="258" spans="1:2" ht="18.75" customHeight="1" x14ac:dyDescent="0.2">
      <c r="A258" s="8">
        <v>256</v>
      </c>
      <c r="B258" s="13" t="s">
        <v>254</v>
      </c>
    </row>
    <row r="259" spans="1:2" ht="18.75" customHeight="1" x14ac:dyDescent="0.2">
      <c r="A259" s="1">
        <v>257</v>
      </c>
      <c r="B259" s="2" t="s">
        <v>53</v>
      </c>
    </row>
    <row r="260" spans="1:2" ht="18.75" customHeight="1" x14ac:dyDescent="0.2">
      <c r="A260" s="1">
        <v>258</v>
      </c>
      <c r="B260" s="13" t="s">
        <v>255</v>
      </c>
    </row>
    <row r="261" spans="1:2" ht="18.75" customHeight="1" x14ac:dyDescent="0.2">
      <c r="A261" s="1">
        <v>259</v>
      </c>
      <c r="B261" s="2" t="s">
        <v>256</v>
      </c>
    </row>
    <row r="262" spans="1:2" ht="18.75" customHeight="1" x14ac:dyDescent="0.2">
      <c r="A262" s="8">
        <v>260</v>
      </c>
      <c r="B262" s="2" t="s">
        <v>257</v>
      </c>
    </row>
    <row r="263" spans="1:2" ht="18.75" customHeight="1" x14ac:dyDescent="0.2">
      <c r="A263" s="1">
        <v>261</v>
      </c>
      <c r="B263" s="13" t="s">
        <v>258</v>
      </c>
    </row>
    <row r="264" spans="1:2" ht="18.75" customHeight="1" x14ac:dyDescent="0.2">
      <c r="A264" s="1">
        <v>262</v>
      </c>
      <c r="B264" s="13" t="s">
        <v>259</v>
      </c>
    </row>
    <row r="265" spans="1:2" ht="18.75" customHeight="1" x14ac:dyDescent="0.2">
      <c r="A265" s="1">
        <v>263</v>
      </c>
      <c r="B265" s="13" t="s">
        <v>260</v>
      </c>
    </row>
    <row r="266" spans="1:2" ht="18.75" customHeight="1" x14ac:dyDescent="0.2">
      <c r="A266" s="8">
        <v>264</v>
      </c>
      <c r="B266" s="13" t="s">
        <v>261</v>
      </c>
    </row>
    <row r="267" spans="1:2" ht="18.75" customHeight="1" x14ac:dyDescent="0.2">
      <c r="A267" s="1">
        <v>265</v>
      </c>
      <c r="B267" s="13" t="s">
        <v>262</v>
      </c>
    </row>
    <row r="268" spans="1:2" ht="18.75" customHeight="1" x14ac:dyDescent="0.2">
      <c r="A268" s="1">
        <v>266</v>
      </c>
      <c r="B268" s="13" t="s">
        <v>263</v>
      </c>
    </row>
    <row r="269" spans="1:2" ht="18.75" customHeight="1" x14ac:dyDescent="0.2">
      <c r="A269" s="1">
        <v>267</v>
      </c>
      <c r="B269" s="13" t="s">
        <v>264</v>
      </c>
    </row>
    <row r="270" spans="1:2" ht="18.75" customHeight="1" x14ac:dyDescent="0.2">
      <c r="A270" s="8">
        <v>268</v>
      </c>
      <c r="B270" s="13" t="s">
        <v>269</v>
      </c>
    </row>
    <row r="271" spans="1:2" ht="18.75" customHeight="1" x14ac:dyDescent="0.2">
      <c r="A271" s="1">
        <v>269</v>
      </c>
      <c r="B271" s="13" t="s">
        <v>270</v>
      </c>
    </row>
    <row r="272" spans="1:2" ht="18.75" customHeight="1" x14ac:dyDescent="0.2">
      <c r="A272" s="1">
        <v>270</v>
      </c>
      <c r="B272" s="14" t="s">
        <v>402</v>
      </c>
    </row>
    <row r="273" spans="1:2" ht="18.75" customHeight="1" x14ac:dyDescent="0.2">
      <c r="A273" s="1">
        <v>271</v>
      </c>
      <c r="B273" s="2" t="s">
        <v>271</v>
      </c>
    </row>
    <row r="274" spans="1:2" ht="18.75" customHeight="1" x14ac:dyDescent="0.2">
      <c r="A274" s="8">
        <v>272</v>
      </c>
      <c r="B274" s="13" t="s">
        <v>272</v>
      </c>
    </row>
    <row r="275" spans="1:2" ht="18.75" customHeight="1" x14ac:dyDescent="0.2">
      <c r="A275" s="1">
        <v>273</v>
      </c>
      <c r="B275" s="13" t="s">
        <v>273</v>
      </c>
    </row>
    <row r="276" spans="1:2" ht="18.75" customHeight="1" x14ac:dyDescent="0.2">
      <c r="A276" s="1">
        <v>274</v>
      </c>
      <c r="B276" s="13" t="s">
        <v>304</v>
      </c>
    </row>
    <row r="277" spans="1:2" ht="18.75" customHeight="1" x14ac:dyDescent="0.2">
      <c r="A277" s="1">
        <v>275</v>
      </c>
      <c r="B277" s="13" t="s">
        <v>305</v>
      </c>
    </row>
    <row r="278" spans="1:2" ht="18.75" customHeight="1" x14ac:dyDescent="0.2">
      <c r="A278" s="8">
        <v>276</v>
      </c>
      <c r="B278" s="13" t="s">
        <v>306</v>
      </c>
    </row>
    <row r="279" spans="1:2" ht="18.75" customHeight="1" x14ac:dyDescent="0.2">
      <c r="A279" s="1">
        <v>277</v>
      </c>
      <c r="B279" s="13" t="s">
        <v>307</v>
      </c>
    </row>
    <row r="280" spans="1:2" ht="18.75" customHeight="1" x14ac:dyDescent="0.2">
      <c r="A280" s="1">
        <v>278</v>
      </c>
      <c r="B280" s="13" t="s">
        <v>308</v>
      </c>
    </row>
    <row r="281" spans="1:2" ht="18.75" customHeight="1" x14ac:dyDescent="0.2">
      <c r="A281" s="1">
        <v>279</v>
      </c>
      <c r="B281" s="13" t="s">
        <v>309</v>
      </c>
    </row>
    <row r="282" spans="1:2" ht="18.75" customHeight="1" x14ac:dyDescent="0.2">
      <c r="A282" s="8">
        <v>280</v>
      </c>
      <c r="B282" s="14" t="s">
        <v>310</v>
      </c>
    </row>
    <row r="283" spans="1:2" ht="18.75" customHeight="1" x14ac:dyDescent="0.2">
      <c r="A283" s="1">
        <v>281</v>
      </c>
      <c r="B283" s="13" t="s">
        <v>311</v>
      </c>
    </row>
    <row r="284" spans="1:2" ht="18.75" customHeight="1" x14ac:dyDescent="0.2">
      <c r="A284" s="1">
        <v>282</v>
      </c>
      <c r="B284" s="14" t="s">
        <v>312</v>
      </c>
    </row>
    <row r="285" spans="1:2" ht="18.75" customHeight="1" x14ac:dyDescent="0.2">
      <c r="A285" s="1">
        <v>283</v>
      </c>
      <c r="B285" s="14" t="s">
        <v>313</v>
      </c>
    </row>
    <row r="286" spans="1:2" ht="18.75" customHeight="1" x14ac:dyDescent="0.2">
      <c r="A286" s="8">
        <v>284</v>
      </c>
      <c r="B286" s="14" t="s">
        <v>314</v>
      </c>
    </row>
    <row r="287" spans="1:2" ht="18.75" customHeight="1" x14ac:dyDescent="0.2">
      <c r="A287" s="1">
        <v>285</v>
      </c>
      <c r="B287" s="14" t="s">
        <v>315</v>
      </c>
    </row>
    <row r="288" spans="1:2" ht="18.75" customHeight="1" x14ac:dyDescent="0.2">
      <c r="A288" s="1">
        <v>286</v>
      </c>
      <c r="B288" s="2" t="s">
        <v>316</v>
      </c>
    </row>
    <row r="289" spans="1:2" ht="18.75" customHeight="1" x14ac:dyDescent="0.2">
      <c r="A289" s="1">
        <v>287</v>
      </c>
      <c r="B289" s="13" t="s">
        <v>317</v>
      </c>
    </row>
    <row r="290" spans="1:2" ht="18.75" customHeight="1" x14ac:dyDescent="0.2">
      <c r="A290" s="8">
        <v>288</v>
      </c>
      <c r="B290" s="13" t="s">
        <v>318</v>
      </c>
    </row>
    <row r="291" spans="1:2" ht="18.75" customHeight="1" x14ac:dyDescent="0.2">
      <c r="A291" s="1">
        <v>289</v>
      </c>
      <c r="B291" s="10" t="s">
        <v>320</v>
      </c>
    </row>
    <row r="292" spans="1:2" ht="18.75" customHeight="1" x14ac:dyDescent="0.2">
      <c r="A292" s="8">
        <v>290</v>
      </c>
      <c r="B292" s="9" t="s">
        <v>321</v>
      </c>
    </row>
    <row r="293" spans="1:2" ht="18.75" customHeight="1" x14ac:dyDescent="0.2">
      <c r="A293" s="1">
        <v>291</v>
      </c>
      <c r="B293" s="9" t="s">
        <v>319</v>
      </c>
    </row>
    <row r="294" spans="1:2" ht="18.75" customHeight="1" x14ac:dyDescent="0.2">
      <c r="A294" s="8">
        <v>292</v>
      </c>
      <c r="B294" s="14" t="s">
        <v>322</v>
      </c>
    </row>
    <row r="295" spans="1:2" ht="18.75" customHeight="1" x14ac:dyDescent="0.2">
      <c r="A295" s="1">
        <v>293</v>
      </c>
      <c r="B295" s="14" t="s">
        <v>323</v>
      </c>
    </row>
    <row r="296" spans="1:2" ht="18.75" customHeight="1" x14ac:dyDescent="0.2">
      <c r="A296" s="1">
        <v>294</v>
      </c>
      <c r="B296" s="14" t="s">
        <v>324</v>
      </c>
    </row>
    <row r="297" spans="1:2" ht="18.75" customHeight="1" x14ac:dyDescent="0.2">
      <c r="A297" s="1">
        <v>295</v>
      </c>
      <c r="B297" s="14" t="s">
        <v>325</v>
      </c>
    </row>
    <row r="298" spans="1:2" ht="18.75" customHeight="1" x14ac:dyDescent="0.2">
      <c r="A298" s="8">
        <v>296</v>
      </c>
      <c r="B298" s="14" t="s">
        <v>326</v>
      </c>
    </row>
    <row r="299" spans="1:2" ht="18.75" customHeight="1" x14ac:dyDescent="0.2">
      <c r="A299" s="1">
        <v>297</v>
      </c>
      <c r="B299" s="13" t="s">
        <v>327</v>
      </c>
    </row>
    <row r="300" spans="1:2" ht="18.75" customHeight="1" x14ac:dyDescent="0.2">
      <c r="A300" s="1">
        <v>298</v>
      </c>
      <c r="B300" s="13" t="s">
        <v>328</v>
      </c>
    </row>
    <row r="301" spans="1:2" ht="18.75" customHeight="1" x14ac:dyDescent="0.2">
      <c r="A301" s="1">
        <v>299</v>
      </c>
      <c r="B301" s="13" t="s">
        <v>329</v>
      </c>
    </row>
    <row r="302" spans="1:2" ht="18.75" customHeight="1" x14ac:dyDescent="0.2">
      <c r="A302" s="8">
        <v>300</v>
      </c>
      <c r="B302" s="14" t="s">
        <v>330</v>
      </c>
    </row>
    <row r="303" spans="1:2" ht="18.75" customHeight="1" x14ac:dyDescent="0.2">
      <c r="A303" s="1">
        <v>301</v>
      </c>
      <c r="B303" s="14" t="s">
        <v>365</v>
      </c>
    </row>
    <row r="304" spans="1:2" ht="18.75" customHeight="1" x14ac:dyDescent="0.2">
      <c r="A304" s="1">
        <v>302</v>
      </c>
      <c r="B304" s="14" t="s">
        <v>366</v>
      </c>
    </row>
    <row r="305" spans="1:2" ht="18.75" customHeight="1" x14ac:dyDescent="0.2">
      <c r="A305" s="1">
        <v>303</v>
      </c>
      <c r="B305" s="2" t="s">
        <v>367</v>
      </c>
    </row>
    <row r="306" spans="1:2" ht="18.75" customHeight="1" x14ac:dyDescent="0.2">
      <c r="A306" s="8">
        <v>304</v>
      </c>
      <c r="B306" s="14" t="s">
        <v>368</v>
      </c>
    </row>
    <row r="307" spans="1:2" ht="18.75" customHeight="1" x14ac:dyDescent="0.2">
      <c r="A307" s="1">
        <v>305</v>
      </c>
      <c r="B307" s="14" t="s">
        <v>369</v>
      </c>
    </row>
    <row r="308" spans="1:2" ht="18.75" customHeight="1" x14ac:dyDescent="0.2">
      <c r="A308" s="1">
        <v>306</v>
      </c>
      <c r="B308" s="14" t="s">
        <v>370</v>
      </c>
    </row>
    <row r="309" spans="1:2" ht="18.75" customHeight="1" x14ac:dyDescent="0.2">
      <c r="A309" s="2">
        <v>307</v>
      </c>
      <c r="B309" s="14" t="s">
        <v>371</v>
      </c>
    </row>
    <row r="310" spans="1:2" ht="18.75" customHeight="1" x14ac:dyDescent="0.2">
      <c r="A310" s="2">
        <v>308</v>
      </c>
      <c r="B310" s="14" t="s">
        <v>373</v>
      </c>
    </row>
    <row r="311" spans="1:2" ht="18.75" customHeight="1" x14ac:dyDescent="0.2">
      <c r="A311" s="2">
        <v>309</v>
      </c>
      <c r="B311" s="14" t="s">
        <v>374</v>
      </c>
    </row>
    <row r="312" spans="1:2" ht="18.75" customHeight="1" x14ac:dyDescent="0.2">
      <c r="A312" s="2">
        <v>310</v>
      </c>
      <c r="B312" s="2" t="s">
        <v>375</v>
      </c>
    </row>
    <row r="313" spans="1:2" ht="18.75" customHeight="1" x14ac:dyDescent="0.2">
      <c r="A313" s="2">
        <v>311</v>
      </c>
      <c r="B313" s="14" t="s">
        <v>376</v>
      </c>
    </row>
    <row r="314" spans="1:2" ht="18.75" customHeight="1" x14ac:dyDescent="0.2">
      <c r="A314" s="2">
        <v>312</v>
      </c>
      <c r="B314" s="14" t="s">
        <v>379</v>
      </c>
    </row>
    <row r="315" spans="1:2" ht="18.75" customHeight="1" x14ac:dyDescent="0.2">
      <c r="A315" s="2">
        <v>313</v>
      </c>
      <c r="B315" s="14" t="s">
        <v>381</v>
      </c>
    </row>
    <row r="316" spans="1:2" ht="18.75" customHeight="1" x14ac:dyDescent="0.2">
      <c r="A316" s="2">
        <v>314</v>
      </c>
      <c r="B316" s="14" t="s">
        <v>387</v>
      </c>
    </row>
    <row r="317" spans="1:2" ht="18.75" customHeight="1" x14ac:dyDescent="0.2">
      <c r="A317" s="2">
        <v>315</v>
      </c>
      <c r="B317" s="14" t="s">
        <v>389</v>
      </c>
    </row>
    <row r="318" spans="1:2" ht="18.75" customHeight="1" x14ac:dyDescent="0.2">
      <c r="A318" s="2">
        <v>316</v>
      </c>
      <c r="B318" s="14" t="s">
        <v>390</v>
      </c>
    </row>
    <row r="319" spans="1:2" ht="18.75" customHeight="1" x14ac:dyDescent="0.2">
      <c r="A319" s="2">
        <v>317</v>
      </c>
      <c r="B319" s="14" t="s">
        <v>391</v>
      </c>
    </row>
    <row r="320" spans="1:2" ht="18.75" customHeight="1" x14ac:dyDescent="0.2">
      <c r="A320" s="2">
        <v>318</v>
      </c>
      <c r="B320" s="14" t="s">
        <v>392</v>
      </c>
    </row>
    <row r="321" spans="1:2" ht="18.75" customHeight="1" x14ac:dyDescent="0.2">
      <c r="A321" s="2">
        <v>319</v>
      </c>
      <c r="B321" s="14" t="s">
        <v>393</v>
      </c>
    </row>
    <row r="322" spans="1:2" ht="18.75" customHeight="1" x14ac:dyDescent="0.2">
      <c r="A322" s="2">
        <v>320</v>
      </c>
      <c r="B322" s="14" t="s">
        <v>394</v>
      </c>
    </row>
    <row r="323" spans="1:2" ht="18.75" customHeight="1" x14ac:dyDescent="0.2">
      <c r="A323" s="2">
        <v>321</v>
      </c>
      <c r="B323" s="14" t="s">
        <v>260</v>
      </c>
    </row>
    <row r="324" spans="1:2" ht="18.75" customHeight="1" x14ac:dyDescent="0.2">
      <c r="A324" s="2">
        <v>322</v>
      </c>
      <c r="B324" s="14" t="s">
        <v>395</v>
      </c>
    </row>
    <row r="325" spans="1:2" ht="18.75" customHeight="1" x14ac:dyDescent="0.2">
      <c r="A325" s="2">
        <v>323</v>
      </c>
      <c r="B325" s="14" t="s">
        <v>261</v>
      </c>
    </row>
    <row r="326" spans="1:2" ht="18.75" customHeight="1" x14ac:dyDescent="0.2">
      <c r="A326" s="2">
        <v>324</v>
      </c>
      <c r="B326" s="14" t="s">
        <v>397</v>
      </c>
    </row>
    <row r="327" spans="1:2" ht="18.75" customHeight="1" x14ac:dyDescent="0.2">
      <c r="A327" s="2">
        <v>325</v>
      </c>
      <c r="B327" s="14" t="s">
        <v>398</v>
      </c>
    </row>
    <row r="328" spans="1:2" ht="18.75" customHeight="1" x14ac:dyDescent="0.2">
      <c r="A328" s="2">
        <v>326</v>
      </c>
      <c r="B328" s="14" t="s">
        <v>399</v>
      </c>
    </row>
    <row r="329" spans="1:2" ht="18.75" customHeight="1" x14ac:dyDescent="0.2">
      <c r="A329" s="2">
        <v>327</v>
      </c>
      <c r="B329" s="14" t="s">
        <v>400</v>
      </c>
    </row>
    <row r="330" spans="1:2" ht="18.75" customHeight="1" x14ac:dyDescent="0.2">
      <c r="A330" s="2">
        <v>328</v>
      </c>
      <c r="B330" s="14" t="s">
        <v>401</v>
      </c>
    </row>
    <row r="331" spans="1:2" ht="18.75" customHeight="1" x14ac:dyDescent="0.2">
      <c r="A331" s="2">
        <v>329</v>
      </c>
      <c r="B331" s="14" t="s">
        <v>403</v>
      </c>
    </row>
    <row r="332" spans="1:2" ht="18.75" customHeight="1" x14ac:dyDescent="0.2">
      <c r="A332" s="2">
        <v>330</v>
      </c>
      <c r="B332" s="14" t="s">
        <v>404</v>
      </c>
    </row>
    <row r="333" spans="1:2" ht="18.75" customHeight="1" x14ac:dyDescent="0.2">
      <c r="A333" s="2">
        <v>331</v>
      </c>
      <c r="B333" s="14" t="s">
        <v>405</v>
      </c>
    </row>
    <row r="334" spans="1:2" ht="18.75" customHeight="1" x14ac:dyDescent="0.2">
      <c r="A334" s="2">
        <v>332</v>
      </c>
      <c r="B334" s="14" t="s">
        <v>406</v>
      </c>
    </row>
    <row r="335" spans="1:2" ht="18.75" customHeight="1" x14ac:dyDescent="0.2">
      <c r="A335" s="2">
        <v>333</v>
      </c>
      <c r="B335" s="14" t="s">
        <v>328</v>
      </c>
    </row>
    <row r="336" spans="1:2" ht="18.75" customHeight="1" x14ac:dyDescent="0.2">
      <c r="A336" s="2">
        <v>334</v>
      </c>
      <c r="B336" s="14" t="s">
        <v>408</v>
      </c>
    </row>
    <row r="337" spans="1:2" ht="18.75" customHeight="1" x14ac:dyDescent="0.2">
      <c r="A337" s="2">
        <v>335</v>
      </c>
      <c r="B337" s="14" t="s">
        <v>409</v>
      </c>
    </row>
    <row r="338" spans="1:2" ht="18.75" customHeight="1" x14ac:dyDescent="0.2">
      <c r="A338" s="2">
        <v>336</v>
      </c>
      <c r="B338" s="14" t="s">
        <v>410</v>
      </c>
    </row>
    <row r="339" spans="1:2" ht="18.75" customHeight="1" x14ac:dyDescent="0.2">
      <c r="A339" s="2">
        <v>337</v>
      </c>
      <c r="B339" s="14" t="s">
        <v>411</v>
      </c>
    </row>
    <row r="340" spans="1:2" ht="18.75" customHeight="1" x14ac:dyDescent="0.2">
      <c r="A340" s="2">
        <v>338</v>
      </c>
      <c r="B340" s="14" t="s">
        <v>412</v>
      </c>
    </row>
    <row r="341" spans="1:2" ht="18.75" customHeight="1" x14ac:dyDescent="0.2">
      <c r="A341" s="2">
        <v>339</v>
      </c>
      <c r="B341" s="14" t="s">
        <v>413</v>
      </c>
    </row>
    <row r="342" spans="1:2" ht="18.75" customHeight="1" x14ac:dyDescent="0.2">
      <c r="A342" s="2">
        <v>340</v>
      </c>
      <c r="B342" s="14" t="s">
        <v>414</v>
      </c>
    </row>
    <row r="343" spans="1:2" ht="18.75" customHeight="1" x14ac:dyDescent="0.2">
      <c r="A343" s="2">
        <v>341</v>
      </c>
      <c r="B343" s="14" t="s">
        <v>415</v>
      </c>
    </row>
    <row r="344" spans="1:2" ht="18.75" customHeight="1" x14ac:dyDescent="0.2">
      <c r="A344" s="2">
        <v>342</v>
      </c>
      <c r="B344" s="14" t="s">
        <v>416</v>
      </c>
    </row>
    <row r="345" spans="1:2" ht="18.75" customHeight="1" x14ac:dyDescent="0.2">
      <c r="A345" s="2">
        <v>343</v>
      </c>
      <c r="B345" s="14" t="s">
        <v>417</v>
      </c>
    </row>
    <row r="346" spans="1:2" ht="18.75" customHeight="1" x14ac:dyDescent="0.2">
      <c r="A346" s="2">
        <v>344</v>
      </c>
      <c r="B346" s="14" t="s">
        <v>418</v>
      </c>
    </row>
    <row r="347" spans="1:2" ht="18.75" customHeight="1" x14ac:dyDescent="0.2">
      <c r="A347" s="2">
        <v>345</v>
      </c>
      <c r="B347" s="12" t="s">
        <v>419</v>
      </c>
    </row>
    <row r="348" spans="1:2" ht="18.75" customHeight="1" x14ac:dyDescent="0.2">
      <c r="A348" s="2">
        <v>346</v>
      </c>
      <c r="B348" s="14" t="s">
        <v>420</v>
      </c>
    </row>
    <row r="349" spans="1:2" ht="18.75" customHeight="1" x14ac:dyDescent="0.2">
      <c r="A349" s="2">
        <v>347</v>
      </c>
      <c r="B349" s="14" t="s">
        <v>421</v>
      </c>
    </row>
    <row r="350" spans="1:2" ht="18.75" customHeight="1" x14ac:dyDescent="0.2">
      <c r="A350" s="2">
        <v>348</v>
      </c>
      <c r="B350" s="14" t="s">
        <v>422</v>
      </c>
    </row>
    <row r="351" spans="1:2" ht="18.75" customHeight="1" x14ac:dyDescent="0.2">
      <c r="A351" s="2">
        <v>349</v>
      </c>
      <c r="B351" s="14" t="s">
        <v>423</v>
      </c>
    </row>
    <row r="352" spans="1:2" ht="18.75" customHeight="1" x14ac:dyDescent="0.2">
      <c r="A352" s="2">
        <v>350</v>
      </c>
      <c r="B352" s="14" t="s">
        <v>424</v>
      </c>
    </row>
    <row r="353" spans="1:2" ht="18.75" customHeight="1" x14ac:dyDescent="0.2">
      <c r="A353" s="2">
        <v>351</v>
      </c>
      <c r="B353" s="14" t="s">
        <v>425</v>
      </c>
    </row>
    <row r="354" spans="1:2" ht="18.75" customHeight="1" x14ac:dyDescent="0.2">
      <c r="A354" s="2">
        <v>352</v>
      </c>
      <c r="B354" s="13" t="s">
        <v>426</v>
      </c>
    </row>
    <row r="355" spans="1:2" ht="18.75" customHeight="1" x14ac:dyDescent="0.2">
      <c r="A355" s="2">
        <v>353</v>
      </c>
      <c r="B355" s="14" t="s">
        <v>427</v>
      </c>
    </row>
    <row r="356" spans="1:2" ht="18.75" customHeight="1" x14ac:dyDescent="0.2">
      <c r="A356" s="2">
        <v>354</v>
      </c>
      <c r="B356" s="14" t="s">
        <v>428</v>
      </c>
    </row>
    <row r="357" spans="1:2" ht="18.75" customHeight="1" x14ac:dyDescent="0.2">
      <c r="A357" s="2">
        <v>355</v>
      </c>
      <c r="B357" s="14" t="s">
        <v>429</v>
      </c>
    </row>
    <row r="358" spans="1:2" ht="18.75" customHeight="1" x14ac:dyDescent="0.2">
      <c r="A358" s="2">
        <v>356</v>
      </c>
      <c r="B358" s="14" t="s">
        <v>430</v>
      </c>
    </row>
    <row r="359" spans="1:2" ht="18.75" customHeight="1" x14ac:dyDescent="0.2">
      <c r="A359" s="2">
        <v>357</v>
      </c>
      <c r="B359" s="14" t="s">
        <v>431</v>
      </c>
    </row>
    <row r="360" spans="1:2" ht="18.75" customHeight="1" x14ac:dyDescent="0.2">
      <c r="A360" s="2">
        <v>358</v>
      </c>
      <c r="B360" s="14" t="s">
        <v>432</v>
      </c>
    </row>
    <row r="361" spans="1:2" ht="18.75" customHeight="1" x14ac:dyDescent="0.2">
      <c r="A361" s="2">
        <v>359</v>
      </c>
      <c r="B361" s="14" t="s">
        <v>435</v>
      </c>
    </row>
    <row r="362" spans="1:2" ht="18.75" customHeight="1" x14ac:dyDescent="0.2">
      <c r="A362" s="2">
        <v>360</v>
      </c>
      <c r="B362" s="14" t="s">
        <v>436</v>
      </c>
    </row>
    <row r="363" spans="1:2" ht="18.75" customHeight="1" x14ac:dyDescent="0.2">
      <c r="A363" s="2">
        <v>361</v>
      </c>
      <c r="B363" s="14" t="s">
        <v>437</v>
      </c>
    </row>
    <row r="364" spans="1:2" ht="18.75" customHeight="1" x14ac:dyDescent="0.2">
      <c r="A364" s="2">
        <v>362</v>
      </c>
      <c r="B364" s="13" t="s">
        <v>438</v>
      </c>
    </row>
    <row r="365" spans="1:2" ht="18.75" customHeight="1" x14ac:dyDescent="0.2">
      <c r="A365" s="2">
        <v>363</v>
      </c>
      <c r="B365" s="14" t="s">
        <v>439</v>
      </c>
    </row>
    <row r="366" spans="1:2" ht="18.75" customHeight="1" x14ac:dyDescent="0.2">
      <c r="A366" s="2">
        <v>364</v>
      </c>
      <c r="B366" s="14" t="s">
        <v>440</v>
      </c>
    </row>
    <row r="367" spans="1:2" ht="18.75" customHeight="1" x14ac:dyDescent="0.2">
      <c r="A367" s="2">
        <v>365</v>
      </c>
      <c r="B367" s="13" t="s">
        <v>441</v>
      </c>
    </row>
    <row r="368" spans="1:2" ht="18.75" customHeight="1" x14ac:dyDescent="0.2">
      <c r="A368" s="2">
        <v>366</v>
      </c>
      <c r="B368" s="13" t="s">
        <v>228</v>
      </c>
    </row>
    <row r="369" spans="1:2" ht="18.75" customHeight="1" x14ac:dyDescent="0.2">
      <c r="A369" s="2">
        <v>367</v>
      </c>
      <c r="B369" s="13" t="s">
        <v>442</v>
      </c>
    </row>
    <row r="370" spans="1:2" ht="18.75" customHeight="1" x14ac:dyDescent="0.2">
      <c r="A370" s="2">
        <v>368</v>
      </c>
      <c r="B370" s="13" t="s">
        <v>443</v>
      </c>
    </row>
    <row r="371" spans="1:2" ht="18.75" customHeight="1" x14ac:dyDescent="0.2">
      <c r="A371" s="2">
        <v>369</v>
      </c>
      <c r="B371" s="13" t="s">
        <v>444</v>
      </c>
    </row>
    <row r="372" spans="1:2" ht="18.75" customHeight="1" x14ac:dyDescent="0.2">
      <c r="A372" s="2">
        <v>370</v>
      </c>
      <c r="B372" s="13" t="s">
        <v>445</v>
      </c>
    </row>
    <row r="373" spans="1:2" ht="18.75" customHeight="1" x14ac:dyDescent="0.2">
      <c r="A373" s="2">
        <v>371</v>
      </c>
      <c r="B373" s="13" t="s">
        <v>446</v>
      </c>
    </row>
    <row r="374" spans="1:2" ht="18.75" customHeight="1" x14ac:dyDescent="0.2">
      <c r="A374" s="2">
        <v>372</v>
      </c>
      <c r="B374" s="14" t="s">
        <v>447</v>
      </c>
    </row>
    <row r="375" spans="1:2" ht="18.75" customHeight="1" x14ac:dyDescent="0.2">
      <c r="A375" s="2">
        <v>373</v>
      </c>
      <c r="B375" s="14" t="s">
        <v>448</v>
      </c>
    </row>
    <row r="376" spans="1:2" ht="18.75" customHeight="1" x14ac:dyDescent="0.2">
      <c r="A376" s="2">
        <v>374</v>
      </c>
      <c r="B376" s="14" t="s">
        <v>449</v>
      </c>
    </row>
    <row r="377" spans="1:2" ht="18.75" customHeight="1" x14ac:dyDescent="0.2">
      <c r="A377" s="2">
        <v>375</v>
      </c>
      <c r="B377" s="14" t="s">
        <v>450</v>
      </c>
    </row>
    <row r="378" spans="1:2" ht="18.75" customHeight="1" x14ac:dyDescent="0.2">
      <c r="A378" s="2">
        <v>376</v>
      </c>
      <c r="B378" s="14" t="s">
        <v>3354</v>
      </c>
    </row>
    <row r="379" spans="1:2" ht="18.75" customHeight="1" x14ac:dyDescent="0.2">
      <c r="A379" s="2">
        <v>377</v>
      </c>
      <c r="B379" s="14" t="s">
        <v>451</v>
      </c>
    </row>
    <row r="380" spans="1:2" ht="18.75" customHeight="1" x14ac:dyDescent="0.2">
      <c r="A380" s="2">
        <v>378</v>
      </c>
      <c r="B380" s="14" t="s">
        <v>452</v>
      </c>
    </row>
    <row r="381" spans="1:2" ht="18.75" customHeight="1" x14ac:dyDescent="0.2">
      <c r="A381" s="2">
        <v>379</v>
      </c>
      <c r="B381" s="14" t="s">
        <v>453</v>
      </c>
    </row>
    <row r="382" spans="1:2" ht="18.75" customHeight="1" x14ac:dyDescent="0.2">
      <c r="A382" s="2">
        <v>380</v>
      </c>
      <c r="B382" s="14" t="s">
        <v>454</v>
      </c>
    </row>
    <row r="383" spans="1:2" ht="18.75" customHeight="1" x14ac:dyDescent="0.2">
      <c r="A383" s="2">
        <v>381</v>
      </c>
      <c r="B383" s="14" t="s">
        <v>455</v>
      </c>
    </row>
    <row r="384" spans="1:2" ht="18.75" customHeight="1" x14ac:dyDescent="0.2">
      <c r="A384" s="2">
        <v>382</v>
      </c>
      <c r="B384" s="14" t="s">
        <v>227</v>
      </c>
    </row>
    <row r="385" spans="1:2" ht="18.75" customHeight="1" x14ac:dyDescent="0.2">
      <c r="A385" s="2">
        <v>383</v>
      </c>
      <c r="B385" s="14" t="s">
        <v>456</v>
      </c>
    </row>
    <row r="386" spans="1:2" ht="18.75" customHeight="1" x14ac:dyDescent="0.2">
      <c r="A386" s="2">
        <v>384</v>
      </c>
      <c r="B386" s="14" t="s">
        <v>457</v>
      </c>
    </row>
    <row r="387" spans="1:2" ht="18.75" customHeight="1" x14ac:dyDescent="0.2">
      <c r="A387" s="2">
        <v>385</v>
      </c>
      <c r="B387" s="14" t="s">
        <v>458</v>
      </c>
    </row>
    <row r="388" spans="1:2" ht="18.75" customHeight="1" x14ac:dyDescent="0.2">
      <c r="A388" s="2">
        <v>386</v>
      </c>
      <c r="B388" s="14" t="s">
        <v>459</v>
      </c>
    </row>
    <row r="389" spans="1:2" ht="18.75" customHeight="1" x14ac:dyDescent="0.2">
      <c r="A389" s="2">
        <v>387</v>
      </c>
      <c r="B389" s="14" t="s">
        <v>460</v>
      </c>
    </row>
    <row r="390" spans="1:2" ht="18.75" customHeight="1" x14ac:dyDescent="0.2">
      <c r="A390" s="2">
        <v>388</v>
      </c>
      <c r="B390" s="13" t="s">
        <v>461</v>
      </c>
    </row>
    <row r="391" spans="1:2" ht="18.75" customHeight="1" x14ac:dyDescent="0.2">
      <c r="A391" s="2">
        <v>389</v>
      </c>
      <c r="B391" s="14" t="s">
        <v>462</v>
      </c>
    </row>
    <row r="392" spans="1:2" ht="18.75" customHeight="1" x14ac:dyDescent="0.2">
      <c r="A392" s="2">
        <v>390</v>
      </c>
      <c r="B392" s="14" t="s">
        <v>463</v>
      </c>
    </row>
    <row r="393" spans="1:2" ht="18.75" customHeight="1" x14ac:dyDescent="0.2">
      <c r="A393" s="2">
        <v>391</v>
      </c>
      <c r="B393" s="14" t="s">
        <v>464</v>
      </c>
    </row>
    <row r="394" spans="1:2" ht="18.75" customHeight="1" x14ac:dyDescent="0.2">
      <c r="A394" s="2">
        <v>392</v>
      </c>
      <c r="B394" s="14" t="s">
        <v>465</v>
      </c>
    </row>
    <row r="395" spans="1:2" ht="18.75" customHeight="1" x14ac:dyDescent="0.2">
      <c r="A395" s="2">
        <v>393</v>
      </c>
      <c r="B395" s="14" t="s">
        <v>466</v>
      </c>
    </row>
    <row r="396" spans="1:2" ht="18.75" customHeight="1" x14ac:dyDescent="0.2">
      <c r="A396" s="2">
        <v>394</v>
      </c>
      <c r="B396" s="14" t="s">
        <v>467</v>
      </c>
    </row>
    <row r="397" spans="1:2" ht="18.75" customHeight="1" x14ac:dyDescent="0.2">
      <c r="A397" s="2">
        <v>395</v>
      </c>
      <c r="B397" s="14" t="s">
        <v>468</v>
      </c>
    </row>
    <row r="398" spans="1:2" ht="18.75" customHeight="1" x14ac:dyDescent="0.2">
      <c r="A398" s="2">
        <v>396</v>
      </c>
      <c r="B398" s="14" t="s">
        <v>469</v>
      </c>
    </row>
    <row r="399" spans="1:2" ht="18.75" customHeight="1" x14ac:dyDescent="0.2">
      <c r="A399" s="2">
        <v>397</v>
      </c>
      <c r="B399" s="14" t="s">
        <v>470</v>
      </c>
    </row>
    <row r="400" spans="1:2" ht="18.75" customHeight="1" x14ac:dyDescent="0.2">
      <c r="A400" s="2">
        <v>398</v>
      </c>
      <c r="B400" s="14" t="s">
        <v>471</v>
      </c>
    </row>
    <row r="401" spans="1:2" ht="18.75" customHeight="1" x14ac:dyDescent="0.2">
      <c r="A401" s="2">
        <v>399</v>
      </c>
      <c r="B401" s="14" t="s">
        <v>472</v>
      </c>
    </row>
    <row r="402" spans="1:2" ht="18.75" customHeight="1" x14ac:dyDescent="0.2">
      <c r="A402" s="2">
        <v>400</v>
      </c>
      <c r="B402" s="14" t="s">
        <v>473</v>
      </c>
    </row>
    <row r="403" spans="1:2" ht="18.75" customHeight="1" x14ac:dyDescent="0.2">
      <c r="A403" s="2">
        <v>401</v>
      </c>
      <c r="B403" s="14" t="s">
        <v>474</v>
      </c>
    </row>
    <row r="404" spans="1:2" ht="18.75" customHeight="1" x14ac:dyDescent="0.2">
      <c r="A404" s="2">
        <v>402</v>
      </c>
      <c r="B404" s="14" t="s">
        <v>914</v>
      </c>
    </row>
    <row r="405" spans="1:2" ht="18.75" customHeight="1" x14ac:dyDescent="0.2">
      <c r="A405" s="2">
        <v>403</v>
      </c>
      <c r="B405" s="14" t="s">
        <v>475</v>
      </c>
    </row>
    <row r="406" spans="1:2" ht="18.75" customHeight="1" x14ac:dyDescent="0.2">
      <c r="A406" s="2">
        <v>404</v>
      </c>
      <c r="B406" s="14" t="s">
        <v>476</v>
      </c>
    </row>
    <row r="407" spans="1:2" ht="18.75" customHeight="1" x14ac:dyDescent="0.2">
      <c r="A407" s="2">
        <v>405</v>
      </c>
      <c r="B407" s="14" t="s">
        <v>477</v>
      </c>
    </row>
    <row r="408" spans="1:2" ht="18.75" customHeight="1" x14ac:dyDescent="0.2">
      <c r="A408" s="2">
        <v>406</v>
      </c>
      <c r="B408" s="14" t="s">
        <v>478</v>
      </c>
    </row>
    <row r="409" spans="1:2" ht="18.75" customHeight="1" x14ac:dyDescent="0.2">
      <c r="A409" s="2">
        <v>407</v>
      </c>
      <c r="B409" s="14" t="s">
        <v>479</v>
      </c>
    </row>
    <row r="410" spans="1:2" ht="18.75" customHeight="1" x14ac:dyDescent="0.2">
      <c r="A410" s="2">
        <v>408</v>
      </c>
      <c r="B410" s="14" t="s">
        <v>480</v>
      </c>
    </row>
    <row r="411" spans="1:2" ht="18.75" customHeight="1" x14ac:dyDescent="0.2">
      <c r="A411" s="2">
        <v>409</v>
      </c>
      <c r="B411" s="14" t="s">
        <v>481</v>
      </c>
    </row>
    <row r="412" spans="1:2" ht="18.75" customHeight="1" x14ac:dyDescent="0.2">
      <c r="A412" s="2">
        <v>410</v>
      </c>
      <c r="B412" s="14" t="s">
        <v>482</v>
      </c>
    </row>
    <row r="413" spans="1:2" ht="18.75" customHeight="1" x14ac:dyDescent="0.2">
      <c r="A413" s="2">
        <v>411</v>
      </c>
      <c r="B413" s="14" t="s">
        <v>483</v>
      </c>
    </row>
    <row r="414" spans="1:2" ht="18.75" customHeight="1" x14ac:dyDescent="0.2">
      <c r="A414" s="2">
        <v>412</v>
      </c>
      <c r="B414" s="14" t="s">
        <v>484</v>
      </c>
    </row>
    <row r="415" spans="1:2" ht="18.75" customHeight="1" x14ac:dyDescent="0.2">
      <c r="A415" s="2">
        <v>413</v>
      </c>
      <c r="B415" s="16" t="s">
        <v>485</v>
      </c>
    </row>
    <row r="416" spans="1:2" ht="18.75" customHeight="1" x14ac:dyDescent="0.2">
      <c r="A416" s="2">
        <v>414</v>
      </c>
      <c r="B416" s="16" t="s">
        <v>486</v>
      </c>
    </row>
    <row r="417" spans="1:2" ht="18.75" customHeight="1" x14ac:dyDescent="0.2">
      <c r="A417" s="2">
        <v>415</v>
      </c>
      <c r="B417" s="16" t="s">
        <v>487</v>
      </c>
    </row>
    <row r="418" spans="1:2" ht="18.75" customHeight="1" x14ac:dyDescent="0.2">
      <c r="A418" s="2">
        <v>416</v>
      </c>
      <c r="B418" s="18" t="s">
        <v>488</v>
      </c>
    </row>
    <row r="419" spans="1:2" ht="18.75" customHeight="1" x14ac:dyDescent="0.2">
      <c r="A419" s="2">
        <v>417</v>
      </c>
      <c r="B419" s="16" t="s">
        <v>489</v>
      </c>
    </row>
    <row r="420" spans="1:2" ht="18.75" customHeight="1" x14ac:dyDescent="0.2">
      <c r="A420" s="2">
        <v>418</v>
      </c>
      <c r="B420" s="16" t="s">
        <v>490</v>
      </c>
    </row>
    <row r="421" spans="1:2" ht="18.75" customHeight="1" x14ac:dyDescent="0.2">
      <c r="A421" s="2">
        <v>419</v>
      </c>
      <c r="B421" s="17" t="s">
        <v>491</v>
      </c>
    </row>
    <row r="422" spans="1:2" ht="18.75" customHeight="1" x14ac:dyDescent="0.2">
      <c r="A422" s="2">
        <v>420</v>
      </c>
      <c r="B422" s="16" t="s">
        <v>491</v>
      </c>
    </row>
    <row r="423" spans="1:2" ht="18.75" customHeight="1" x14ac:dyDescent="0.2">
      <c r="A423" s="2">
        <v>421</v>
      </c>
      <c r="B423" s="16" t="s">
        <v>492</v>
      </c>
    </row>
    <row r="424" spans="1:2" ht="18.75" customHeight="1" x14ac:dyDescent="0.2">
      <c r="A424" s="2">
        <v>422</v>
      </c>
      <c r="B424" s="18" t="s">
        <v>493</v>
      </c>
    </row>
    <row r="425" spans="1:2" ht="18.75" customHeight="1" x14ac:dyDescent="0.2">
      <c r="A425" s="2">
        <v>423</v>
      </c>
      <c r="B425" s="18" t="s">
        <v>494</v>
      </c>
    </row>
    <row r="426" spans="1:2" ht="18.75" customHeight="1" x14ac:dyDescent="0.2">
      <c r="A426" s="2">
        <v>424</v>
      </c>
      <c r="B426" s="13" t="s">
        <v>495</v>
      </c>
    </row>
    <row r="427" spans="1:2" ht="18.75" customHeight="1" x14ac:dyDescent="0.2">
      <c r="A427" s="2">
        <v>425</v>
      </c>
      <c r="B427" s="18" t="s">
        <v>496</v>
      </c>
    </row>
    <row r="428" spans="1:2" ht="18.75" customHeight="1" x14ac:dyDescent="0.2">
      <c r="A428" s="2">
        <v>426</v>
      </c>
      <c r="B428" s="18" t="s">
        <v>497</v>
      </c>
    </row>
    <row r="429" spans="1:2" ht="18.75" customHeight="1" x14ac:dyDescent="0.2">
      <c r="A429" s="2">
        <v>427</v>
      </c>
      <c r="B429" s="18" t="s">
        <v>498</v>
      </c>
    </row>
    <row r="430" spans="1:2" ht="18.75" customHeight="1" x14ac:dyDescent="0.2">
      <c r="A430" s="2">
        <v>428</v>
      </c>
      <c r="B430" s="18" t="s">
        <v>499</v>
      </c>
    </row>
    <row r="431" spans="1:2" ht="18.75" customHeight="1" x14ac:dyDescent="0.2">
      <c r="A431" s="2">
        <v>429</v>
      </c>
      <c r="B431" s="13" t="s">
        <v>499</v>
      </c>
    </row>
    <row r="432" spans="1:2" ht="18.75" customHeight="1" x14ac:dyDescent="0.2">
      <c r="A432" s="2">
        <v>430</v>
      </c>
      <c r="B432" s="14" t="s">
        <v>500</v>
      </c>
    </row>
    <row r="433" spans="1:2" ht="18.75" customHeight="1" x14ac:dyDescent="0.2">
      <c r="A433" s="2">
        <v>431</v>
      </c>
      <c r="B433" s="14" t="s">
        <v>501</v>
      </c>
    </row>
    <row r="434" spans="1:2" ht="18.75" customHeight="1" x14ac:dyDescent="0.2">
      <c r="A434" s="2">
        <v>432</v>
      </c>
      <c r="B434" s="14" t="s">
        <v>502</v>
      </c>
    </row>
    <row r="435" spans="1:2" ht="18.75" customHeight="1" x14ac:dyDescent="0.2">
      <c r="A435" s="2">
        <v>433</v>
      </c>
      <c r="B435" s="2" t="s">
        <v>503</v>
      </c>
    </row>
    <row r="436" spans="1:2" ht="18.75" customHeight="1" x14ac:dyDescent="0.2">
      <c r="A436" s="2">
        <v>434</v>
      </c>
      <c r="B436" s="13" t="s">
        <v>504</v>
      </c>
    </row>
    <row r="437" spans="1:2" ht="18.75" customHeight="1" x14ac:dyDescent="0.2">
      <c r="A437" s="2">
        <v>435</v>
      </c>
      <c r="B437" s="18" t="s">
        <v>505</v>
      </c>
    </row>
    <row r="438" spans="1:2" ht="18.75" customHeight="1" x14ac:dyDescent="0.2">
      <c r="A438" s="2">
        <v>436</v>
      </c>
      <c r="B438" s="18" t="s">
        <v>506</v>
      </c>
    </row>
    <row r="439" spans="1:2" ht="18.75" customHeight="1" x14ac:dyDescent="0.2">
      <c r="A439" s="2">
        <v>437</v>
      </c>
      <c r="B439" s="18" t="s">
        <v>507</v>
      </c>
    </row>
    <row r="440" spans="1:2" ht="18.75" customHeight="1" x14ac:dyDescent="0.2">
      <c r="A440" s="2">
        <v>438</v>
      </c>
      <c r="B440" s="18" t="s">
        <v>508</v>
      </c>
    </row>
    <row r="441" spans="1:2" ht="18.75" customHeight="1" x14ac:dyDescent="0.2">
      <c r="A441" s="2">
        <v>439</v>
      </c>
      <c r="B441" s="15" t="s">
        <v>386</v>
      </c>
    </row>
    <row r="442" spans="1:2" ht="18.75" customHeight="1" x14ac:dyDescent="0.2">
      <c r="A442" s="2">
        <v>440</v>
      </c>
      <c r="B442" s="18" t="s">
        <v>509</v>
      </c>
    </row>
    <row r="443" spans="1:2" ht="18.75" customHeight="1" x14ac:dyDescent="0.2">
      <c r="A443" s="2">
        <v>441</v>
      </c>
      <c r="B443" s="19" t="s">
        <v>510</v>
      </c>
    </row>
    <row r="444" spans="1:2" ht="18.75" customHeight="1" x14ac:dyDescent="0.2">
      <c r="A444" s="2">
        <v>442</v>
      </c>
      <c r="B444" s="13" t="s">
        <v>511</v>
      </c>
    </row>
    <row r="445" spans="1:2" ht="18.75" customHeight="1" x14ac:dyDescent="0.2">
      <c r="A445" s="2">
        <v>443</v>
      </c>
      <c r="B445" s="13" t="s">
        <v>512</v>
      </c>
    </row>
    <row r="446" spans="1:2" ht="18.75" customHeight="1" x14ac:dyDescent="0.2">
      <c r="A446" s="2">
        <v>444</v>
      </c>
      <c r="B446" s="13" t="s">
        <v>513</v>
      </c>
    </row>
    <row r="447" spans="1:2" ht="18.75" customHeight="1" x14ac:dyDescent="0.2">
      <c r="A447" s="2">
        <v>445</v>
      </c>
      <c r="B447" s="2" t="s">
        <v>514</v>
      </c>
    </row>
    <row r="448" spans="1:2" ht="18.75" customHeight="1" x14ac:dyDescent="0.2">
      <c r="A448" s="2">
        <v>446</v>
      </c>
      <c r="B448" s="2" t="s">
        <v>515</v>
      </c>
    </row>
    <row r="449" spans="1:2" ht="18.75" customHeight="1" x14ac:dyDescent="0.2">
      <c r="A449" s="2">
        <v>447</v>
      </c>
      <c r="B449" s="2" t="s">
        <v>516</v>
      </c>
    </row>
    <row r="450" spans="1:2" ht="18.75" customHeight="1" x14ac:dyDescent="0.2">
      <c r="A450" s="2">
        <v>448</v>
      </c>
      <c r="B450" s="13" t="s">
        <v>517</v>
      </c>
    </row>
    <row r="451" spans="1:2" ht="18.75" customHeight="1" x14ac:dyDescent="0.2">
      <c r="A451" s="2">
        <v>449</v>
      </c>
      <c r="B451" s="14" t="s">
        <v>518</v>
      </c>
    </row>
    <row r="452" spans="1:2" ht="18.75" customHeight="1" x14ac:dyDescent="0.2">
      <c r="A452" s="2">
        <v>450</v>
      </c>
      <c r="B452" s="14" t="s">
        <v>519</v>
      </c>
    </row>
    <row r="453" spans="1:2" ht="18.75" customHeight="1" x14ac:dyDescent="0.2">
      <c r="A453" s="2">
        <v>451</v>
      </c>
      <c r="B453" s="14" t="s">
        <v>520</v>
      </c>
    </row>
    <row r="454" spans="1:2" ht="18.75" customHeight="1" x14ac:dyDescent="0.2">
      <c r="A454" s="2">
        <v>452</v>
      </c>
      <c r="B454" s="14" t="s">
        <v>522</v>
      </c>
    </row>
    <row r="455" spans="1:2" ht="18.75" customHeight="1" x14ac:dyDescent="0.2">
      <c r="A455" s="2">
        <v>453</v>
      </c>
      <c r="B455" s="11" t="s">
        <v>386</v>
      </c>
    </row>
    <row r="456" spans="1:2" ht="18.75" customHeight="1" x14ac:dyDescent="0.2">
      <c r="A456" s="2">
        <v>454</v>
      </c>
      <c r="B456" s="14" t="s">
        <v>523</v>
      </c>
    </row>
    <row r="457" spans="1:2" ht="18.75" customHeight="1" x14ac:dyDescent="0.2">
      <c r="A457" s="2">
        <v>455</v>
      </c>
      <c r="B457" s="14" t="s">
        <v>524</v>
      </c>
    </row>
    <row r="458" spans="1:2" ht="18.75" customHeight="1" x14ac:dyDescent="0.2">
      <c r="A458" s="2">
        <v>456</v>
      </c>
      <c r="B458" s="14" t="s">
        <v>525</v>
      </c>
    </row>
    <row r="459" spans="1:2" ht="18.75" customHeight="1" x14ac:dyDescent="0.2">
      <c r="A459" s="2">
        <v>457</v>
      </c>
      <c r="B459" s="14" t="s">
        <v>526</v>
      </c>
    </row>
    <row r="460" spans="1:2" ht="18.75" customHeight="1" x14ac:dyDescent="0.2">
      <c r="A460" s="2">
        <v>458</v>
      </c>
      <c r="B460" s="14" t="s">
        <v>527</v>
      </c>
    </row>
    <row r="461" spans="1:2" ht="18.75" customHeight="1" x14ac:dyDescent="0.2">
      <c r="A461" s="2">
        <v>459</v>
      </c>
      <c r="B461" s="13" t="s">
        <v>528</v>
      </c>
    </row>
    <row r="462" spans="1:2" ht="18.75" customHeight="1" x14ac:dyDescent="0.2">
      <c r="A462" s="2">
        <v>460</v>
      </c>
      <c r="B462" s="2" t="s">
        <v>529</v>
      </c>
    </row>
    <row r="463" spans="1:2" ht="18.75" customHeight="1" x14ac:dyDescent="0.2">
      <c r="A463" s="2">
        <v>461</v>
      </c>
      <c r="B463" s="14" t="s">
        <v>530</v>
      </c>
    </row>
    <row r="464" spans="1:2" ht="18.75" customHeight="1" x14ac:dyDescent="0.2">
      <c r="A464" s="2">
        <v>462</v>
      </c>
      <c r="B464" s="14" t="s">
        <v>531</v>
      </c>
    </row>
    <row r="465" spans="1:2" ht="18.75" customHeight="1" x14ac:dyDescent="0.2">
      <c r="A465" s="2">
        <v>463</v>
      </c>
      <c r="B465" s="14" t="s">
        <v>532</v>
      </c>
    </row>
    <row r="466" spans="1:2" ht="18.5" customHeight="1" x14ac:dyDescent="0.2">
      <c r="A466" s="2">
        <v>464</v>
      </c>
      <c r="B466" s="14" t="s">
        <v>533</v>
      </c>
    </row>
    <row r="467" spans="1:2" ht="18.75" customHeight="1" x14ac:dyDescent="0.2">
      <c r="A467" s="2">
        <v>465</v>
      </c>
      <c r="B467" s="14" t="s">
        <v>534</v>
      </c>
    </row>
    <row r="468" spans="1:2" ht="18.75" customHeight="1" x14ac:dyDescent="0.2">
      <c r="A468" s="2">
        <v>466</v>
      </c>
      <c r="B468" s="14" t="s">
        <v>535</v>
      </c>
    </row>
    <row r="469" spans="1:2" ht="18.75" customHeight="1" x14ac:dyDescent="0.2">
      <c r="A469" s="2">
        <v>467</v>
      </c>
      <c r="B469" s="14" t="s">
        <v>536</v>
      </c>
    </row>
    <row r="470" spans="1:2" ht="18.75" customHeight="1" x14ac:dyDescent="0.2">
      <c r="A470" s="2">
        <v>468</v>
      </c>
      <c r="B470" s="14" t="s">
        <v>537</v>
      </c>
    </row>
    <row r="471" spans="1:2" ht="18.75" customHeight="1" x14ac:dyDescent="0.2">
      <c r="A471" s="2">
        <v>469</v>
      </c>
      <c r="B471" s="14" t="s">
        <v>538</v>
      </c>
    </row>
    <row r="472" spans="1:2" ht="18.75" customHeight="1" x14ac:dyDescent="0.2">
      <c r="A472" s="2">
        <v>470</v>
      </c>
      <c r="B472" s="14" t="s">
        <v>539</v>
      </c>
    </row>
    <row r="473" spans="1:2" ht="18.75" customHeight="1" x14ac:dyDescent="0.2">
      <c r="A473" s="2">
        <v>471</v>
      </c>
      <c r="B473" s="14" t="s">
        <v>540</v>
      </c>
    </row>
    <row r="474" spans="1:2" ht="18.75" customHeight="1" x14ac:dyDescent="0.2">
      <c r="A474" s="2">
        <v>472</v>
      </c>
      <c r="B474" s="14" t="s">
        <v>541</v>
      </c>
    </row>
    <row r="475" spans="1:2" ht="18.75" customHeight="1" x14ac:dyDescent="0.2">
      <c r="A475" s="2">
        <v>473</v>
      </c>
      <c r="B475" s="2" t="s">
        <v>542</v>
      </c>
    </row>
    <row r="476" spans="1:2" ht="18.75" customHeight="1" x14ac:dyDescent="0.2">
      <c r="A476" s="2">
        <v>474</v>
      </c>
      <c r="B476" s="13" t="s">
        <v>543</v>
      </c>
    </row>
    <row r="477" spans="1:2" ht="18.75" customHeight="1" x14ac:dyDescent="0.2">
      <c r="A477" s="2">
        <v>475</v>
      </c>
      <c r="B477" s="14" t="s">
        <v>544</v>
      </c>
    </row>
    <row r="478" spans="1:2" ht="18.75" customHeight="1" x14ac:dyDescent="0.2">
      <c r="A478" s="2">
        <v>476</v>
      </c>
      <c r="B478" s="14" t="s">
        <v>545</v>
      </c>
    </row>
    <row r="479" spans="1:2" ht="18.75" customHeight="1" x14ac:dyDescent="0.2">
      <c r="A479" s="2">
        <v>477</v>
      </c>
      <c r="B479" s="14" t="s">
        <v>546</v>
      </c>
    </row>
    <row r="480" spans="1:2" ht="18.75" customHeight="1" x14ac:dyDescent="0.2">
      <c r="A480" s="2">
        <v>478</v>
      </c>
      <c r="B480" s="14" t="s">
        <v>508</v>
      </c>
    </row>
    <row r="481" spans="1:2" ht="18.75" customHeight="1" x14ac:dyDescent="0.2">
      <c r="A481" s="2">
        <v>479</v>
      </c>
      <c r="B481" s="14" t="s">
        <v>547</v>
      </c>
    </row>
    <row r="482" spans="1:2" ht="18.75" customHeight="1" x14ac:dyDescent="0.2">
      <c r="A482" s="2">
        <v>480</v>
      </c>
      <c r="B482" s="14" t="s">
        <v>548</v>
      </c>
    </row>
    <row r="483" spans="1:2" ht="18.75" customHeight="1" x14ac:dyDescent="0.2">
      <c r="A483" s="2">
        <v>481</v>
      </c>
      <c r="B483" s="14" t="s">
        <v>549</v>
      </c>
    </row>
    <row r="484" spans="1:2" ht="18.75" customHeight="1" x14ac:dyDescent="0.2">
      <c r="A484" s="2">
        <v>482</v>
      </c>
      <c r="B484" s="14" t="s">
        <v>550</v>
      </c>
    </row>
    <row r="485" spans="1:2" ht="18.75" customHeight="1" x14ac:dyDescent="0.2">
      <c r="A485" s="2">
        <v>483</v>
      </c>
      <c r="B485" s="14" t="s">
        <v>551</v>
      </c>
    </row>
    <row r="486" spans="1:2" ht="18.75" customHeight="1" x14ac:dyDescent="0.2">
      <c r="A486" s="2">
        <v>484</v>
      </c>
      <c r="B486" s="14" t="s">
        <v>552</v>
      </c>
    </row>
    <row r="487" spans="1:2" ht="18.75" customHeight="1" x14ac:dyDescent="0.2">
      <c r="A487" s="2">
        <v>485</v>
      </c>
      <c r="B487" s="14" t="s">
        <v>555</v>
      </c>
    </row>
    <row r="488" spans="1:2" ht="18.75" customHeight="1" x14ac:dyDescent="0.2">
      <c r="A488" s="2">
        <v>486</v>
      </c>
      <c r="B488" s="14" t="s">
        <v>556</v>
      </c>
    </row>
    <row r="489" spans="1:2" ht="18.75" customHeight="1" x14ac:dyDescent="0.2">
      <c r="A489" s="2">
        <v>487</v>
      </c>
      <c r="B489" s="14" t="s">
        <v>557</v>
      </c>
    </row>
    <row r="490" spans="1:2" ht="18.75" customHeight="1" x14ac:dyDescent="0.2">
      <c r="A490" s="2">
        <v>488</v>
      </c>
      <c r="B490" s="14" t="s">
        <v>558</v>
      </c>
    </row>
    <row r="491" spans="1:2" ht="18.75" customHeight="1" x14ac:dyDescent="0.2">
      <c r="A491" s="2">
        <v>489</v>
      </c>
      <c r="B491" s="14" t="s">
        <v>559</v>
      </c>
    </row>
    <row r="492" spans="1:2" ht="18.75" customHeight="1" x14ac:dyDescent="0.2">
      <c r="A492" s="2">
        <v>490</v>
      </c>
      <c r="B492" s="14" t="s">
        <v>560</v>
      </c>
    </row>
    <row r="493" spans="1:2" ht="18.75" customHeight="1" x14ac:dyDescent="0.2">
      <c r="A493" s="2">
        <v>491</v>
      </c>
      <c r="B493" s="14" t="s">
        <v>561</v>
      </c>
    </row>
    <row r="494" spans="1:2" ht="18.75" customHeight="1" x14ac:dyDescent="0.2">
      <c r="A494" s="2">
        <v>492</v>
      </c>
      <c r="B494" s="14" t="s">
        <v>562</v>
      </c>
    </row>
    <row r="495" spans="1:2" ht="18.75" customHeight="1" x14ac:dyDescent="0.2">
      <c r="A495" s="2">
        <v>493</v>
      </c>
      <c r="B495" s="14" t="s">
        <v>563</v>
      </c>
    </row>
    <row r="496" spans="1:2" ht="18.75" customHeight="1" x14ac:dyDescent="0.2">
      <c r="A496" s="2">
        <v>494</v>
      </c>
      <c r="B496" s="14" t="s">
        <v>564</v>
      </c>
    </row>
    <row r="497" spans="1:2" ht="18.75" customHeight="1" x14ac:dyDescent="0.2">
      <c r="A497" s="2">
        <v>495</v>
      </c>
      <c r="B497" s="14" t="s">
        <v>566</v>
      </c>
    </row>
    <row r="498" spans="1:2" ht="18.75" customHeight="1" x14ac:dyDescent="0.2">
      <c r="A498" s="2">
        <v>496</v>
      </c>
      <c r="B498" s="14" t="s">
        <v>567</v>
      </c>
    </row>
    <row r="499" spans="1:2" ht="18.75" customHeight="1" x14ac:dyDescent="0.2">
      <c r="A499" s="2">
        <v>497</v>
      </c>
      <c r="B499" s="14" t="s">
        <v>568</v>
      </c>
    </row>
    <row r="500" spans="1:2" ht="18.75" customHeight="1" x14ac:dyDescent="0.2">
      <c r="A500" s="2">
        <v>498</v>
      </c>
      <c r="B500" s="14" t="s">
        <v>569</v>
      </c>
    </row>
    <row r="501" spans="1:2" ht="18.75" customHeight="1" x14ac:dyDescent="0.2">
      <c r="A501" s="2">
        <v>499</v>
      </c>
      <c r="B501" s="14" t="s">
        <v>570</v>
      </c>
    </row>
    <row r="502" spans="1:2" ht="18.75" customHeight="1" x14ac:dyDescent="0.2">
      <c r="A502" s="2">
        <v>500</v>
      </c>
      <c r="B502" s="14" t="s">
        <v>571</v>
      </c>
    </row>
    <row r="503" spans="1:2" ht="18.75" customHeight="1" x14ac:dyDescent="0.2">
      <c r="A503" s="2">
        <v>501</v>
      </c>
      <c r="B503" s="14" t="s">
        <v>572</v>
      </c>
    </row>
    <row r="504" spans="1:2" ht="18.75" customHeight="1" x14ac:dyDescent="0.2">
      <c r="A504" s="2">
        <v>502</v>
      </c>
      <c r="B504" s="14" t="s">
        <v>573</v>
      </c>
    </row>
    <row r="505" spans="1:2" ht="18.75" customHeight="1" x14ac:dyDescent="0.2">
      <c r="A505" s="2">
        <v>503</v>
      </c>
      <c r="B505" s="2" t="s">
        <v>574</v>
      </c>
    </row>
    <row r="506" spans="1:2" ht="18.75" customHeight="1" x14ac:dyDescent="0.2">
      <c r="A506" s="2">
        <v>504</v>
      </c>
      <c r="B506" s="14" t="s">
        <v>575</v>
      </c>
    </row>
    <row r="507" spans="1:2" ht="18.75" customHeight="1" x14ac:dyDescent="0.2">
      <c r="A507" s="2">
        <v>505</v>
      </c>
      <c r="B507" s="14" t="s">
        <v>576</v>
      </c>
    </row>
    <row r="508" spans="1:2" ht="18.75" customHeight="1" x14ac:dyDescent="0.2">
      <c r="A508" s="2">
        <v>506</v>
      </c>
      <c r="B508" s="14" t="s">
        <v>591</v>
      </c>
    </row>
    <row r="509" spans="1:2" ht="18.75" customHeight="1" x14ac:dyDescent="0.2">
      <c r="A509" s="2">
        <v>507</v>
      </c>
      <c r="B509" s="14" t="s">
        <v>577</v>
      </c>
    </row>
    <row r="510" spans="1:2" ht="18.75" customHeight="1" x14ac:dyDescent="0.2">
      <c r="A510" s="2">
        <v>508</v>
      </c>
      <c r="B510" s="14" t="s">
        <v>578</v>
      </c>
    </row>
    <row r="511" spans="1:2" ht="18.75" customHeight="1" x14ac:dyDescent="0.2">
      <c r="A511" s="2">
        <v>509</v>
      </c>
      <c r="B511" s="14" t="s">
        <v>579</v>
      </c>
    </row>
    <row r="512" spans="1:2" ht="18.75" customHeight="1" x14ac:dyDescent="0.2">
      <c r="A512" s="2">
        <v>510</v>
      </c>
      <c r="B512" s="14" t="s">
        <v>580</v>
      </c>
    </row>
    <row r="513" spans="1:2" ht="18.75" customHeight="1" x14ac:dyDescent="0.2">
      <c r="A513" s="2">
        <v>511</v>
      </c>
      <c r="B513" s="14" t="s">
        <v>581</v>
      </c>
    </row>
    <row r="514" spans="1:2" ht="18.75" customHeight="1" x14ac:dyDescent="0.2">
      <c r="A514" s="2">
        <v>512</v>
      </c>
      <c r="B514" s="14" t="s">
        <v>582</v>
      </c>
    </row>
    <row r="515" spans="1:2" ht="18.75" customHeight="1" x14ac:dyDescent="0.2">
      <c r="A515" s="2">
        <v>513</v>
      </c>
      <c r="B515" s="14" t="s">
        <v>583</v>
      </c>
    </row>
    <row r="516" spans="1:2" ht="18.75" customHeight="1" x14ac:dyDescent="0.2">
      <c r="A516" s="2">
        <v>514</v>
      </c>
      <c r="B516" s="14" t="s">
        <v>584</v>
      </c>
    </row>
    <row r="517" spans="1:2" ht="18.75" customHeight="1" x14ac:dyDescent="0.2">
      <c r="A517" s="2">
        <v>515</v>
      </c>
      <c r="B517" s="14" t="s">
        <v>585</v>
      </c>
    </row>
    <row r="518" spans="1:2" ht="18.75" customHeight="1" x14ac:dyDescent="0.2">
      <c r="A518" s="2">
        <v>516</v>
      </c>
      <c r="B518" s="14" t="s">
        <v>586</v>
      </c>
    </row>
    <row r="519" spans="1:2" ht="18.75" customHeight="1" x14ac:dyDescent="0.2">
      <c r="A519" s="2">
        <v>517</v>
      </c>
      <c r="B519" s="14" t="s">
        <v>587</v>
      </c>
    </row>
    <row r="520" spans="1:2" ht="18.75" customHeight="1" x14ac:dyDescent="0.2">
      <c r="A520" s="2">
        <v>518</v>
      </c>
      <c r="B520" s="14" t="s">
        <v>588</v>
      </c>
    </row>
    <row r="521" spans="1:2" ht="18.75" customHeight="1" x14ac:dyDescent="0.2">
      <c r="A521" s="2">
        <v>519</v>
      </c>
      <c r="B521" s="14" t="s">
        <v>589</v>
      </c>
    </row>
    <row r="522" spans="1:2" ht="18.75" customHeight="1" x14ac:dyDescent="0.2">
      <c r="A522" s="2">
        <v>520</v>
      </c>
      <c r="B522" s="14" t="s">
        <v>590</v>
      </c>
    </row>
    <row r="523" spans="1:2" ht="18.75" customHeight="1" x14ac:dyDescent="0.2">
      <c r="A523" s="2">
        <v>521</v>
      </c>
      <c r="B523" s="14" t="s">
        <v>592</v>
      </c>
    </row>
    <row r="524" spans="1:2" ht="18.75" customHeight="1" x14ac:dyDescent="0.2">
      <c r="A524" s="2">
        <v>522</v>
      </c>
      <c r="B524" s="14" t="s">
        <v>593</v>
      </c>
    </row>
    <row r="525" spans="1:2" ht="18.75" customHeight="1" x14ac:dyDescent="0.2">
      <c r="A525" s="2">
        <v>523</v>
      </c>
      <c r="B525" s="14" t="s">
        <v>594</v>
      </c>
    </row>
    <row r="526" spans="1:2" ht="18.75" customHeight="1" x14ac:dyDescent="0.2">
      <c r="A526" s="2">
        <v>524</v>
      </c>
      <c r="B526" s="14" t="s">
        <v>595</v>
      </c>
    </row>
    <row r="527" spans="1:2" ht="18.75" customHeight="1" x14ac:dyDescent="0.2">
      <c r="A527" s="2">
        <v>525</v>
      </c>
      <c r="B527" s="14" t="s">
        <v>596</v>
      </c>
    </row>
    <row r="528" spans="1:2" ht="18.75" customHeight="1" x14ac:dyDescent="0.2">
      <c r="A528" s="2">
        <v>526</v>
      </c>
      <c r="B528" s="14" t="s">
        <v>597</v>
      </c>
    </row>
    <row r="529" spans="1:2" ht="18.75" customHeight="1" x14ac:dyDescent="0.2">
      <c r="A529" s="2">
        <v>527</v>
      </c>
      <c r="B529" s="14" t="s">
        <v>598</v>
      </c>
    </row>
    <row r="530" spans="1:2" ht="18.75" customHeight="1" x14ac:dyDescent="0.2">
      <c r="A530" s="2">
        <v>528</v>
      </c>
      <c r="B530" s="14" t="s">
        <v>659</v>
      </c>
    </row>
    <row r="531" spans="1:2" ht="18.75" customHeight="1" x14ac:dyDescent="0.2">
      <c r="A531" s="2">
        <v>529</v>
      </c>
      <c r="B531" s="13" t="s">
        <v>660</v>
      </c>
    </row>
    <row r="532" spans="1:2" ht="18.75" customHeight="1" x14ac:dyDescent="0.2">
      <c r="A532" s="2">
        <v>530</v>
      </c>
      <c r="B532" s="14" t="s">
        <v>661</v>
      </c>
    </row>
    <row r="533" spans="1:2" ht="18.75" customHeight="1" x14ac:dyDescent="0.2">
      <c r="A533" s="2">
        <v>531</v>
      </c>
      <c r="B533" s="14" t="s">
        <v>662</v>
      </c>
    </row>
    <row r="534" spans="1:2" ht="18.75" customHeight="1" x14ac:dyDescent="0.2">
      <c r="A534" s="2">
        <v>532</v>
      </c>
      <c r="B534" s="14" t="s">
        <v>663</v>
      </c>
    </row>
    <row r="535" spans="1:2" ht="18.75" customHeight="1" x14ac:dyDescent="0.2">
      <c r="A535" s="2">
        <v>533</v>
      </c>
      <c r="B535" s="14" t="s">
        <v>664</v>
      </c>
    </row>
    <row r="536" spans="1:2" ht="18.75" customHeight="1" x14ac:dyDescent="0.2">
      <c r="A536" s="2">
        <v>534</v>
      </c>
      <c r="B536" s="13" t="s">
        <v>665</v>
      </c>
    </row>
    <row r="537" spans="1:2" ht="18.75" customHeight="1" x14ac:dyDescent="0.2">
      <c r="A537" s="2">
        <v>535</v>
      </c>
      <c r="B537" s="2" t="s">
        <v>666</v>
      </c>
    </row>
    <row r="538" spans="1:2" ht="18.75" customHeight="1" x14ac:dyDescent="0.2">
      <c r="A538" s="2">
        <v>536</v>
      </c>
      <c r="B538" s="14" t="s">
        <v>667</v>
      </c>
    </row>
    <row r="539" spans="1:2" ht="18.75" customHeight="1" x14ac:dyDescent="0.2">
      <c r="A539" s="2">
        <v>537</v>
      </c>
      <c r="B539" s="14" t="s">
        <v>668</v>
      </c>
    </row>
    <row r="540" spans="1:2" ht="18.75" customHeight="1" x14ac:dyDescent="0.2">
      <c r="A540" s="2">
        <v>538</v>
      </c>
      <c r="B540" s="14" t="s">
        <v>669</v>
      </c>
    </row>
    <row r="541" spans="1:2" ht="18.75" customHeight="1" x14ac:dyDescent="0.2">
      <c r="A541" s="2">
        <v>539</v>
      </c>
      <c r="B541" s="14" t="s">
        <v>670</v>
      </c>
    </row>
    <row r="542" spans="1:2" ht="18.75" customHeight="1" x14ac:dyDescent="0.2">
      <c r="A542" s="2">
        <v>540</v>
      </c>
      <c r="B542" s="14" t="s">
        <v>671</v>
      </c>
    </row>
    <row r="543" spans="1:2" ht="18.75" customHeight="1" x14ac:dyDescent="0.2">
      <c r="A543" s="2">
        <v>541</v>
      </c>
      <c r="B543" s="2" t="s">
        <v>672</v>
      </c>
    </row>
    <row r="544" spans="1:2" ht="18.75" customHeight="1" x14ac:dyDescent="0.2">
      <c r="A544" s="2">
        <v>542</v>
      </c>
      <c r="B544" s="14" t="s">
        <v>673</v>
      </c>
    </row>
    <row r="545" spans="1:2" ht="18.75" customHeight="1" x14ac:dyDescent="0.2">
      <c r="A545" s="2">
        <v>543</v>
      </c>
      <c r="B545" s="14" t="s">
        <v>674</v>
      </c>
    </row>
    <row r="546" spans="1:2" ht="18.75" customHeight="1" x14ac:dyDescent="0.2">
      <c r="A546" s="2">
        <v>544</v>
      </c>
      <c r="B546" s="14" t="s">
        <v>675</v>
      </c>
    </row>
    <row r="547" spans="1:2" ht="18.75" customHeight="1" x14ac:dyDescent="0.2">
      <c r="A547" s="2">
        <v>545</v>
      </c>
      <c r="B547" s="14" t="s">
        <v>676</v>
      </c>
    </row>
    <row r="548" spans="1:2" ht="18.75" customHeight="1" x14ac:dyDescent="0.2">
      <c r="A548" s="2">
        <v>546</v>
      </c>
      <c r="B548" s="14" t="s">
        <v>677</v>
      </c>
    </row>
    <row r="549" spans="1:2" ht="18.75" customHeight="1" x14ac:dyDescent="0.2">
      <c r="A549" s="2">
        <v>547</v>
      </c>
      <c r="B549" s="14" t="s">
        <v>678</v>
      </c>
    </row>
    <row r="550" spans="1:2" ht="18.75" customHeight="1" x14ac:dyDescent="0.2">
      <c r="A550" s="2">
        <v>548</v>
      </c>
      <c r="B550" s="14" t="s">
        <v>679</v>
      </c>
    </row>
    <row r="551" spans="1:2" ht="18.75" customHeight="1" x14ac:dyDescent="0.2">
      <c r="A551" s="2">
        <v>549</v>
      </c>
      <c r="B551" s="14" t="s">
        <v>680</v>
      </c>
    </row>
    <row r="552" spans="1:2" ht="18.75" customHeight="1" x14ac:dyDescent="0.2">
      <c r="A552" s="2">
        <v>550</v>
      </c>
      <c r="B552" s="14" t="s">
        <v>681</v>
      </c>
    </row>
    <row r="553" spans="1:2" ht="18.75" customHeight="1" x14ac:dyDescent="0.2">
      <c r="A553" s="2">
        <v>551</v>
      </c>
      <c r="B553" s="14" t="s">
        <v>682</v>
      </c>
    </row>
    <row r="554" spans="1:2" ht="18.75" customHeight="1" x14ac:dyDescent="0.2">
      <c r="A554" s="2">
        <v>552</v>
      </c>
      <c r="B554" s="14" t="s">
        <v>683</v>
      </c>
    </row>
    <row r="555" spans="1:2" ht="18.75" customHeight="1" x14ac:dyDescent="0.2">
      <c r="A555" s="2">
        <v>553</v>
      </c>
      <c r="B555" s="14" t="s">
        <v>684</v>
      </c>
    </row>
    <row r="556" spans="1:2" ht="18.75" customHeight="1" x14ac:dyDescent="0.2">
      <c r="A556" s="2">
        <v>554</v>
      </c>
      <c r="B556" s="14" t="s">
        <v>685</v>
      </c>
    </row>
    <row r="557" spans="1:2" ht="18.75" customHeight="1" x14ac:dyDescent="0.2">
      <c r="A557" s="2">
        <v>555</v>
      </c>
      <c r="B557" s="14" t="s">
        <v>686</v>
      </c>
    </row>
    <row r="558" spans="1:2" ht="18.75" customHeight="1" x14ac:dyDescent="0.2">
      <c r="A558" s="2">
        <v>556</v>
      </c>
      <c r="B558" s="14" t="s">
        <v>687</v>
      </c>
    </row>
    <row r="559" spans="1:2" ht="18.75" customHeight="1" x14ac:dyDescent="0.2">
      <c r="A559" s="2">
        <v>557</v>
      </c>
      <c r="B559" s="14" t="s">
        <v>688</v>
      </c>
    </row>
    <row r="560" spans="1:2" ht="18.75" customHeight="1" x14ac:dyDescent="0.2">
      <c r="A560" s="2">
        <v>558</v>
      </c>
      <c r="B560" s="14" t="s">
        <v>689</v>
      </c>
    </row>
    <row r="561" spans="1:2" ht="18.75" customHeight="1" x14ac:dyDescent="0.2">
      <c r="A561" s="2">
        <v>559</v>
      </c>
      <c r="B561" s="14" t="s">
        <v>690</v>
      </c>
    </row>
    <row r="562" spans="1:2" ht="18.75" customHeight="1" x14ac:dyDescent="0.2">
      <c r="A562" s="2">
        <v>560</v>
      </c>
      <c r="B562" s="14" t="s">
        <v>691</v>
      </c>
    </row>
    <row r="563" spans="1:2" ht="18.75" customHeight="1" x14ac:dyDescent="0.2">
      <c r="A563" s="2">
        <v>561</v>
      </c>
      <c r="B563" s="14" t="s">
        <v>692</v>
      </c>
    </row>
    <row r="564" spans="1:2" ht="18.75" customHeight="1" x14ac:dyDescent="0.2">
      <c r="A564" s="2">
        <v>562</v>
      </c>
      <c r="B564" s="14" t="s">
        <v>693</v>
      </c>
    </row>
    <row r="565" spans="1:2" ht="18.75" customHeight="1" x14ac:dyDescent="0.2">
      <c r="A565" s="2">
        <v>563</v>
      </c>
      <c r="B565" s="14" t="s">
        <v>694</v>
      </c>
    </row>
    <row r="566" spans="1:2" ht="18.75" customHeight="1" x14ac:dyDescent="0.2">
      <c r="A566" s="2">
        <v>564</v>
      </c>
      <c r="B566" s="14" t="s">
        <v>695</v>
      </c>
    </row>
    <row r="567" spans="1:2" ht="18.75" customHeight="1" x14ac:dyDescent="0.2">
      <c r="A567" s="2">
        <v>565</v>
      </c>
      <c r="B567" s="14" t="s">
        <v>696</v>
      </c>
    </row>
    <row r="568" spans="1:2" ht="18.75" customHeight="1" x14ac:dyDescent="0.2">
      <c r="A568" s="2">
        <v>566</v>
      </c>
      <c r="B568" s="14" t="s">
        <v>697</v>
      </c>
    </row>
    <row r="569" spans="1:2" ht="18.75" customHeight="1" x14ac:dyDescent="0.2">
      <c r="A569" s="2">
        <v>567</v>
      </c>
      <c r="B569" s="13" t="s">
        <v>699</v>
      </c>
    </row>
    <row r="570" spans="1:2" ht="18.75" customHeight="1" x14ac:dyDescent="0.2">
      <c r="A570" s="2">
        <v>568</v>
      </c>
      <c r="B570" s="14" t="s">
        <v>700</v>
      </c>
    </row>
    <row r="571" spans="1:2" ht="18.75" customHeight="1" x14ac:dyDescent="0.2">
      <c r="A571" s="2">
        <v>569</v>
      </c>
      <c r="B571" s="21" t="s">
        <v>701</v>
      </c>
    </row>
    <row r="572" spans="1:2" ht="18.75" customHeight="1" x14ac:dyDescent="0.2">
      <c r="A572" s="2">
        <v>570</v>
      </c>
      <c r="B572" s="14" t="s">
        <v>702</v>
      </c>
    </row>
    <row r="573" spans="1:2" ht="18.75" customHeight="1" x14ac:dyDescent="0.2">
      <c r="A573" s="2">
        <v>571</v>
      </c>
      <c r="B573" s="14" t="s">
        <v>703</v>
      </c>
    </row>
    <row r="574" spans="1:2" ht="18.75" customHeight="1" x14ac:dyDescent="0.2">
      <c r="A574" s="2">
        <v>572</v>
      </c>
      <c r="B574" s="14" t="s">
        <v>704</v>
      </c>
    </row>
    <row r="575" spans="1:2" ht="18.75" customHeight="1" x14ac:dyDescent="0.2">
      <c r="A575" s="2">
        <v>573</v>
      </c>
      <c r="B575" s="14" t="s">
        <v>705</v>
      </c>
    </row>
    <row r="576" spans="1:2" ht="18.75" customHeight="1" x14ac:dyDescent="0.2">
      <c r="A576" s="2">
        <v>574</v>
      </c>
      <c r="B576" s="14" t="s">
        <v>706</v>
      </c>
    </row>
    <row r="577" spans="1:2" ht="18.75" customHeight="1" x14ac:dyDescent="0.2">
      <c r="A577" s="2">
        <v>575</v>
      </c>
      <c r="B577" s="13" t="s">
        <v>707</v>
      </c>
    </row>
    <row r="578" spans="1:2" ht="18.75" customHeight="1" x14ac:dyDescent="0.2">
      <c r="A578" s="2">
        <v>576</v>
      </c>
      <c r="B578" s="13" t="s">
        <v>708</v>
      </c>
    </row>
    <row r="579" spans="1:2" ht="18.75" customHeight="1" x14ac:dyDescent="0.2">
      <c r="A579" s="2">
        <v>577</v>
      </c>
      <c r="B579" s="14" t="s">
        <v>709</v>
      </c>
    </row>
    <row r="580" spans="1:2" ht="18.75" customHeight="1" x14ac:dyDescent="0.2">
      <c r="A580" s="2">
        <v>578</v>
      </c>
      <c r="B580" s="14" t="s">
        <v>710</v>
      </c>
    </row>
    <row r="581" spans="1:2" ht="18.75" customHeight="1" x14ac:dyDescent="0.2">
      <c r="A581" s="2">
        <v>579</v>
      </c>
      <c r="B581" s="14" t="s">
        <v>711</v>
      </c>
    </row>
    <row r="582" spans="1:2" ht="18.75" customHeight="1" x14ac:dyDescent="0.2">
      <c r="A582" s="2">
        <v>580</v>
      </c>
      <c r="B582" s="13" t="s">
        <v>712</v>
      </c>
    </row>
    <row r="583" spans="1:2" ht="18.75" customHeight="1" x14ac:dyDescent="0.2">
      <c r="A583" s="2">
        <v>581</v>
      </c>
      <c r="B583" s="13" t="s">
        <v>713</v>
      </c>
    </row>
    <row r="584" spans="1:2" ht="18.75" customHeight="1" x14ac:dyDescent="0.2">
      <c r="A584" s="2">
        <v>582</v>
      </c>
      <c r="B584" s="13" t="s">
        <v>714</v>
      </c>
    </row>
    <row r="585" spans="1:2" ht="18.75" customHeight="1" x14ac:dyDescent="0.2">
      <c r="A585" s="2">
        <v>583</v>
      </c>
      <c r="B585" s="13" t="s">
        <v>715</v>
      </c>
    </row>
    <row r="586" spans="1:2" ht="18.75" customHeight="1" x14ac:dyDescent="0.2">
      <c r="A586" s="2">
        <v>584</v>
      </c>
      <c r="B586" s="13" t="s">
        <v>716</v>
      </c>
    </row>
    <row r="587" spans="1:2" ht="18.75" customHeight="1" x14ac:dyDescent="0.2">
      <c r="A587" s="2">
        <v>585</v>
      </c>
      <c r="B587" s="13" t="s">
        <v>717</v>
      </c>
    </row>
    <row r="588" spans="1:2" ht="18.75" customHeight="1" x14ac:dyDescent="0.2">
      <c r="A588" s="2">
        <v>586</v>
      </c>
      <c r="B588" s="13" t="s">
        <v>718</v>
      </c>
    </row>
    <row r="589" spans="1:2" ht="18.75" customHeight="1" x14ac:dyDescent="0.2">
      <c r="A589" s="2">
        <v>587</v>
      </c>
      <c r="B589" s="13" t="s">
        <v>719</v>
      </c>
    </row>
    <row r="590" spans="1:2" ht="18.75" customHeight="1" x14ac:dyDescent="0.2">
      <c r="A590" s="2">
        <v>588</v>
      </c>
      <c r="B590" s="2" t="s">
        <v>720</v>
      </c>
    </row>
    <row r="591" spans="1:2" ht="18.75" customHeight="1" x14ac:dyDescent="0.2">
      <c r="A591" s="2">
        <v>589</v>
      </c>
      <c r="B591" s="2" t="s">
        <v>721</v>
      </c>
    </row>
    <row r="592" spans="1:2" ht="18.75" customHeight="1" x14ac:dyDescent="0.2">
      <c r="A592" s="2">
        <v>590</v>
      </c>
      <c r="B592" s="2" t="s">
        <v>722</v>
      </c>
    </row>
    <row r="593" spans="1:2" ht="18.75" customHeight="1" x14ac:dyDescent="0.2">
      <c r="A593" s="2">
        <v>591</v>
      </c>
      <c r="B593" s="2" t="s">
        <v>723</v>
      </c>
    </row>
    <row r="594" spans="1:2" ht="18.75" customHeight="1" x14ac:dyDescent="0.2">
      <c r="A594" s="2">
        <v>592</v>
      </c>
      <c r="B594" s="2" t="s">
        <v>724</v>
      </c>
    </row>
    <row r="595" spans="1:2" ht="18.75" customHeight="1" x14ac:dyDescent="0.2">
      <c r="A595" s="2">
        <v>593</v>
      </c>
      <c r="B595" s="13" t="s">
        <v>725</v>
      </c>
    </row>
    <row r="596" spans="1:2" ht="18.75" customHeight="1" x14ac:dyDescent="0.2">
      <c r="A596" s="2">
        <v>594</v>
      </c>
      <c r="B596" s="2" t="s">
        <v>726</v>
      </c>
    </row>
    <row r="597" spans="1:2" ht="18.75" customHeight="1" x14ac:dyDescent="0.2">
      <c r="A597" s="2">
        <v>595</v>
      </c>
      <c r="B597" s="2" t="s">
        <v>727</v>
      </c>
    </row>
    <row r="598" spans="1:2" ht="18.75" customHeight="1" x14ac:dyDescent="0.2">
      <c r="A598" s="2">
        <v>596</v>
      </c>
      <c r="B598" s="13" t="s">
        <v>728</v>
      </c>
    </row>
    <row r="599" spans="1:2" ht="18.75" customHeight="1" x14ac:dyDescent="0.2">
      <c r="A599" s="2">
        <v>597</v>
      </c>
      <c r="B599" s="13" t="s">
        <v>729</v>
      </c>
    </row>
    <row r="600" spans="1:2" ht="18.75" customHeight="1" x14ac:dyDescent="0.2">
      <c r="A600" s="2">
        <v>598</v>
      </c>
      <c r="B600" s="13" t="s">
        <v>3355</v>
      </c>
    </row>
    <row r="601" spans="1:2" ht="18.75" customHeight="1" x14ac:dyDescent="0.2">
      <c r="A601" s="2">
        <v>599</v>
      </c>
      <c r="B601" s="13" t="s">
        <v>730</v>
      </c>
    </row>
    <row r="602" spans="1:2" ht="18.75" customHeight="1" x14ac:dyDescent="0.2">
      <c r="A602" s="2">
        <v>600</v>
      </c>
      <c r="B602" s="2" t="s">
        <v>731</v>
      </c>
    </row>
    <row r="603" spans="1:2" ht="18.75" customHeight="1" x14ac:dyDescent="0.2">
      <c r="A603" s="2">
        <v>601</v>
      </c>
      <c r="B603" s="13" t="s">
        <v>732</v>
      </c>
    </row>
    <row r="604" spans="1:2" ht="18.75" customHeight="1" x14ac:dyDescent="0.2">
      <c r="A604" s="2">
        <v>602</v>
      </c>
      <c r="B604" s="13" t="s">
        <v>733</v>
      </c>
    </row>
    <row r="605" spans="1:2" ht="18.75" customHeight="1" x14ac:dyDescent="0.2">
      <c r="A605" s="2">
        <v>603</v>
      </c>
      <c r="B605" s="2" t="s">
        <v>734</v>
      </c>
    </row>
    <row r="606" spans="1:2" ht="18.75" customHeight="1" x14ac:dyDescent="0.2">
      <c r="A606" s="2">
        <v>604</v>
      </c>
      <c r="B606" s="13" t="s">
        <v>735</v>
      </c>
    </row>
    <row r="607" spans="1:2" ht="18.75" customHeight="1" x14ac:dyDescent="0.2">
      <c r="A607" s="2">
        <v>605</v>
      </c>
      <c r="B607" s="13" t="s">
        <v>736</v>
      </c>
    </row>
    <row r="608" spans="1:2" ht="18.75" customHeight="1" x14ac:dyDescent="0.2">
      <c r="A608" s="2">
        <v>606</v>
      </c>
      <c r="B608" s="13" t="s">
        <v>737</v>
      </c>
    </row>
    <row r="609" spans="1:2" ht="18.75" customHeight="1" x14ac:dyDescent="0.2">
      <c r="A609" s="2">
        <v>607</v>
      </c>
      <c r="B609" s="13" t="s">
        <v>833</v>
      </c>
    </row>
    <row r="610" spans="1:2" ht="18.75" customHeight="1" x14ac:dyDescent="0.2">
      <c r="A610" s="2">
        <v>608</v>
      </c>
      <c r="B610" s="2" t="s">
        <v>834</v>
      </c>
    </row>
    <row r="611" spans="1:2" ht="18.75" customHeight="1" x14ac:dyDescent="0.2">
      <c r="A611" s="2">
        <v>609</v>
      </c>
      <c r="B611" s="13" t="s">
        <v>835</v>
      </c>
    </row>
    <row r="612" spans="1:2" ht="18.75" customHeight="1" x14ac:dyDescent="0.2">
      <c r="A612" s="2">
        <v>610</v>
      </c>
      <c r="B612" s="2" t="s">
        <v>849</v>
      </c>
    </row>
    <row r="613" spans="1:2" ht="18.75" customHeight="1" x14ac:dyDescent="0.2">
      <c r="A613" s="2">
        <v>611</v>
      </c>
      <c r="B613" s="13" t="s">
        <v>850</v>
      </c>
    </row>
    <row r="614" spans="1:2" ht="18.75" customHeight="1" x14ac:dyDescent="0.2">
      <c r="A614" s="2">
        <v>612</v>
      </c>
      <c r="B614" s="2" t="s">
        <v>851</v>
      </c>
    </row>
    <row r="615" spans="1:2" ht="18.75" customHeight="1" x14ac:dyDescent="0.2">
      <c r="A615" s="2">
        <v>613</v>
      </c>
      <c r="B615" s="13" t="s">
        <v>852</v>
      </c>
    </row>
    <row r="616" spans="1:2" ht="18.75" customHeight="1" x14ac:dyDescent="0.2">
      <c r="A616" s="2">
        <v>614</v>
      </c>
      <c r="B616" s="2" t="s">
        <v>853</v>
      </c>
    </row>
    <row r="617" spans="1:2" ht="18.75" customHeight="1" x14ac:dyDescent="0.2">
      <c r="A617" s="2">
        <v>615</v>
      </c>
      <c r="B617" s="2" t="s">
        <v>855</v>
      </c>
    </row>
    <row r="618" spans="1:2" ht="18.75" customHeight="1" x14ac:dyDescent="0.2">
      <c r="A618" s="2">
        <v>616</v>
      </c>
      <c r="B618" s="13" t="s">
        <v>891</v>
      </c>
    </row>
    <row r="619" spans="1:2" ht="18.75" customHeight="1" x14ac:dyDescent="0.2">
      <c r="A619" s="2">
        <v>617</v>
      </c>
      <c r="B619" s="13" t="s">
        <v>893</v>
      </c>
    </row>
    <row r="620" spans="1:2" ht="18.75" customHeight="1" x14ac:dyDescent="0.2">
      <c r="A620" s="2">
        <v>618</v>
      </c>
      <c r="B620" s="2" t="s">
        <v>894</v>
      </c>
    </row>
    <row r="621" spans="1:2" ht="18.75" customHeight="1" x14ac:dyDescent="0.2">
      <c r="A621" s="2">
        <v>619</v>
      </c>
      <c r="B621" s="13" t="s">
        <v>896</v>
      </c>
    </row>
    <row r="622" spans="1:2" ht="18.75" customHeight="1" x14ac:dyDescent="0.2">
      <c r="A622" s="2">
        <v>620</v>
      </c>
      <c r="B622" s="2" t="s">
        <v>897</v>
      </c>
    </row>
    <row r="623" spans="1:2" ht="18.75" customHeight="1" x14ac:dyDescent="0.2">
      <c r="A623" s="2">
        <v>621</v>
      </c>
      <c r="B623" s="13" t="s">
        <v>908</v>
      </c>
    </row>
    <row r="624" spans="1:2" ht="18.75" customHeight="1" x14ac:dyDescent="0.2">
      <c r="A624" s="2">
        <v>622</v>
      </c>
      <c r="B624" s="13" t="s">
        <v>909</v>
      </c>
    </row>
    <row r="625" spans="1:2" ht="18.75" customHeight="1" x14ac:dyDescent="0.2">
      <c r="A625" s="2">
        <v>623</v>
      </c>
      <c r="B625" s="2" t="s">
        <v>910</v>
      </c>
    </row>
    <row r="626" spans="1:2" ht="18.75" customHeight="1" x14ac:dyDescent="0.2">
      <c r="A626" s="2">
        <v>624</v>
      </c>
      <c r="B626" s="2" t="s">
        <v>912</v>
      </c>
    </row>
    <row r="627" spans="1:2" ht="18.75" customHeight="1" x14ac:dyDescent="0.2">
      <c r="A627" s="2">
        <v>625</v>
      </c>
      <c r="B627" s="2" t="s">
        <v>913</v>
      </c>
    </row>
    <row r="628" spans="1:2" ht="18.75" customHeight="1" x14ac:dyDescent="0.2">
      <c r="A628" s="2">
        <v>626</v>
      </c>
      <c r="B628" s="13" t="s">
        <v>915</v>
      </c>
    </row>
    <row r="629" spans="1:2" ht="18.75" customHeight="1" x14ac:dyDescent="0.2">
      <c r="A629" s="2">
        <v>627</v>
      </c>
      <c r="B629" s="13" t="s">
        <v>917</v>
      </c>
    </row>
    <row r="630" spans="1:2" ht="18.75" customHeight="1" x14ac:dyDescent="0.2">
      <c r="A630" s="2">
        <v>628</v>
      </c>
      <c r="B630" s="2" t="s">
        <v>918</v>
      </c>
    </row>
    <row r="631" spans="1:2" ht="18.75" customHeight="1" x14ac:dyDescent="0.2">
      <c r="A631" s="2">
        <v>629</v>
      </c>
      <c r="B631" s="2" t="s">
        <v>917</v>
      </c>
    </row>
    <row r="632" spans="1:2" ht="18.75" customHeight="1" x14ac:dyDescent="0.2">
      <c r="A632" s="2">
        <v>630</v>
      </c>
      <c r="B632" s="13" t="s">
        <v>920</v>
      </c>
    </row>
    <row r="633" spans="1:2" ht="18.75" customHeight="1" x14ac:dyDescent="0.2">
      <c r="A633" s="2">
        <v>631</v>
      </c>
      <c r="B633" s="2" t="s">
        <v>923</v>
      </c>
    </row>
    <row r="634" spans="1:2" ht="18.75" customHeight="1" x14ac:dyDescent="0.2">
      <c r="A634" s="2">
        <v>632</v>
      </c>
      <c r="B634" s="2" t="s">
        <v>924</v>
      </c>
    </row>
    <row r="635" spans="1:2" ht="18.75" customHeight="1" x14ac:dyDescent="0.2">
      <c r="A635" s="2">
        <v>633</v>
      </c>
      <c r="B635" s="2" t="s">
        <v>925</v>
      </c>
    </row>
    <row r="636" spans="1:2" ht="18.75" customHeight="1" x14ac:dyDescent="0.2">
      <c r="A636" s="2">
        <v>634</v>
      </c>
      <c r="B636" s="2" t="s">
        <v>926</v>
      </c>
    </row>
    <row r="637" spans="1:2" ht="18.75" customHeight="1" x14ac:dyDescent="0.2">
      <c r="A637" s="2">
        <v>635</v>
      </c>
      <c r="B637" s="2" t="s">
        <v>928</v>
      </c>
    </row>
    <row r="638" spans="1:2" ht="18.75" customHeight="1" x14ac:dyDescent="0.2">
      <c r="A638" s="2">
        <v>636</v>
      </c>
      <c r="B638" s="2" t="s">
        <v>929</v>
      </c>
    </row>
    <row r="639" spans="1:2" ht="18.75" customHeight="1" x14ac:dyDescent="0.2">
      <c r="A639" s="2">
        <v>637</v>
      </c>
      <c r="B639" s="2" t="s">
        <v>930</v>
      </c>
    </row>
    <row r="640" spans="1:2" ht="18.75" customHeight="1" x14ac:dyDescent="0.2">
      <c r="A640" s="2">
        <v>638</v>
      </c>
      <c r="B640" s="2" t="s">
        <v>931</v>
      </c>
    </row>
    <row r="641" spans="1:2" ht="18.75" customHeight="1" x14ac:dyDescent="0.2">
      <c r="A641" s="2">
        <v>639</v>
      </c>
      <c r="B641" s="2" t="s">
        <v>932</v>
      </c>
    </row>
    <row r="642" spans="1:2" ht="18.75" customHeight="1" x14ac:dyDescent="0.2">
      <c r="A642" s="2">
        <v>640</v>
      </c>
      <c r="B642" s="13" t="s">
        <v>933</v>
      </c>
    </row>
    <row r="643" spans="1:2" ht="18.75" customHeight="1" x14ac:dyDescent="0.2">
      <c r="A643" s="2">
        <v>641</v>
      </c>
      <c r="B643" s="13" t="s">
        <v>934</v>
      </c>
    </row>
    <row r="644" spans="1:2" ht="18.75" customHeight="1" x14ac:dyDescent="0.2">
      <c r="A644" s="2">
        <v>642</v>
      </c>
      <c r="B644" s="2" t="s">
        <v>935</v>
      </c>
    </row>
    <row r="645" spans="1:2" ht="18.75" customHeight="1" x14ac:dyDescent="0.2">
      <c r="A645" s="2">
        <v>643</v>
      </c>
      <c r="B645" s="2" t="s">
        <v>936</v>
      </c>
    </row>
    <row r="646" spans="1:2" ht="18.75" customHeight="1" x14ac:dyDescent="0.2">
      <c r="A646" s="2">
        <v>644</v>
      </c>
      <c r="B646" s="2" t="s">
        <v>937</v>
      </c>
    </row>
    <row r="647" spans="1:2" ht="18.75" customHeight="1" x14ac:dyDescent="0.2">
      <c r="A647" s="2">
        <v>645</v>
      </c>
      <c r="B647" s="2" t="s">
        <v>938</v>
      </c>
    </row>
    <row r="648" spans="1:2" ht="18.75" customHeight="1" x14ac:dyDescent="0.2">
      <c r="A648" s="2">
        <v>646</v>
      </c>
      <c r="B648" s="2" t="s">
        <v>940</v>
      </c>
    </row>
    <row r="649" spans="1:2" ht="18.75" customHeight="1" x14ac:dyDescent="0.2">
      <c r="A649" s="2">
        <v>647</v>
      </c>
      <c r="B649" s="2" t="s">
        <v>941</v>
      </c>
    </row>
    <row r="650" spans="1:2" ht="18.75" customHeight="1" x14ac:dyDescent="0.2">
      <c r="A650" s="2">
        <v>648</v>
      </c>
      <c r="B650" s="2" t="s">
        <v>942</v>
      </c>
    </row>
    <row r="651" spans="1:2" ht="18.75" customHeight="1" x14ac:dyDescent="0.2">
      <c r="A651" s="2">
        <v>649</v>
      </c>
      <c r="B651" s="2" t="s">
        <v>943</v>
      </c>
    </row>
    <row r="652" spans="1:2" ht="18.75" customHeight="1" x14ac:dyDescent="0.2">
      <c r="A652" s="2">
        <v>650</v>
      </c>
      <c r="B652" s="13" t="s">
        <v>944</v>
      </c>
    </row>
    <row r="653" spans="1:2" ht="18.75" customHeight="1" x14ac:dyDescent="0.2">
      <c r="A653" s="2">
        <v>651</v>
      </c>
      <c r="B653" s="2" t="s">
        <v>945</v>
      </c>
    </row>
    <row r="654" spans="1:2" ht="18.75" customHeight="1" x14ac:dyDescent="0.2">
      <c r="A654" s="2">
        <v>652</v>
      </c>
      <c r="B654" s="2" t="s">
        <v>946</v>
      </c>
    </row>
    <row r="655" spans="1:2" ht="18.75" customHeight="1" x14ac:dyDescent="0.2">
      <c r="A655" s="2">
        <v>653</v>
      </c>
      <c r="B655" s="2" t="s">
        <v>947</v>
      </c>
    </row>
    <row r="656" spans="1:2" ht="18.75" customHeight="1" x14ac:dyDescent="0.2">
      <c r="A656" s="2">
        <v>654</v>
      </c>
      <c r="B656" s="2" t="s">
        <v>1241</v>
      </c>
    </row>
    <row r="657" spans="1:2" ht="18.75" customHeight="1" x14ac:dyDescent="0.2">
      <c r="A657" s="2">
        <v>655</v>
      </c>
      <c r="B657" s="2" t="s">
        <v>1242</v>
      </c>
    </row>
    <row r="658" spans="1:2" ht="18.75" customHeight="1" x14ac:dyDescent="0.2">
      <c r="A658" s="2">
        <v>656</v>
      </c>
      <c r="B658" s="2" t="s">
        <v>1243</v>
      </c>
    </row>
    <row r="659" spans="1:2" ht="18.75" customHeight="1" x14ac:dyDescent="0.2">
      <c r="A659" s="2">
        <v>657</v>
      </c>
      <c r="B659" s="13" t="s">
        <v>1244</v>
      </c>
    </row>
    <row r="660" spans="1:2" ht="18.75" customHeight="1" x14ac:dyDescent="0.2">
      <c r="A660" s="2">
        <v>658</v>
      </c>
      <c r="B660" s="2" t="s">
        <v>1245</v>
      </c>
    </row>
    <row r="661" spans="1:2" ht="18.75" customHeight="1" x14ac:dyDescent="0.2">
      <c r="A661" s="2">
        <v>659</v>
      </c>
      <c r="B661" s="2" t="s">
        <v>1246</v>
      </c>
    </row>
    <row r="662" spans="1:2" ht="18.75" customHeight="1" x14ac:dyDescent="0.2">
      <c r="A662" s="2">
        <v>660</v>
      </c>
      <c r="B662" s="2" t="s">
        <v>1247</v>
      </c>
    </row>
    <row r="663" spans="1:2" ht="18.75" customHeight="1" x14ac:dyDescent="0.2">
      <c r="A663" s="2">
        <v>661</v>
      </c>
      <c r="B663" s="2" t="s">
        <v>1248</v>
      </c>
    </row>
    <row r="664" spans="1:2" ht="18.75" customHeight="1" x14ac:dyDescent="0.2">
      <c r="A664" s="2">
        <v>662</v>
      </c>
      <c r="B664" s="2" t="s">
        <v>1249</v>
      </c>
    </row>
    <row r="665" spans="1:2" ht="18.75" customHeight="1" x14ac:dyDescent="0.2">
      <c r="A665" s="2">
        <v>663</v>
      </c>
      <c r="B665" s="13" t="s">
        <v>1250</v>
      </c>
    </row>
    <row r="666" spans="1:2" ht="18.75" customHeight="1" x14ac:dyDescent="0.2">
      <c r="A666" s="2">
        <v>664</v>
      </c>
      <c r="B666" s="2" t="s">
        <v>1251</v>
      </c>
    </row>
    <row r="667" spans="1:2" ht="18.75" customHeight="1" x14ac:dyDescent="0.2">
      <c r="A667" s="2">
        <v>665</v>
      </c>
      <c r="B667" s="13" t="s">
        <v>1252</v>
      </c>
    </row>
    <row r="668" spans="1:2" ht="18.75" customHeight="1" x14ac:dyDescent="0.2">
      <c r="A668" s="2">
        <v>666</v>
      </c>
      <c r="B668" s="2" t="s">
        <v>1253</v>
      </c>
    </row>
    <row r="669" spans="1:2" ht="18.75" customHeight="1" x14ac:dyDescent="0.2">
      <c r="A669" s="2">
        <v>667</v>
      </c>
      <c r="B669" s="13" t="s">
        <v>1254</v>
      </c>
    </row>
    <row r="670" spans="1:2" ht="18.75" customHeight="1" x14ac:dyDescent="0.2">
      <c r="A670" s="2">
        <v>668</v>
      </c>
      <c r="B670" s="2" t="s">
        <v>1255</v>
      </c>
    </row>
    <row r="671" spans="1:2" ht="18.75" customHeight="1" x14ac:dyDescent="0.2">
      <c r="A671" s="2">
        <v>669</v>
      </c>
      <c r="B671" s="2" t="s">
        <v>1256</v>
      </c>
    </row>
    <row r="672" spans="1:2" ht="18.75" customHeight="1" x14ac:dyDescent="0.2">
      <c r="A672" s="2">
        <v>670</v>
      </c>
      <c r="B672" s="13" t="s">
        <v>1257</v>
      </c>
    </row>
    <row r="673" spans="1:2" ht="18.75" customHeight="1" x14ac:dyDescent="0.2">
      <c r="A673" s="2">
        <v>671</v>
      </c>
      <c r="B673" s="13" t="s">
        <v>1258</v>
      </c>
    </row>
    <row r="674" spans="1:2" ht="18.75" customHeight="1" x14ac:dyDescent="0.2">
      <c r="A674" s="2">
        <v>672</v>
      </c>
      <c r="B674" s="2" t="s">
        <v>1259</v>
      </c>
    </row>
    <row r="675" spans="1:2" ht="18.75" customHeight="1" x14ac:dyDescent="0.2">
      <c r="A675" s="2">
        <v>673</v>
      </c>
      <c r="B675" s="2" t="s">
        <v>1260</v>
      </c>
    </row>
    <row r="676" spans="1:2" ht="18.75" customHeight="1" x14ac:dyDescent="0.2">
      <c r="A676" s="2">
        <v>674</v>
      </c>
      <c r="B676" s="2" t="s">
        <v>1261</v>
      </c>
    </row>
    <row r="677" spans="1:2" ht="18.75" customHeight="1" x14ac:dyDescent="0.2">
      <c r="A677" s="2">
        <v>675</v>
      </c>
      <c r="B677" s="2" t="s">
        <v>1262</v>
      </c>
    </row>
    <row r="678" spans="1:2" ht="18.75" customHeight="1" x14ac:dyDescent="0.2">
      <c r="A678" s="2">
        <v>676</v>
      </c>
      <c r="B678" s="2" t="s">
        <v>1263</v>
      </c>
    </row>
    <row r="679" spans="1:2" ht="18.75" customHeight="1" x14ac:dyDescent="0.2">
      <c r="A679" s="2">
        <v>677</v>
      </c>
      <c r="B679" s="2" t="s">
        <v>1264</v>
      </c>
    </row>
    <row r="680" spans="1:2" ht="18.75" customHeight="1" x14ac:dyDescent="0.2">
      <c r="A680" s="2">
        <v>678</v>
      </c>
      <c r="B680" s="2" t="s">
        <v>1265</v>
      </c>
    </row>
    <row r="681" spans="1:2" ht="18.75" customHeight="1" x14ac:dyDescent="0.2">
      <c r="A681" s="2">
        <v>679</v>
      </c>
      <c r="B681" s="2" t="s">
        <v>1266</v>
      </c>
    </row>
    <row r="682" spans="1:2" ht="18.75" customHeight="1" x14ac:dyDescent="0.2">
      <c r="A682" s="2">
        <v>680</v>
      </c>
      <c r="B682" s="2" t="s">
        <v>1267</v>
      </c>
    </row>
    <row r="683" spans="1:2" ht="18.75" customHeight="1" x14ac:dyDescent="0.2">
      <c r="A683" s="2">
        <v>681</v>
      </c>
      <c r="B683" s="2" t="s">
        <v>1268</v>
      </c>
    </row>
    <row r="684" spans="1:2" ht="18.75" customHeight="1" x14ac:dyDescent="0.2">
      <c r="A684" s="2">
        <v>682</v>
      </c>
      <c r="B684" s="2" t="s">
        <v>1269</v>
      </c>
    </row>
    <row r="685" spans="1:2" ht="18.75" customHeight="1" x14ac:dyDescent="0.2">
      <c r="A685" s="2">
        <v>683</v>
      </c>
      <c r="B685" s="13" t="s">
        <v>1270</v>
      </c>
    </row>
    <row r="686" spans="1:2" ht="18.75" customHeight="1" x14ac:dyDescent="0.2">
      <c r="A686" s="2">
        <v>684</v>
      </c>
      <c r="B686" s="2" t="s">
        <v>1271</v>
      </c>
    </row>
    <row r="687" spans="1:2" ht="18.75" customHeight="1" x14ac:dyDescent="0.2">
      <c r="A687" s="2">
        <v>685</v>
      </c>
      <c r="B687" s="2" t="s">
        <v>1272</v>
      </c>
    </row>
    <row r="688" spans="1:2" ht="18.75" customHeight="1" x14ac:dyDescent="0.2">
      <c r="A688" s="2">
        <v>686</v>
      </c>
      <c r="B688" s="2" t="s">
        <v>1273</v>
      </c>
    </row>
    <row r="689" spans="1:2" ht="18.75" customHeight="1" x14ac:dyDescent="0.2">
      <c r="A689" s="2">
        <v>687</v>
      </c>
      <c r="B689" s="2" t="s">
        <v>1274</v>
      </c>
    </row>
    <row r="690" spans="1:2" ht="18.75" customHeight="1" x14ac:dyDescent="0.2">
      <c r="A690" s="2">
        <v>688</v>
      </c>
      <c r="B690" s="13" t="s">
        <v>1275</v>
      </c>
    </row>
    <row r="691" spans="1:2" ht="18.75" customHeight="1" x14ac:dyDescent="0.2">
      <c r="A691" s="2">
        <v>689</v>
      </c>
      <c r="B691" s="2" t="s">
        <v>1276</v>
      </c>
    </row>
    <row r="692" spans="1:2" ht="18.75" customHeight="1" x14ac:dyDescent="0.2">
      <c r="A692" s="2">
        <v>690</v>
      </c>
      <c r="B692" s="2" t="s">
        <v>1277</v>
      </c>
    </row>
    <row r="693" spans="1:2" ht="18.75" customHeight="1" x14ac:dyDescent="0.2">
      <c r="A693" s="2">
        <v>691</v>
      </c>
      <c r="B693" s="2" t="s">
        <v>1278</v>
      </c>
    </row>
    <row r="694" spans="1:2" ht="18.75" customHeight="1" x14ac:dyDescent="0.2">
      <c r="A694" s="2">
        <v>692</v>
      </c>
      <c r="B694" s="2" t="s">
        <v>1279</v>
      </c>
    </row>
    <row r="695" spans="1:2" ht="18.75" customHeight="1" x14ac:dyDescent="0.2">
      <c r="A695" s="2">
        <v>693</v>
      </c>
      <c r="B695" s="2" t="s">
        <v>1280</v>
      </c>
    </row>
    <row r="696" spans="1:2" ht="18.75" customHeight="1" x14ac:dyDescent="0.2">
      <c r="A696" s="2">
        <v>694</v>
      </c>
      <c r="B696" s="49" t="s">
        <v>1281</v>
      </c>
    </row>
    <row r="697" spans="1:2" ht="18.75" customHeight="1" x14ac:dyDescent="0.2">
      <c r="A697" s="2">
        <v>695</v>
      </c>
      <c r="B697" s="2" t="s">
        <v>1282</v>
      </c>
    </row>
    <row r="698" spans="1:2" ht="18.75" customHeight="1" x14ac:dyDescent="0.2">
      <c r="A698" s="2">
        <v>696</v>
      </c>
      <c r="B698" t="s">
        <v>1283</v>
      </c>
    </row>
    <row r="699" spans="1:2" ht="18.75" customHeight="1" x14ac:dyDescent="0.2">
      <c r="A699" s="2">
        <v>697</v>
      </c>
      <c r="B699" s="2" t="s">
        <v>1284</v>
      </c>
    </row>
    <row r="700" spans="1:2" ht="18.75" customHeight="1" x14ac:dyDescent="0.2">
      <c r="A700" s="2">
        <v>698</v>
      </c>
      <c r="B700" s="2" t="s">
        <v>1285</v>
      </c>
    </row>
    <row r="701" spans="1:2" ht="18.75" customHeight="1" x14ac:dyDescent="0.2">
      <c r="A701" s="2">
        <v>699</v>
      </c>
      <c r="B701" s="2" t="s">
        <v>1286</v>
      </c>
    </row>
    <row r="702" spans="1:2" ht="18.75" customHeight="1" x14ac:dyDescent="0.2">
      <c r="A702" s="2">
        <v>700</v>
      </c>
      <c r="B702" s="2" t="s">
        <v>1287</v>
      </c>
    </row>
    <row r="703" spans="1:2" ht="18.75" customHeight="1" x14ac:dyDescent="0.2">
      <c r="A703" s="2">
        <v>701</v>
      </c>
      <c r="B703" s="2" t="s">
        <v>1288</v>
      </c>
    </row>
    <row r="704" spans="1:2" ht="18.75" customHeight="1" x14ac:dyDescent="0.2">
      <c r="A704" s="2">
        <v>702</v>
      </c>
      <c r="B704" s="2" t="s">
        <v>1289</v>
      </c>
    </row>
    <row r="705" spans="1:2" ht="18.75" customHeight="1" x14ac:dyDescent="0.2">
      <c r="A705" s="2">
        <v>703</v>
      </c>
      <c r="B705" s="13" t="s">
        <v>1290</v>
      </c>
    </row>
    <row r="706" spans="1:2" ht="18.75" customHeight="1" x14ac:dyDescent="0.2">
      <c r="A706" s="2">
        <v>704</v>
      </c>
      <c r="B706" s="2" t="s">
        <v>1291</v>
      </c>
    </row>
    <row r="707" spans="1:2" ht="18.75" customHeight="1" x14ac:dyDescent="0.2">
      <c r="A707" s="2">
        <v>705</v>
      </c>
      <c r="B707" t="s">
        <v>1292</v>
      </c>
    </row>
    <row r="708" spans="1:2" ht="18.75" customHeight="1" x14ac:dyDescent="0.2">
      <c r="A708" s="2">
        <v>706</v>
      </c>
      <c r="B708" s="2" t="s">
        <v>1293</v>
      </c>
    </row>
    <row r="709" spans="1:2" ht="18.75" customHeight="1" x14ac:dyDescent="0.2">
      <c r="A709" s="2">
        <v>707</v>
      </c>
      <c r="B709" t="s">
        <v>1294</v>
      </c>
    </row>
    <row r="710" spans="1:2" ht="18.75" customHeight="1" x14ac:dyDescent="0.2">
      <c r="A710" s="2">
        <v>708</v>
      </c>
      <c r="B710" t="s">
        <v>1295</v>
      </c>
    </row>
    <row r="711" spans="1:2" ht="18.75" customHeight="1" x14ac:dyDescent="0.2">
      <c r="A711" s="2">
        <v>709</v>
      </c>
      <c r="B711" s="14" t="s">
        <v>1296</v>
      </c>
    </row>
    <row r="712" spans="1:2" ht="18.75" customHeight="1" x14ac:dyDescent="0.2">
      <c r="A712" s="2">
        <v>710</v>
      </c>
      <c r="B712" s="14" t="s">
        <v>551</v>
      </c>
    </row>
    <row r="713" spans="1:2" ht="18.75" customHeight="1" x14ac:dyDescent="0.2">
      <c r="A713" s="2">
        <v>711</v>
      </c>
      <c r="B713" s="2" t="s">
        <v>1297</v>
      </c>
    </row>
    <row r="714" spans="1:2" ht="18.75" customHeight="1" x14ac:dyDescent="0.2">
      <c r="A714" s="2">
        <v>712</v>
      </c>
      <c r="B714" s="2" t="s">
        <v>1298</v>
      </c>
    </row>
    <row r="715" spans="1:2" ht="18.75" customHeight="1" x14ac:dyDescent="0.2">
      <c r="A715" s="2">
        <v>713</v>
      </c>
      <c r="B715" s="2" t="s">
        <v>1299</v>
      </c>
    </row>
    <row r="716" spans="1:2" ht="18.75" customHeight="1" x14ac:dyDescent="0.2">
      <c r="A716" s="2">
        <v>714</v>
      </c>
      <c r="B716" s="2" t="s">
        <v>1300</v>
      </c>
    </row>
    <row r="717" spans="1:2" ht="18.75" customHeight="1" x14ac:dyDescent="0.2">
      <c r="A717" s="2">
        <v>715</v>
      </c>
      <c r="B717" s="2" t="s">
        <v>1301</v>
      </c>
    </row>
    <row r="718" spans="1:2" ht="18.75" customHeight="1" x14ac:dyDescent="0.2">
      <c r="A718" s="2">
        <v>716</v>
      </c>
      <c r="B718" s="2" t="s">
        <v>1303</v>
      </c>
    </row>
    <row r="719" spans="1:2" ht="18.75" customHeight="1" x14ac:dyDescent="0.2">
      <c r="A719" s="2">
        <v>717</v>
      </c>
      <c r="B719" s="2" t="s">
        <v>1304</v>
      </c>
    </row>
    <row r="720" spans="1:2" ht="18.75" customHeight="1" x14ac:dyDescent="0.2">
      <c r="A720" s="2">
        <v>718</v>
      </c>
      <c r="B720" s="2" t="s">
        <v>1305</v>
      </c>
    </row>
    <row r="721" spans="1:2" ht="18.75" customHeight="1" x14ac:dyDescent="0.2">
      <c r="A721" s="2">
        <v>719</v>
      </c>
      <c r="B721" s="2" t="s">
        <v>1306</v>
      </c>
    </row>
    <row r="722" spans="1:2" ht="18.75" customHeight="1" x14ac:dyDescent="0.2">
      <c r="A722" s="2">
        <v>720</v>
      </c>
      <c r="B722" s="2" t="s">
        <v>1307</v>
      </c>
    </row>
    <row r="723" spans="1:2" ht="18.75" customHeight="1" x14ac:dyDescent="0.2">
      <c r="A723" s="2">
        <v>721</v>
      </c>
      <c r="B723" s="2" t="s">
        <v>1308</v>
      </c>
    </row>
    <row r="724" spans="1:2" ht="18.75" customHeight="1" x14ac:dyDescent="0.2">
      <c r="A724" s="2">
        <v>722</v>
      </c>
      <c r="B724" s="2" t="s">
        <v>1309</v>
      </c>
    </row>
    <row r="725" spans="1:2" ht="18.75" customHeight="1" x14ac:dyDescent="0.2">
      <c r="A725" s="2">
        <v>723</v>
      </c>
      <c r="B725" s="2" t="s">
        <v>1310</v>
      </c>
    </row>
    <row r="726" spans="1:2" ht="18.75" customHeight="1" x14ac:dyDescent="0.2">
      <c r="A726" s="2">
        <v>724</v>
      </c>
      <c r="B726" s="2" t="s">
        <v>1311</v>
      </c>
    </row>
    <row r="727" spans="1:2" ht="18.75" customHeight="1" x14ac:dyDescent="0.2">
      <c r="A727" s="2">
        <v>725</v>
      </c>
      <c r="B727" s="2" t="s">
        <v>1312</v>
      </c>
    </row>
    <row r="728" spans="1:2" ht="18.75" customHeight="1" x14ac:dyDescent="0.2">
      <c r="A728" s="2">
        <v>726</v>
      </c>
      <c r="B728" s="13" t="s">
        <v>1313</v>
      </c>
    </row>
    <row r="729" spans="1:2" ht="18.75" customHeight="1" x14ac:dyDescent="0.2">
      <c r="A729" s="2">
        <v>727</v>
      </c>
      <c r="B729" s="2" t="s">
        <v>1314</v>
      </c>
    </row>
    <row r="730" spans="1:2" ht="18.75" customHeight="1" x14ac:dyDescent="0.2">
      <c r="A730" s="2">
        <v>728</v>
      </c>
      <c r="B730" s="2" t="s">
        <v>1315</v>
      </c>
    </row>
    <row r="731" spans="1:2" ht="18.75" customHeight="1" x14ac:dyDescent="0.2">
      <c r="A731" s="2">
        <v>729</v>
      </c>
      <c r="B731" s="2" t="s">
        <v>1316</v>
      </c>
    </row>
    <row r="732" spans="1:2" ht="18.75" customHeight="1" x14ac:dyDescent="0.2">
      <c r="A732" s="2">
        <v>730</v>
      </c>
      <c r="B732" s="2" t="s">
        <v>1317</v>
      </c>
    </row>
    <row r="733" spans="1:2" ht="18.75" customHeight="1" x14ac:dyDescent="0.2">
      <c r="A733" s="2">
        <v>731</v>
      </c>
      <c r="B733" s="2" t="s">
        <v>1318</v>
      </c>
    </row>
    <row r="734" spans="1:2" ht="18.75" customHeight="1" x14ac:dyDescent="0.2">
      <c r="A734" s="2">
        <v>732</v>
      </c>
      <c r="B734" s="2" t="s">
        <v>1319</v>
      </c>
    </row>
    <row r="735" spans="1:2" ht="18.75" customHeight="1" x14ac:dyDescent="0.2">
      <c r="A735" s="2">
        <v>733</v>
      </c>
      <c r="B735" s="2" t="s">
        <v>1320</v>
      </c>
    </row>
    <row r="736" spans="1:2" ht="18.75" customHeight="1" x14ac:dyDescent="0.2">
      <c r="A736" s="2">
        <v>734</v>
      </c>
      <c r="B736" s="2" t="s">
        <v>1325</v>
      </c>
    </row>
    <row r="737" spans="1:2" ht="18.75" customHeight="1" x14ac:dyDescent="0.2">
      <c r="A737" s="2">
        <v>735</v>
      </c>
      <c r="B737" s="2" t="s">
        <v>1326</v>
      </c>
    </row>
    <row r="738" spans="1:2" ht="18.75" customHeight="1" x14ac:dyDescent="0.2">
      <c r="A738" s="2">
        <v>736</v>
      </c>
      <c r="B738" s="2" t="s">
        <v>1327</v>
      </c>
    </row>
    <row r="739" spans="1:2" ht="18.75" customHeight="1" x14ac:dyDescent="0.2">
      <c r="A739" s="2">
        <v>737</v>
      </c>
      <c r="B739" s="2" t="s">
        <v>1333</v>
      </c>
    </row>
    <row r="740" spans="1:2" ht="18.75" customHeight="1" x14ac:dyDescent="0.2">
      <c r="A740" s="2">
        <v>738</v>
      </c>
      <c r="B740" s="13" t="s">
        <v>1334</v>
      </c>
    </row>
    <row r="741" spans="1:2" ht="18.75" customHeight="1" x14ac:dyDescent="0.2">
      <c r="A741" s="2">
        <v>739</v>
      </c>
      <c r="B741" s="2" t="s">
        <v>1335</v>
      </c>
    </row>
    <row r="742" spans="1:2" ht="18.75" customHeight="1" x14ac:dyDescent="0.2">
      <c r="A742" s="2">
        <v>740</v>
      </c>
      <c r="B742" s="2" t="s">
        <v>1337</v>
      </c>
    </row>
    <row r="743" spans="1:2" ht="18.75" customHeight="1" x14ac:dyDescent="0.2">
      <c r="A743" s="2">
        <v>741</v>
      </c>
      <c r="B743" s="2" t="s">
        <v>1338</v>
      </c>
    </row>
    <row r="744" spans="1:2" ht="18.75" customHeight="1" x14ac:dyDescent="0.2">
      <c r="A744" s="2">
        <v>742</v>
      </c>
      <c r="B744" s="2" t="s">
        <v>1339</v>
      </c>
    </row>
    <row r="745" spans="1:2" ht="18.75" customHeight="1" x14ac:dyDescent="0.2">
      <c r="A745" s="2">
        <v>743</v>
      </c>
      <c r="B745" s="2" t="s">
        <v>1340</v>
      </c>
    </row>
    <row r="746" spans="1:2" ht="18.75" customHeight="1" x14ac:dyDescent="0.2">
      <c r="A746" s="2">
        <v>744</v>
      </c>
      <c r="B746" s="2" t="s">
        <v>1341</v>
      </c>
    </row>
    <row r="747" spans="1:2" ht="18.75" customHeight="1" x14ac:dyDescent="0.2">
      <c r="A747" s="2">
        <v>745</v>
      </c>
      <c r="B747" s="2" t="s">
        <v>1342</v>
      </c>
    </row>
    <row r="748" spans="1:2" ht="18.75" customHeight="1" x14ac:dyDescent="0.2">
      <c r="A748" s="2">
        <v>746</v>
      </c>
      <c r="B748" s="2" t="s">
        <v>1343</v>
      </c>
    </row>
    <row r="749" spans="1:2" ht="18.75" customHeight="1" x14ac:dyDescent="0.2">
      <c r="A749" s="2">
        <v>747</v>
      </c>
      <c r="B749" s="2" t="s">
        <v>1344</v>
      </c>
    </row>
    <row r="750" spans="1:2" ht="18.75" customHeight="1" x14ac:dyDescent="0.2">
      <c r="A750" s="2">
        <v>748</v>
      </c>
      <c r="B750" s="2" t="s">
        <v>1345</v>
      </c>
    </row>
    <row r="751" spans="1:2" ht="18.75" customHeight="1" x14ac:dyDescent="0.2">
      <c r="A751" s="2">
        <v>749</v>
      </c>
      <c r="B751" s="2" t="s">
        <v>1346</v>
      </c>
    </row>
    <row r="752" spans="1:2" ht="18.75" customHeight="1" x14ac:dyDescent="0.2">
      <c r="A752" s="2">
        <v>750</v>
      </c>
      <c r="B752" s="2" t="s">
        <v>1347</v>
      </c>
    </row>
    <row r="753" spans="1:2" ht="18.75" customHeight="1" x14ac:dyDescent="0.2">
      <c r="A753" s="2">
        <v>751</v>
      </c>
      <c r="B753" s="2" t="s">
        <v>1349</v>
      </c>
    </row>
    <row r="754" spans="1:2" ht="18.75" customHeight="1" x14ac:dyDescent="0.2">
      <c r="A754" s="2">
        <v>752</v>
      </c>
      <c r="B754" s="2" t="s">
        <v>1350</v>
      </c>
    </row>
    <row r="755" spans="1:2" ht="18.75" customHeight="1" x14ac:dyDescent="0.2">
      <c r="A755" s="2">
        <v>753</v>
      </c>
      <c r="B755" s="13" t="s">
        <v>1348</v>
      </c>
    </row>
    <row r="756" spans="1:2" ht="18.75" customHeight="1" x14ac:dyDescent="0.2">
      <c r="A756" s="2">
        <v>754</v>
      </c>
      <c r="B756" s="2" t="s">
        <v>1351</v>
      </c>
    </row>
    <row r="757" spans="1:2" ht="18.75" customHeight="1" x14ac:dyDescent="0.2">
      <c r="A757" s="2">
        <v>755</v>
      </c>
      <c r="B757" s="2" t="s">
        <v>1352</v>
      </c>
    </row>
    <row r="758" spans="1:2" ht="18.75" customHeight="1" x14ac:dyDescent="0.2">
      <c r="A758" s="2">
        <v>756</v>
      </c>
      <c r="B758" s="2" t="s">
        <v>1352</v>
      </c>
    </row>
    <row r="759" spans="1:2" ht="18.75" customHeight="1" x14ac:dyDescent="0.2">
      <c r="A759" s="2">
        <v>757</v>
      </c>
      <c r="B759" s="2" t="s">
        <v>1353</v>
      </c>
    </row>
    <row r="760" spans="1:2" ht="18.75" customHeight="1" x14ac:dyDescent="0.2">
      <c r="A760" s="2">
        <v>758</v>
      </c>
      <c r="B760" s="2" t="s">
        <v>1354</v>
      </c>
    </row>
    <row r="761" spans="1:2" ht="18.75" customHeight="1" x14ac:dyDescent="0.2">
      <c r="A761" s="2">
        <v>759</v>
      </c>
      <c r="B761" s="2" t="s">
        <v>1355</v>
      </c>
    </row>
    <row r="762" spans="1:2" ht="18.75" customHeight="1" x14ac:dyDescent="0.2">
      <c r="A762" s="2">
        <v>760</v>
      </c>
      <c r="B762" s="2" t="s">
        <v>1356</v>
      </c>
    </row>
    <row r="763" spans="1:2" ht="18.75" customHeight="1" x14ac:dyDescent="0.2">
      <c r="A763" s="2">
        <v>761</v>
      </c>
      <c r="B763" s="2" t="s">
        <v>1357</v>
      </c>
    </row>
    <row r="764" spans="1:2" ht="18.75" customHeight="1" x14ac:dyDescent="0.2">
      <c r="A764" s="2">
        <v>762</v>
      </c>
      <c r="B764" s="2" t="s">
        <v>1361</v>
      </c>
    </row>
    <row r="765" spans="1:2" ht="18.75" customHeight="1" x14ac:dyDescent="0.2">
      <c r="A765" s="2">
        <v>763</v>
      </c>
      <c r="B765" s="2" t="s">
        <v>1358</v>
      </c>
    </row>
    <row r="766" spans="1:2" ht="18.75" customHeight="1" x14ac:dyDescent="0.2">
      <c r="A766" s="2">
        <v>764</v>
      </c>
      <c r="B766" s="2" t="s">
        <v>1359</v>
      </c>
    </row>
    <row r="767" spans="1:2" ht="18.75" customHeight="1" x14ac:dyDescent="0.2">
      <c r="A767" s="2">
        <v>765</v>
      </c>
      <c r="B767" s="2" t="s">
        <v>1360</v>
      </c>
    </row>
    <row r="768" spans="1:2" ht="18.75" customHeight="1" x14ac:dyDescent="0.2">
      <c r="A768" s="2">
        <v>766</v>
      </c>
      <c r="B768" s="2" t="s">
        <v>1362</v>
      </c>
    </row>
    <row r="769" spans="1:2" ht="18.75" customHeight="1" x14ac:dyDescent="0.2">
      <c r="A769" s="2">
        <v>767</v>
      </c>
      <c r="B769" s="2" t="s">
        <v>1363</v>
      </c>
    </row>
    <row r="770" spans="1:2" ht="18.75" customHeight="1" x14ac:dyDescent="0.2">
      <c r="A770" s="2">
        <v>768</v>
      </c>
      <c r="B770" s="2" t="s">
        <v>1364</v>
      </c>
    </row>
    <row r="771" spans="1:2" ht="18.75" customHeight="1" x14ac:dyDescent="0.2">
      <c r="A771" s="2">
        <v>769</v>
      </c>
      <c r="B771" s="2" t="s">
        <v>1365</v>
      </c>
    </row>
    <row r="772" spans="1:2" ht="18.75" customHeight="1" x14ac:dyDescent="0.2">
      <c r="A772" s="2">
        <v>770</v>
      </c>
      <c r="B772" s="2" t="s">
        <v>1366</v>
      </c>
    </row>
    <row r="773" spans="1:2" ht="18.75" customHeight="1" x14ac:dyDescent="0.2">
      <c r="A773" s="2">
        <v>771</v>
      </c>
      <c r="B773" s="2" t="s">
        <v>1367</v>
      </c>
    </row>
    <row r="774" spans="1:2" ht="18.75" customHeight="1" x14ac:dyDescent="0.2">
      <c r="A774" s="2">
        <v>772</v>
      </c>
      <c r="B774" s="2" t="s">
        <v>1368</v>
      </c>
    </row>
    <row r="775" spans="1:2" ht="18.75" customHeight="1" x14ac:dyDescent="0.2">
      <c r="A775" s="2">
        <v>773</v>
      </c>
      <c r="B775" s="2" t="s">
        <v>1369</v>
      </c>
    </row>
    <row r="776" spans="1:2" ht="18.75" customHeight="1" x14ac:dyDescent="0.2">
      <c r="A776" s="2">
        <v>774</v>
      </c>
      <c r="B776" s="2" t="s">
        <v>1370</v>
      </c>
    </row>
    <row r="777" spans="1:2" ht="18.75" customHeight="1" x14ac:dyDescent="0.2">
      <c r="A777" s="2">
        <v>775</v>
      </c>
      <c r="B777" s="2" t="s">
        <v>1371</v>
      </c>
    </row>
    <row r="778" spans="1:2" ht="18.75" customHeight="1" x14ac:dyDescent="0.2">
      <c r="A778" s="2">
        <v>776</v>
      </c>
      <c r="B778" s="2" t="s">
        <v>1372</v>
      </c>
    </row>
    <row r="779" spans="1:2" ht="18.75" customHeight="1" x14ac:dyDescent="0.2">
      <c r="A779" s="2">
        <v>777</v>
      </c>
      <c r="B779" s="2" t="s">
        <v>1373</v>
      </c>
    </row>
    <row r="780" spans="1:2" ht="18.75" customHeight="1" x14ac:dyDescent="0.2">
      <c r="A780" s="2">
        <v>778</v>
      </c>
      <c r="B780" s="2" t="s">
        <v>1374</v>
      </c>
    </row>
    <row r="781" spans="1:2" ht="18.75" customHeight="1" x14ac:dyDescent="0.2">
      <c r="A781" s="2">
        <v>779</v>
      </c>
      <c r="B781" s="2" t="s">
        <v>1375</v>
      </c>
    </row>
    <row r="782" spans="1:2" ht="18.75" customHeight="1" x14ac:dyDescent="0.2">
      <c r="A782" s="2">
        <v>780</v>
      </c>
      <c r="B782" s="2" t="s">
        <v>1376</v>
      </c>
    </row>
    <row r="783" spans="1:2" ht="18.75" customHeight="1" x14ac:dyDescent="0.2">
      <c r="A783" s="2">
        <v>781</v>
      </c>
      <c r="B783" s="2" t="s">
        <v>1377</v>
      </c>
    </row>
    <row r="784" spans="1:2" ht="18.75" customHeight="1" x14ac:dyDescent="0.2">
      <c r="A784" s="2">
        <v>782</v>
      </c>
      <c r="B784" s="2" t="s">
        <v>1378</v>
      </c>
    </row>
    <row r="785" spans="1:2" ht="18.75" customHeight="1" x14ac:dyDescent="0.2">
      <c r="A785" s="2">
        <v>783</v>
      </c>
      <c r="B785" s="2" t="s">
        <v>1379</v>
      </c>
    </row>
    <row r="786" spans="1:2" ht="18.75" customHeight="1" x14ac:dyDescent="0.2">
      <c r="A786" s="2">
        <v>784</v>
      </c>
      <c r="B786" s="2" t="s">
        <v>1380</v>
      </c>
    </row>
    <row r="787" spans="1:2" ht="18.75" customHeight="1" x14ac:dyDescent="0.2">
      <c r="A787" s="2">
        <v>785</v>
      </c>
      <c r="B787" s="2" t="s">
        <v>1381</v>
      </c>
    </row>
    <row r="788" spans="1:2" ht="18.75" customHeight="1" x14ac:dyDescent="0.2">
      <c r="A788" s="2">
        <v>786</v>
      </c>
      <c r="B788" s="2" t="s">
        <v>1382</v>
      </c>
    </row>
    <row r="789" spans="1:2" ht="18.75" customHeight="1" x14ac:dyDescent="0.2">
      <c r="A789" s="2">
        <v>787</v>
      </c>
      <c r="B789" s="2" t="s">
        <v>1383</v>
      </c>
    </row>
    <row r="790" spans="1:2" ht="18.75" customHeight="1" x14ac:dyDescent="0.2">
      <c r="A790" s="2">
        <v>788</v>
      </c>
      <c r="B790" s="2" t="s">
        <v>1384</v>
      </c>
    </row>
    <row r="791" spans="1:2" ht="18.75" customHeight="1" x14ac:dyDescent="0.2">
      <c r="A791" s="2">
        <v>789</v>
      </c>
      <c r="B791" s="2" t="s">
        <v>1385</v>
      </c>
    </row>
    <row r="792" spans="1:2" ht="18.75" customHeight="1" x14ac:dyDescent="0.2">
      <c r="A792" s="2">
        <v>790</v>
      </c>
      <c r="B792" s="2" t="s">
        <v>1386</v>
      </c>
    </row>
    <row r="793" spans="1:2" ht="18.75" customHeight="1" x14ac:dyDescent="0.2">
      <c r="A793" s="2">
        <v>791</v>
      </c>
      <c r="B793" s="2" t="s">
        <v>1387</v>
      </c>
    </row>
    <row r="794" spans="1:2" ht="18.75" customHeight="1" x14ac:dyDescent="0.2">
      <c r="A794" s="2">
        <v>792</v>
      </c>
      <c r="B794" s="2" t="s">
        <v>1389</v>
      </c>
    </row>
    <row r="795" spans="1:2" ht="18.75" customHeight="1" x14ac:dyDescent="0.2">
      <c r="A795" s="2">
        <v>793</v>
      </c>
      <c r="B795" s="2" t="s">
        <v>1388</v>
      </c>
    </row>
    <row r="796" spans="1:2" ht="18.75" customHeight="1" x14ac:dyDescent="0.2">
      <c r="A796" s="2">
        <v>794</v>
      </c>
      <c r="B796" s="2" t="s">
        <v>1390</v>
      </c>
    </row>
    <row r="797" spans="1:2" ht="18.75" customHeight="1" x14ac:dyDescent="0.2">
      <c r="A797" s="2">
        <v>795</v>
      </c>
      <c r="B797" s="2" t="s">
        <v>1391</v>
      </c>
    </row>
    <row r="798" spans="1:2" ht="18.75" customHeight="1" x14ac:dyDescent="0.2">
      <c r="A798" s="2">
        <v>796</v>
      </c>
      <c r="B798" s="2" t="s">
        <v>1392</v>
      </c>
    </row>
    <row r="799" spans="1:2" ht="18.75" customHeight="1" x14ac:dyDescent="0.2">
      <c r="A799" s="2">
        <v>797</v>
      </c>
      <c r="B799" s="2" t="s">
        <v>1393</v>
      </c>
    </row>
    <row r="800" spans="1:2" ht="18.75" customHeight="1" x14ac:dyDescent="0.2">
      <c r="A800" s="2">
        <v>798</v>
      </c>
      <c r="B800" s="2" t="s">
        <v>1394</v>
      </c>
    </row>
    <row r="801" spans="1:2" ht="18.75" customHeight="1" x14ac:dyDescent="0.2">
      <c r="A801" s="2">
        <v>799</v>
      </c>
      <c r="B801" s="2" t="s">
        <v>1395</v>
      </c>
    </row>
    <row r="802" spans="1:2" ht="18.75" customHeight="1" x14ac:dyDescent="0.2">
      <c r="A802" s="2">
        <v>800</v>
      </c>
      <c r="B802" s="2" t="s">
        <v>1396</v>
      </c>
    </row>
    <row r="803" spans="1:2" ht="18.75" customHeight="1" x14ac:dyDescent="0.2">
      <c r="A803" s="2">
        <v>801</v>
      </c>
      <c r="B803" s="2" t="s">
        <v>1397</v>
      </c>
    </row>
    <row r="804" spans="1:2" ht="18.75" customHeight="1" x14ac:dyDescent="0.2">
      <c r="A804" s="2">
        <v>802</v>
      </c>
      <c r="B804" s="13" t="s">
        <v>1398</v>
      </c>
    </row>
    <row r="805" spans="1:2" ht="18.75" customHeight="1" x14ac:dyDescent="0.2">
      <c r="A805" s="2">
        <v>803</v>
      </c>
      <c r="B805" s="2" t="s">
        <v>1399</v>
      </c>
    </row>
    <row r="806" spans="1:2" ht="18.75" customHeight="1" x14ac:dyDescent="0.2">
      <c r="A806" s="2">
        <v>804</v>
      </c>
      <c r="B806" s="2" t="s">
        <v>1400</v>
      </c>
    </row>
    <row r="807" spans="1:2" ht="18.75" customHeight="1" x14ac:dyDescent="0.2">
      <c r="A807" s="2">
        <v>805</v>
      </c>
      <c r="B807" s="2" t="s">
        <v>1401</v>
      </c>
    </row>
    <row r="808" spans="1:2" ht="18.75" customHeight="1" x14ac:dyDescent="0.2">
      <c r="A808" s="2">
        <v>806</v>
      </c>
      <c r="B808" s="2" t="s">
        <v>1402</v>
      </c>
    </row>
    <row r="809" spans="1:2" ht="18.75" customHeight="1" x14ac:dyDescent="0.2">
      <c r="A809" s="2">
        <v>807</v>
      </c>
      <c r="B809" s="2" t="s">
        <v>2789</v>
      </c>
    </row>
    <row r="810" spans="1:2" ht="18.75" customHeight="1" x14ac:dyDescent="0.2">
      <c r="A810" s="2">
        <v>808</v>
      </c>
      <c r="B810" s="2" t="s">
        <v>2790</v>
      </c>
    </row>
    <row r="811" spans="1:2" ht="18.75" customHeight="1" x14ac:dyDescent="0.2">
      <c r="A811" s="2">
        <v>809</v>
      </c>
      <c r="B811" s="2" t="s">
        <v>2791</v>
      </c>
    </row>
    <row r="812" spans="1:2" ht="18.75" customHeight="1" x14ac:dyDescent="0.2">
      <c r="A812" s="2">
        <v>810</v>
      </c>
      <c r="B812" s="2" t="s">
        <v>2792</v>
      </c>
    </row>
    <row r="813" spans="1:2" ht="18.75" customHeight="1" x14ac:dyDescent="0.2">
      <c r="A813" s="2">
        <v>811</v>
      </c>
      <c r="B813" s="2" t="s">
        <v>2793</v>
      </c>
    </row>
    <row r="814" spans="1:2" ht="18.75" customHeight="1" x14ac:dyDescent="0.2">
      <c r="A814" s="2">
        <v>812</v>
      </c>
      <c r="B814" s="2" t="s">
        <v>2794</v>
      </c>
    </row>
    <row r="815" spans="1:2" ht="18.75" customHeight="1" x14ac:dyDescent="0.2">
      <c r="A815" s="2">
        <v>813</v>
      </c>
      <c r="B815" s="2" t="s">
        <v>2795</v>
      </c>
    </row>
    <row r="816" spans="1:2" ht="18.75" customHeight="1" x14ac:dyDescent="0.2">
      <c r="A816" s="2">
        <v>814</v>
      </c>
      <c r="B816" s="2" t="s">
        <v>2796</v>
      </c>
    </row>
    <row r="817" spans="1:2" ht="18.75" customHeight="1" x14ac:dyDescent="0.2">
      <c r="A817" s="2">
        <v>815</v>
      </c>
      <c r="B817" s="2" t="s">
        <v>2802</v>
      </c>
    </row>
    <row r="818" spans="1:2" ht="18.75" customHeight="1" x14ac:dyDescent="0.2">
      <c r="A818" s="2">
        <v>816</v>
      </c>
      <c r="B818" s="2" t="s">
        <v>2803</v>
      </c>
    </row>
    <row r="819" spans="1:2" ht="18.75" customHeight="1" x14ac:dyDescent="0.2">
      <c r="A819" s="2">
        <v>817</v>
      </c>
      <c r="B819" s="2" t="s">
        <v>2805</v>
      </c>
    </row>
    <row r="820" spans="1:2" ht="18.75" customHeight="1" x14ac:dyDescent="0.2">
      <c r="A820" s="2">
        <v>818</v>
      </c>
      <c r="B820" s="2" t="s">
        <v>2808</v>
      </c>
    </row>
    <row r="821" spans="1:2" ht="18.75" customHeight="1" x14ac:dyDescent="0.2">
      <c r="A821" s="2">
        <v>819</v>
      </c>
      <c r="B821" s="2" t="s">
        <v>2811</v>
      </c>
    </row>
    <row r="822" spans="1:2" ht="18.75" customHeight="1" x14ac:dyDescent="0.2">
      <c r="A822" s="2">
        <v>820</v>
      </c>
      <c r="B822" s="2" t="s">
        <v>2814</v>
      </c>
    </row>
    <row r="823" spans="1:2" ht="18.75" customHeight="1" x14ac:dyDescent="0.2">
      <c r="A823" s="2">
        <v>821</v>
      </c>
      <c r="B823" s="2" t="s">
        <v>2815</v>
      </c>
    </row>
    <row r="824" spans="1:2" ht="18.75" customHeight="1" x14ac:dyDescent="0.2">
      <c r="A824" s="2">
        <v>822</v>
      </c>
      <c r="B824" s="2" t="s">
        <v>2816</v>
      </c>
    </row>
    <row r="825" spans="1:2" ht="18.75" customHeight="1" x14ac:dyDescent="0.2">
      <c r="A825" s="2">
        <v>823</v>
      </c>
      <c r="B825" s="2" t="s">
        <v>2817</v>
      </c>
    </row>
    <row r="826" spans="1:2" ht="18.75" customHeight="1" x14ac:dyDescent="0.2">
      <c r="A826" s="2">
        <v>824</v>
      </c>
      <c r="B826" s="2" t="s">
        <v>2818</v>
      </c>
    </row>
    <row r="827" spans="1:2" ht="18.75" customHeight="1" x14ac:dyDescent="0.2">
      <c r="A827" s="2">
        <v>825</v>
      </c>
      <c r="B827" s="2" t="s">
        <v>2819</v>
      </c>
    </row>
    <row r="828" spans="1:2" ht="18.75" customHeight="1" x14ac:dyDescent="0.2">
      <c r="A828" s="2">
        <v>826</v>
      </c>
      <c r="B828" s="2" t="s">
        <v>2820</v>
      </c>
    </row>
    <row r="829" spans="1:2" ht="18.75" customHeight="1" x14ac:dyDescent="0.2">
      <c r="A829" s="2">
        <v>827</v>
      </c>
      <c r="B829" s="2" t="s">
        <v>2821</v>
      </c>
    </row>
    <row r="830" spans="1:2" ht="18.75" customHeight="1" x14ac:dyDescent="0.2">
      <c r="A830" s="2">
        <v>828</v>
      </c>
      <c r="B830" s="2" t="s">
        <v>2822</v>
      </c>
    </row>
    <row r="831" spans="1:2" ht="18.75" customHeight="1" x14ac:dyDescent="0.2">
      <c r="A831" s="2">
        <v>829</v>
      </c>
      <c r="B831" s="2" t="s">
        <v>2823</v>
      </c>
    </row>
    <row r="832" spans="1:2" ht="18.75" customHeight="1" x14ac:dyDescent="0.2">
      <c r="A832" s="2">
        <v>830</v>
      </c>
      <c r="B832" s="2" t="s">
        <v>2824</v>
      </c>
    </row>
    <row r="833" spans="1:2" ht="18.75" customHeight="1" x14ac:dyDescent="0.2">
      <c r="A833" s="2">
        <v>831</v>
      </c>
      <c r="B833" s="2" t="s">
        <v>2825</v>
      </c>
    </row>
    <row r="834" spans="1:2" ht="18.75" customHeight="1" x14ac:dyDescent="0.2">
      <c r="A834" s="2">
        <v>832</v>
      </c>
      <c r="B834" s="2" t="s">
        <v>2826</v>
      </c>
    </row>
    <row r="835" spans="1:2" ht="18.75" customHeight="1" x14ac:dyDescent="0.2">
      <c r="A835" s="2">
        <v>833</v>
      </c>
      <c r="B835" s="2" t="s">
        <v>2827</v>
      </c>
    </row>
    <row r="836" spans="1:2" ht="18.75" customHeight="1" x14ac:dyDescent="0.2">
      <c r="A836" s="2">
        <v>834</v>
      </c>
      <c r="B836" s="2" t="s">
        <v>2828</v>
      </c>
    </row>
    <row r="837" spans="1:2" ht="18.75" customHeight="1" x14ac:dyDescent="0.2">
      <c r="A837" s="2">
        <v>835</v>
      </c>
      <c r="B837" s="2" t="s">
        <v>2829</v>
      </c>
    </row>
    <row r="838" spans="1:2" ht="18.75" customHeight="1" x14ac:dyDescent="0.2">
      <c r="A838" s="2">
        <v>836</v>
      </c>
      <c r="B838" s="2" t="s">
        <v>2830</v>
      </c>
    </row>
    <row r="839" spans="1:2" ht="18.75" customHeight="1" x14ac:dyDescent="0.2">
      <c r="A839" s="2">
        <v>837</v>
      </c>
      <c r="B839" s="2" t="s">
        <v>2831</v>
      </c>
    </row>
    <row r="840" spans="1:2" ht="18.75" customHeight="1" x14ac:dyDescent="0.2">
      <c r="A840" s="2">
        <v>838</v>
      </c>
      <c r="B840" s="2" t="s">
        <v>2832</v>
      </c>
    </row>
    <row r="841" spans="1:2" ht="18.75" customHeight="1" x14ac:dyDescent="0.2">
      <c r="A841" s="2">
        <v>839</v>
      </c>
      <c r="B841" s="2" t="s">
        <v>2833</v>
      </c>
    </row>
    <row r="842" spans="1:2" ht="18.75" customHeight="1" x14ac:dyDescent="0.2">
      <c r="A842" s="2">
        <v>840</v>
      </c>
      <c r="B842" s="2" t="s">
        <v>2834</v>
      </c>
    </row>
    <row r="843" spans="1:2" ht="18.75" customHeight="1" x14ac:dyDescent="0.2">
      <c r="A843" s="2">
        <v>841</v>
      </c>
      <c r="B843" s="2" t="s">
        <v>2835</v>
      </c>
    </row>
    <row r="844" spans="1:2" ht="18.75" customHeight="1" x14ac:dyDescent="0.2">
      <c r="A844" s="2">
        <v>842</v>
      </c>
      <c r="B844" s="2" t="s">
        <v>2836</v>
      </c>
    </row>
    <row r="845" spans="1:2" ht="18.75" customHeight="1" x14ac:dyDescent="0.2">
      <c r="A845" s="2">
        <v>843</v>
      </c>
      <c r="B845" s="2" t="s">
        <v>2837</v>
      </c>
    </row>
    <row r="846" spans="1:2" ht="18.75" customHeight="1" x14ac:dyDescent="0.2">
      <c r="A846" s="2">
        <v>844</v>
      </c>
      <c r="B846" s="2" t="s">
        <v>2838</v>
      </c>
    </row>
    <row r="847" spans="1:2" ht="18.75" customHeight="1" x14ac:dyDescent="0.2">
      <c r="A847" s="2">
        <v>845</v>
      </c>
      <c r="B847" s="2" t="s">
        <v>2839</v>
      </c>
    </row>
    <row r="848" spans="1:2" ht="18.75" customHeight="1" x14ac:dyDescent="0.2">
      <c r="A848" s="2">
        <v>846</v>
      </c>
      <c r="B848" s="2" t="s">
        <v>2840</v>
      </c>
    </row>
    <row r="849" spans="1:2" ht="18.75" customHeight="1" x14ac:dyDescent="0.2">
      <c r="A849" s="2">
        <v>847</v>
      </c>
      <c r="B849" s="2" t="s">
        <v>2841</v>
      </c>
    </row>
    <row r="850" spans="1:2" ht="18.75" customHeight="1" x14ac:dyDescent="0.2">
      <c r="A850" s="2">
        <v>848</v>
      </c>
      <c r="B850" s="2" t="s">
        <v>2842</v>
      </c>
    </row>
    <row r="851" spans="1:2" ht="18.75" customHeight="1" x14ac:dyDescent="0.2">
      <c r="A851" s="2">
        <v>849</v>
      </c>
      <c r="B851" s="2" t="s">
        <v>2843</v>
      </c>
    </row>
    <row r="852" spans="1:2" ht="18.75" customHeight="1" x14ac:dyDescent="0.2">
      <c r="A852" s="2">
        <v>850</v>
      </c>
      <c r="B852" s="2" t="s">
        <v>2844</v>
      </c>
    </row>
    <row r="853" spans="1:2" ht="18.75" customHeight="1" x14ac:dyDescent="0.2">
      <c r="A853" s="2">
        <v>851</v>
      </c>
      <c r="B853" s="2" t="s">
        <v>2845</v>
      </c>
    </row>
    <row r="854" spans="1:2" ht="18.75" customHeight="1" x14ac:dyDescent="0.2">
      <c r="A854" s="2">
        <v>852</v>
      </c>
      <c r="B854" s="2" t="s">
        <v>2846</v>
      </c>
    </row>
    <row r="855" spans="1:2" ht="18.75" customHeight="1" x14ac:dyDescent="0.2">
      <c r="A855" s="2">
        <v>853</v>
      </c>
      <c r="B855" s="2" t="s">
        <v>2834</v>
      </c>
    </row>
    <row r="856" spans="1:2" ht="18.75" customHeight="1" x14ac:dyDescent="0.2">
      <c r="A856" s="2">
        <v>854</v>
      </c>
      <c r="B856" s="2" t="s">
        <v>2847</v>
      </c>
    </row>
    <row r="857" spans="1:2" ht="18.75" customHeight="1" x14ac:dyDescent="0.2">
      <c r="A857" s="2">
        <v>855</v>
      </c>
      <c r="B857" s="2" t="s">
        <v>2848</v>
      </c>
    </row>
    <row r="858" spans="1:2" ht="18.75" customHeight="1" x14ac:dyDescent="0.2">
      <c r="A858" s="2">
        <v>856</v>
      </c>
      <c r="B858" s="2" t="s">
        <v>2849</v>
      </c>
    </row>
    <row r="859" spans="1:2" ht="18.75" customHeight="1" x14ac:dyDescent="0.2">
      <c r="A859" s="2">
        <v>857</v>
      </c>
      <c r="B859" s="13" t="s">
        <v>2850</v>
      </c>
    </row>
    <row r="860" spans="1:2" ht="18.75" customHeight="1" x14ac:dyDescent="0.2">
      <c r="A860" s="2">
        <v>858</v>
      </c>
      <c r="B860" s="2" t="s">
        <v>2851</v>
      </c>
    </row>
    <row r="861" spans="1:2" ht="18.75" customHeight="1" x14ac:dyDescent="0.2">
      <c r="A861" s="2">
        <v>859</v>
      </c>
      <c r="B861" s="2" t="s">
        <v>2852</v>
      </c>
    </row>
    <row r="862" spans="1:2" ht="18.75" customHeight="1" x14ac:dyDescent="0.2">
      <c r="A862" s="2">
        <v>860</v>
      </c>
      <c r="B862" s="2" t="s">
        <v>2853</v>
      </c>
    </row>
    <row r="863" spans="1:2" ht="18.75" customHeight="1" x14ac:dyDescent="0.2">
      <c r="A863" s="2">
        <v>861</v>
      </c>
      <c r="B863" s="2" t="s">
        <v>2854</v>
      </c>
    </row>
    <row r="864" spans="1:2" ht="18.75" customHeight="1" x14ac:dyDescent="0.2">
      <c r="A864" s="2">
        <v>862</v>
      </c>
      <c r="B864" s="2" t="s">
        <v>2855</v>
      </c>
    </row>
    <row r="865" spans="1:2" ht="18.75" customHeight="1" x14ac:dyDescent="0.2">
      <c r="A865" s="2">
        <v>863</v>
      </c>
      <c r="B865" s="13" t="s">
        <v>2856</v>
      </c>
    </row>
    <row r="866" spans="1:2" ht="18.75" customHeight="1" x14ac:dyDescent="0.2">
      <c r="A866" s="2">
        <v>864</v>
      </c>
      <c r="B866" s="2" t="s">
        <v>2857</v>
      </c>
    </row>
    <row r="867" spans="1:2" ht="18.75" customHeight="1" x14ac:dyDescent="0.2">
      <c r="A867" s="2">
        <v>865</v>
      </c>
      <c r="B867" s="2" t="s">
        <v>2858</v>
      </c>
    </row>
    <row r="868" spans="1:2" ht="18.75" customHeight="1" x14ac:dyDescent="0.2">
      <c r="A868" s="2">
        <v>866</v>
      </c>
      <c r="B868" s="2" t="s">
        <v>2859</v>
      </c>
    </row>
    <row r="869" spans="1:2" ht="18.75" customHeight="1" x14ac:dyDescent="0.2">
      <c r="A869" s="2">
        <v>867</v>
      </c>
      <c r="B869" s="2" t="s">
        <v>2860</v>
      </c>
    </row>
    <row r="870" spans="1:2" ht="18.75" customHeight="1" x14ac:dyDescent="0.2">
      <c r="A870" s="2">
        <v>868</v>
      </c>
      <c r="B870" s="2" t="s">
        <v>2861</v>
      </c>
    </row>
    <row r="871" spans="1:2" ht="18.75" customHeight="1" x14ac:dyDescent="0.2">
      <c r="A871" s="2">
        <v>869</v>
      </c>
      <c r="B871" s="2" t="s">
        <v>2862</v>
      </c>
    </row>
    <row r="872" spans="1:2" ht="18.75" customHeight="1" x14ac:dyDescent="0.2">
      <c r="A872" s="2">
        <v>870</v>
      </c>
      <c r="B872" s="2" t="s">
        <v>2863</v>
      </c>
    </row>
    <row r="873" spans="1:2" ht="18.75" customHeight="1" x14ac:dyDescent="0.2">
      <c r="A873" s="2">
        <v>871</v>
      </c>
      <c r="B873" s="2" t="s">
        <v>2864</v>
      </c>
    </row>
    <row r="874" spans="1:2" ht="18.75" customHeight="1" x14ac:dyDescent="0.2">
      <c r="A874" s="2">
        <v>872</v>
      </c>
      <c r="B874" s="2" t="s">
        <v>2865</v>
      </c>
    </row>
    <row r="875" spans="1:2" ht="18.75" customHeight="1" x14ac:dyDescent="0.2">
      <c r="A875" s="2">
        <v>873</v>
      </c>
      <c r="B875" s="13" t="s">
        <v>3024</v>
      </c>
    </row>
    <row r="876" spans="1:2" ht="18.75" customHeight="1" x14ac:dyDescent="0.2">
      <c r="A876" s="2">
        <v>874</v>
      </c>
      <c r="B876" s="2" t="s">
        <v>3025</v>
      </c>
    </row>
    <row r="877" spans="1:2" ht="18.75" customHeight="1" x14ac:dyDescent="0.2">
      <c r="A877" s="2">
        <v>875</v>
      </c>
      <c r="B877" s="2" t="s">
        <v>3026</v>
      </c>
    </row>
    <row r="878" spans="1:2" ht="18.75" customHeight="1" x14ac:dyDescent="0.2">
      <c r="A878" s="2">
        <v>876</v>
      </c>
      <c r="B878" s="2" t="s">
        <v>3029</v>
      </c>
    </row>
    <row r="879" spans="1:2" ht="18.75" customHeight="1" x14ac:dyDescent="0.2">
      <c r="A879" s="2">
        <v>877</v>
      </c>
      <c r="B879" s="2" t="s">
        <v>3032</v>
      </c>
    </row>
    <row r="880" spans="1:2" ht="18.75" customHeight="1" x14ac:dyDescent="0.2">
      <c r="A880" s="2">
        <v>878</v>
      </c>
      <c r="B880" s="2" t="s">
        <v>3035</v>
      </c>
    </row>
    <row r="881" spans="1:2" ht="18.75" customHeight="1" x14ac:dyDescent="0.2">
      <c r="A881" s="2">
        <v>879</v>
      </c>
      <c r="B881" s="2" t="s">
        <v>3036</v>
      </c>
    </row>
    <row r="882" spans="1:2" ht="18.75" customHeight="1" x14ac:dyDescent="0.2">
      <c r="A882" s="2">
        <v>880</v>
      </c>
      <c r="B882" s="2" t="s">
        <v>3037</v>
      </c>
    </row>
    <row r="883" spans="1:2" ht="18.75" customHeight="1" x14ac:dyDescent="0.2">
      <c r="A883" s="2">
        <v>881</v>
      </c>
      <c r="B883" s="13" t="s">
        <v>3041</v>
      </c>
    </row>
    <row r="884" spans="1:2" ht="18.75" customHeight="1" x14ac:dyDescent="0.2">
      <c r="A884" s="2">
        <v>882</v>
      </c>
      <c r="B884" s="2" t="s">
        <v>3042</v>
      </c>
    </row>
    <row r="885" spans="1:2" ht="18.75" customHeight="1" x14ac:dyDescent="0.2">
      <c r="A885" s="2">
        <v>883</v>
      </c>
      <c r="B885" s="2" t="s">
        <v>3043</v>
      </c>
    </row>
    <row r="886" spans="1:2" ht="18.75" customHeight="1" x14ac:dyDescent="0.2">
      <c r="A886" s="2">
        <v>884</v>
      </c>
      <c r="B886" s="2" t="s">
        <v>3048</v>
      </c>
    </row>
    <row r="887" spans="1:2" ht="18.75" customHeight="1" x14ac:dyDescent="0.2">
      <c r="A887" s="2">
        <v>885</v>
      </c>
      <c r="B887" s="13" t="s">
        <v>3049</v>
      </c>
    </row>
    <row r="888" spans="1:2" ht="18.75" customHeight="1" x14ac:dyDescent="0.2">
      <c r="A888" s="2">
        <v>886</v>
      </c>
      <c r="B888" s="2" t="s">
        <v>3054</v>
      </c>
    </row>
    <row r="889" spans="1:2" ht="18.75" customHeight="1" x14ac:dyDescent="0.2">
      <c r="A889" s="2">
        <v>887</v>
      </c>
      <c r="B889" s="2" t="s">
        <v>3055</v>
      </c>
    </row>
    <row r="890" spans="1:2" ht="18.75" customHeight="1" x14ac:dyDescent="0.2">
      <c r="A890" s="2">
        <v>888</v>
      </c>
      <c r="B890" s="2" t="s">
        <v>3058</v>
      </c>
    </row>
    <row r="891" spans="1:2" ht="18.75" customHeight="1" x14ac:dyDescent="0.2">
      <c r="A891" s="2">
        <v>889</v>
      </c>
      <c r="B891" s="2" t="s">
        <v>3062</v>
      </c>
    </row>
    <row r="892" spans="1:2" ht="18.75" customHeight="1" x14ac:dyDescent="0.2">
      <c r="A892" s="2">
        <v>890</v>
      </c>
      <c r="B892" s="2" t="s">
        <v>3075</v>
      </c>
    </row>
    <row r="893" spans="1:2" ht="18.75" customHeight="1" x14ac:dyDescent="0.2">
      <c r="A893" s="2">
        <v>891</v>
      </c>
      <c r="B893" s="2" t="s">
        <v>3078</v>
      </c>
    </row>
    <row r="894" spans="1:2" ht="18.75" customHeight="1" x14ac:dyDescent="0.2">
      <c r="A894" s="2">
        <v>892</v>
      </c>
      <c r="B894" s="2" t="s">
        <v>3079</v>
      </c>
    </row>
    <row r="895" spans="1:2" ht="18.75" customHeight="1" x14ac:dyDescent="0.2">
      <c r="A895" s="2">
        <v>893</v>
      </c>
      <c r="B895" s="2" t="s">
        <v>3082</v>
      </c>
    </row>
    <row r="896" spans="1:2" ht="18.75" customHeight="1" x14ac:dyDescent="0.2">
      <c r="A896" s="2">
        <v>894</v>
      </c>
      <c r="B896" s="2" t="s">
        <v>3089</v>
      </c>
    </row>
    <row r="897" spans="1:2" ht="18.75" customHeight="1" x14ac:dyDescent="0.2">
      <c r="A897" s="2">
        <v>895</v>
      </c>
      <c r="B897" s="2" t="s">
        <v>3090</v>
      </c>
    </row>
    <row r="898" spans="1:2" ht="18.75" customHeight="1" x14ac:dyDescent="0.2">
      <c r="A898" s="2">
        <v>896</v>
      </c>
      <c r="B898" s="2" t="s">
        <v>3094</v>
      </c>
    </row>
    <row r="899" spans="1:2" ht="18.75" customHeight="1" x14ac:dyDescent="0.2">
      <c r="A899" s="2">
        <v>897</v>
      </c>
      <c r="B899" s="2" t="s">
        <v>3095</v>
      </c>
    </row>
    <row r="900" spans="1:2" ht="18.75" customHeight="1" x14ac:dyDescent="0.2">
      <c r="A900" s="2">
        <v>898</v>
      </c>
      <c r="B900" s="2" t="s">
        <v>3097</v>
      </c>
    </row>
    <row r="901" spans="1:2" ht="18.75" customHeight="1" x14ac:dyDescent="0.2">
      <c r="A901" s="2">
        <v>899</v>
      </c>
      <c r="B901" s="2" t="s">
        <v>3098</v>
      </c>
    </row>
    <row r="902" spans="1:2" ht="18.75" customHeight="1" x14ac:dyDescent="0.2">
      <c r="A902" s="2">
        <v>900</v>
      </c>
      <c r="B902" s="2" t="s">
        <v>3104</v>
      </c>
    </row>
    <row r="903" spans="1:2" ht="18.75" customHeight="1" x14ac:dyDescent="0.2">
      <c r="A903" s="2">
        <v>901</v>
      </c>
      <c r="B903" s="2" t="s">
        <v>3108</v>
      </c>
    </row>
    <row r="904" spans="1:2" ht="18.75" customHeight="1" x14ac:dyDescent="0.2">
      <c r="A904" s="2">
        <v>902</v>
      </c>
      <c r="B904" s="2" t="s">
        <v>3110</v>
      </c>
    </row>
    <row r="905" spans="1:2" ht="18.75" customHeight="1" x14ac:dyDescent="0.2">
      <c r="A905" s="2">
        <v>903</v>
      </c>
      <c r="B905" s="2" t="s">
        <v>3111</v>
      </c>
    </row>
    <row r="906" spans="1:2" ht="18.75" customHeight="1" x14ac:dyDescent="0.2">
      <c r="A906" s="2">
        <v>904</v>
      </c>
      <c r="B906" s="2" t="s">
        <v>3144</v>
      </c>
    </row>
    <row r="907" spans="1:2" ht="18.75" customHeight="1" x14ac:dyDescent="0.2">
      <c r="A907" s="2">
        <v>905</v>
      </c>
      <c r="B907" s="2" t="s">
        <v>3145</v>
      </c>
    </row>
    <row r="908" spans="1:2" ht="18.75" customHeight="1" x14ac:dyDescent="0.2">
      <c r="A908" s="2">
        <v>906</v>
      </c>
      <c r="B908" s="2" t="s">
        <v>3146</v>
      </c>
    </row>
    <row r="909" spans="1:2" ht="18.75" customHeight="1" x14ac:dyDescent="0.2">
      <c r="A909" s="2">
        <v>907</v>
      </c>
      <c r="B909" s="2" t="s">
        <v>3147</v>
      </c>
    </row>
    <row r="910" spans="1:2" ht="18.75" customHeight="1" x14ac:dyDescent="0.2">
      <c r="A910" s="2">
        <v>908</v>
      </c>
      <c r="B910" s="2" t="s">
        <v>3148</v>
      </c>
    </row>
    <row r="911" spans="1:2" ht="18.75" customHeight="1" x14ac:dyDescent="0.2">
      <c r="A911" s="2">
        <v>909</v>
      </c>
      <c r="B911" s="2" t="s">
        <v>3149</v>
      </c>
    </row>
    <row r="912" spans="1:2" ht="18.75" customHeight="1" x14ac:dyDescent="0.2">
      <c r="A912" s="2">
        <v>910</v>
      </c>
      <c r="B912" s="2" t="s">
        <v>3150</v>
      </c>
    </row>
    <row r="913" spans="1:2" ht="18.75" customHeight="1" x14ac:dyDescent="0.2">
      <c r="A913" s="2">
        <v>911</v>
      </c>
      <c r="B913" s="2" t="s">
        <v>3151</v>
      </c>
    </row>
    <row r="914" spans="1:2" ht="18.75" customHeight="1" x14ac:dyDescent="0.2">
      <c r="A914" s="2">
        <v>912</v>
      </c>
      <c r="B914" s="2" t="s">
        <v>3152</v>
      </c>
    </row>
    <row r="915" spans="1:2" ht="18.75" customHeight="1" x14ac:dyDescent="0.2">
      <c r="A915" s="2">
        <v>913</v>
      </c>
      <c r="B915" s="2" t="s">
        <v>3143</v>
      </c>
    </row>
    <row r="916" spans="1:2" ht="18.75" customHeight="1" x14ac:dyDescent="0.2">
      <c r="A916" s="2">
        <v>914</v>
      </c>
      <c r="B916" s="2" t="s">
        <v>3182</v>
      </c>
    </row>
    <row r="917" spans="1:2" ht="18.75" customHeight="1" x14ac:dyDescent="0.2">
      <c r="A917" s="2">
        <v>915</v>
      </c>
      <c r="B917" s="2" t="s">
        <v>3183</v>
      </c>
    </row>
    <row r="918" spans="1:2" ht="18.75" customHeight="1" x14ac:dyDescent="0.2">
      <c r="A918" s="2">
        <v>916</v>
      </c>
      <c r="B918" s="2" t="s">
        <v>3184</v>
      </c>
    </row>
    <row r="919" spans="1:2" ht="18.75" customHeight="1" x14ac:dyDescent="0.2">
      <c r="A919" s="2">
        <v>917</v>
      </c>
      <c r="B919" s="2" t="s">
        <v>3185</v>
      </c>
    </row>
    <row r="920" spans="1:2" ht="18.75" customHeight="1" x14ac:dyDescent="0.2">
      <c r="A920" s="2">
        <v>918</v>
      </c>
      <c r="B920" s="2" t="s">
        <v>3186</v>
      </c>
    </row>
    <row r="921" spans="1:2" ht="18.75" customHeight="1" x14ac:dyDescent="0.2">
      <c r="A921" s="2">
        <v>919</v>
      </c>
      <c r="B921" s="2" t="s">
        <v>3187</v>
      </c>
    </row>
    <row r="922" spans="1:2" ht="18.75" customHeight="1" x14ac:dyDescent="0.2">
      <c r="A922" s="2">
        <v>920</v>
      </c>
      <c r="B922" s="13" t="s">
        <v>3188</v>
      </c>
    </row>
    <row r="923" spans="1:2" ht="18.75" customHeight="1" x14ac:dyDescent="0.2">
      <c r="A923" s="2">
        <v>921</v>
      </c>
      <c r="B923" s="2" t="s">
        <v>3189</v>
      </c>
    </row>
    <row r="924" spans="1:2" ht="18.75" customHeight="1" x14ac:dyDescent="0.2">
      <c r="A924" s="2">
        <v>922</v>
      </c>
      <c r="B924" s="2" t="s">
        <v>3194</v>
      </c>
    </row>
    <row r="925" spans="1:2" ht="18.75" customHeight="1" x14ac:dyDescent="0.2">
      <c r="A925" s="2">
        <v>923</v>
      </c>
      <c r="B925" s="2" t="s">
        <v>3195</v>
      </c>
    </row>
    <row r="926" spans="1:2" ht="18.75" customHeight="1" x14ac:dyDescent="0.2">
      <c r="A926" s="2">
        <v>924</v>
      </c>
      <c r="B926" s="2" t="s">
        <v>3198</v>
      </c>
    </row>
    <row r="927" spans="1:2" ht="18.75" customHeight="1" x14ac:dyDescent="0.2">
      <c r="A927" s="2">
        <v>925</v>
      </c>
      <c r="B927" s="2" t="s">
        <v>3199</v>
      </c>
    </row>
    <row r="928" spans="1:2" ht="18.75" customHeight="1" x14ac:dyDescent="0.2">
      <c r="A928" s="2">
        <v>926</v>
      </c>
      <c r="B928" s="2" t="s">
        <v>3201</v>
      </c>
    </row>
    <row r="929" spans="1:2" ht="18.75" customHeight="1" x14ac:dyDescent="0.2">
      <c r="A929" s="2">
        <v>927</v>
      </c>
      <c r="B929" s="2" t="s">
        <v>3356</v>
      </c>
    </row>
    <row r="930" spans="1:2" ht="18.75" customHeight="1" x14ac:dyDescent="0.2">
      <c r="A930" s="2">
        <v>928</v>
      </c>
      <c r="B930" s="2" t="s">
        <v>3204</v>
      </c>
    </row>
    <row r="931" spans="1:2" ht="18.75" customHeight="1" x14ac:dyDescent="0.2">
      <c r="A931" s="2">
        <v>929</v>
      </c>
      <c r="B931" s="2" t="s">
        <v>3208</v>
      </c>
    </row>
    <row r="932" spans="1:2" ht="18.75" customHeight="1" x14ac:dyDescent="0.2">
      <c r="A932" s="2">
        <v>930</v>
      </c>
      <c r="B932" s="2" t="s">
        <v>3210</v>
      </c>
    </row>
    <row r="933" spans="1:2" ht="18.75" customHeight="1" x14ac:dyDescent="0.2">
      <c r="A933" s="2">
        <v>931</v>
      </c>
      <c r="B933" s="2" t="s">
        <v>1251</v>
      </c>
    </row>
    <row r="934" spans="1:2" ht="18.75" customHeight="1" x14ac:dyDescent="0.2">
      <c r="A934" s="2">
        <v>932</v>
      </c>
      <c r="B934" s="2" t="s">
        <v>3357</v>
      </c>
    </row>
    <row r="935" spans="1:2" ht="18.75" customHeight="1" x14ac:dyDescent="0.2">
      <c r="A935" s="2">
        <v>933</v>
      </c>
      <c r="B935" s="2" t="s">
        <v>3358</v>
      </c>
    </row>
    <row r="936" spans="1:2" ht="18.75" customHeight="1" x14ac:dyDescent="0.2">
      <c r="A936" s="2">
        <v>934</v>
      </c>
      <c r="B936" s="2" t="s">
        <v>3359</v>
      </c>
    </row>
    <row r="937" spans="1:2" ht="18.75" customHeight="1" x14ac:dyDescent="0.2">
      <c r="A937" s="2">
        <v>935</v>
      </c>
      <c r="B937" s="2" t="s">
        <v>3360</v>
      </c>
    </row>
    <row r="938" spans="1:2" ht="18.75" customHeight="1" x14ac:dyDescent="0.2">
      <c r="A938" s="2">
        <v>936</v>
      </c>
      <c r="B938" s="2" t="s">
        <v>3361</v>
      </c>
    </row>
    <row r="939" spans="1:2" ht="18.75" customHeight="1" x14ac:dyDescent="0.2">
      <c r="A939" s="2">
        <v>937</v>
      </c>
      <c r="B939" s="2" t="s">
        <v>3362</v>
      </c>
    </row>
    <row r="940" spans="1:2" ht="18.75" customHeight="1" x14ac:dyDescent="0.2">
      <c r="A940" s="2">
        <v>938</v>
      </c>
      <c r="B940" s="2" t="s">
        <v>3363</v>
      </c>
    </row>
    <row r="941" spans="1:2" ht="18.75" customHeight="1" x14ac:dyDescent="0.2">
      <c r="A941" s="2">
        <v>939</v>
      </c>
      <c r="B941" s="2" t="s">
        <v>3364</v>
      </c>
    </row>
    <row r="942" spans="1:2" ht="18.75" customHeight="1" x14ac:dyDescent="0.2">
      <c r="A942" s="2">
        <v>940</v>
      </c>
      <c r="B942" s="2" t="s">
        <v>3365</v>
      </c>
    </row>
    <row r="943" spans="1:2" ht="18.75" customHeight="1" x14ac:dyDescent="0.2">
      <c r="A943" s="2">
        <v>941</v>
      </c>
      <c r="B943" s="2" t="s">
        <v>3366</v>
      </c>
    </row>
    <row r="944" spans="1:2" ht="18.75" customHeight="1" x14ac:dyDescent="0.2">
      <c r="A944" s="2">
        <v>942</v>
      </c>
      <c r="B944" s="2" t="s">
        <v>3367</v>
      </c>
    </row>
    <row r="945" spans="1:2" ht="18.75" customHeight="1" x14ac:dyDescent="0.2">
      <c r="A945" s="2">
        <v>943</v>
      </c>
      <c r="B945" s="2" t="s">
        <v>3368</v>
      </c>
    </row>
    <row r="946" spans="1:2" ht="18.75" customHeight="1" x14ac:dyDescent="0.2">
      <c r="A946" s="2">
        <v>944</v>
      </c>
      <c r="B946" s="2" t="s">
        <v>3241</v>
      </c>
    </row>
    <row r="947" spans="1:2" ht="18.75" customHeight="1" x14ac:dyDescent="0.2">
      <c r="A947" s="2">
        <v>945</v>
      </c>
      <c r="B947" s="2" t="s">
        <v>3242</v>
      </c>
    </row>
    <row r="948" spans="1:2" ht="18.75" customHeight="1" x14ac:dyDescent="0.2">
      <c r="A948" s="2">
        <v>946</v>
      </c>
      <c r="B948" s="2" t="s">
        <v>3369</v>
      </c>
    </row>
    <row r="949" spans="1:2" ht="18.75" customHeight="1" x14ac:dyDescent="0.2">
      <c r="A949" s="2">
        <v>947</v>
      </c>
      <c r="B949" s="13" t="s">
        <v>3370</v>
      </c>
    </row>
    <row r="950" spans="1:2" ht="18.75" customHeight="1" x14ac:dyDescent="0.2">
      <c r="A950" s="2">
        <v>948</v>
      </c>
      <c r="B950" s="2" t="s">
        <v>3371</v>
      </c>
    </row>
    <row r="951" spans="1:2" ht="18.75" customHeight="1" x14ac:dyDescent="0.2">
      <c r="A951" s="2">
        <v>949</v>
      </c>
      <c r="B951" s="2" t="s">
        <v>3372</v>
      </c>
    </row>
    <row r="952" spans="1:2" ht="18.75" customHeight="1" x14ac:dyDescent="0.2">
      <c r="A952" s="2">
        <v>950</v>
      </c>
      <c r="B952" s="2" t="s">
        <v>3373</v>
      </c>
    </row>
    <row r="953" spans="1:2" ht="18.75" customHeight="1" x14ac:dyDescent="0.2">
      <c r="A953" s="2">
        <v>951</v>
      </c>
      <c r="B953" s="2" t="s">
        <v>3374</v>
      </c>
    </row>
    <row r="954" spans="1:2" ht="18.75" customHeight="1" x14ac:dyDescent="0.2">
      <c r="A954" s="2">
        <v>952</v>
      </c>
      <c r="B954" s="2" t="s">
        <v>3375</v>
      </c>
    </row>
    <row r="955" spans="1:2" ht="18.75" customHeight="1" x14ac:dyDescent="0.2">
      <c r="A955" s="2">
        <v>953</v>
      </c>
      <c r="B955" s="2" t="s">
        <v>3376</v>
      </c>
    </row>
    <row r="956" spans="1:2" ht="18.75" customHeight="1" x14ac:dyDescent="0.2">
      <c r="A956" s="2">
        <v>954</v>
      </c>
      <c r="B956" s="2" t="s">
        <v>3377</v>
      </c>
    </row>
    <row r="957" spans="1:2" ht="18.75" customHeight="1" x14ac:dyDescent="0.2">
      <c r="A957" s="2">
        <v>955</v>
      </c>
      <c r="B957" s="13" t="s">
        <v>3378</v>
      </c>
    </row>
    <row r="958" spans="1:2" ht="18.75" customHeight="1" x14ac:dyDescent="0.2">
      <c r="A958" s="2">
        <v>956</v>
      </c>
      <c r="B958" s="13" t="s">
        <v>3379</v>
      </c>
    </row>
    <row r="959" spans="1:2" ht="18.75" customHeight="1" x14ac:dyDescent="0.2">
      <c r="A959" s="2">
        <v>957</v>
      </c>
      <c r="B959" s="2" t="s">
        <v>3380</v>
      </c>
    </row>
    <row r="960" spans="1:2" ht="18.75" customHeight="1" x14ac:dyDescent="0.2">
      <c r="A960" s="2">
        <v>958</v>
      </c>
      <c r="B960" s="2" t="s">
        <v>3380</v>
      </c>
    </row>
    <row r="961" spans="1:2" ht="18.75" customHeight="1" x14ac:dyDescent="0.2">
      <c r="A961" s="2">
        <v>959</v>
      </c>
      <c r="B961" s="2" t="s">
        <v>3381</v>
      </c>
    </row>
    <row r="962" spans="1:2" ht="18.75" customHeight="1" x14ac:dyDescent="0.2">
      <c r="A962" s="2">
        <v>960</v>
      </c>
      <c r="B962" s="2" t="s">
        <v>3382</v>
      </c>
    </row>
    <row r="963" spans="1:2" ht="18.75" customHeight="1" x14ac:dyDescent="0.2">
      <c r="A963" s="2">
        <v>961</v>
      </c>
      <c r="B963" s="13" t="s">
        <v>3383</v>
      </c>
    </row>
    <row r="964" spans="1:2" ht="18.75" customHeight="1" x14ac:dyDescent="0.2">
      <c r="A964" s="2">
        <v>962</v>
      </c>
      <c r="B964" s="13" t="s">
        <v>3384</v>
      </c>
    </row>
    <row r="965" spans="1:2" ht="18.75" customHeight="1" x14ac:dyDescent="0.2">
      <c r="A965" s="2">
        <v>963</v>
      </c>
      <c r="B965" s="13" t="s">
        <v>3385</v>
      </c>
    </row>
    <row r="966" spans="1:2" ht="18.75" customHeight="1" x14ac:dyDescent="0.2">
      <c r="A966" s="2">
        <v>964</v>
      </c>
      <c r="B966" s="13" t="s">
        <v>3386</v>
      </c>
    </row>
    <row r="967" spans="1:2" ht="18.75" customHeight="1" x14ac:dyDescent="0.2">
      <c r="A967" s="2">
        <v>965</v>
      </c>
      <c r="B967" s="13" t="s">
        <v>3387</v>
      </c>
    </row>
    <row r="968" spans="1:2" ht="18.75" customHeight="1" x14ac:dyDescent="0.2">
      <c r="A968" s="2">
        <v>966</v>
      </c>
      <c r="B968" s="2" t="s">
        <v>3388</v>
      </c>
    </row>
    <row r="969" spans="1:2" ht="18.75" customHeight="1" x14ac:dyDescent="0.2">
      <c r="A969" s="2">
        <v>967</v>
      </c>
      <c r="B969" s="13" t="s">
        <v>3389</v>
      </c>
    </row>
    <row r="970" spans="1:2" ht="18.75" customHeight="1" x14ac:dyDescent="0.2">
      <c r="A970" s="2">
        <v>968</v>
      </c>
      <c r="B970" s="13" t="s">
        <v>3390</v>
      </c>
    </row>
    <row r="971" spans="1:2" ht="18.75" customHeight="1" x14ac:dyDescent="0.2">
      <c r="A971" s="2">
        <v>969</v>
      </c>
      <c r="B971" s="2" t="s">
        <v>3391</v>
      </c>
    </row>
    <row r="972" spans="1:2" ht="18.75" customHeight="1" x14ac:dyDescent="0.2">
      <c r="A972" s="2">
        <v>970</v>
      </c>
      <c r="B972" s="2" t="s">
        <v>3392</v>
      </c>
    </row>
    <row r="973" spans="1:2" ht="18.75" customHeight="1" x14ac:dyDescent="0.2">
      <c r="A973" s="2">
        <v>971</v>
      </c>
      <c r="B973" s="2" t="s">
        <v>3393</v>
      </c>
    </row>
    <row r="974" spans="1:2" ht="18.75" customHeight="1" x14ac:dyDescent="0.2">
      <c r="A974" s="2">
        <v>972</v>
      </c>
      <c r="B974" s="2" t="s">
        <v>3394</v>
      </c>
    </row>
    <row r="975" spans="1:2" ht="18.75" customHeight="1" x14ac:dyDescent="0.2">
      <c r="A975" s="2">
        <v>973</v>
      </c>
      <c r="B975" s="2" t="s">
        <v>3395</v>
      </c>
    </row>
    <row r="976" spans="1:2" ht="18.75" customHeight="1" x14ac:dyDescent="0.2">
      <c r="A976" s="2">
        <v>974</v>
      </c>
      <c r="B976" s="2" t="s">
        <v>3396</v>
      </c>
    </row>
    <row r="977" spans="1:2" ht="18.75" customHeight="1" x14ac:dyDescent="0.2">
      <c r="A977" s="2">
        <v>975</v>
      </c>
      <c r="B977" s="2" t="s">
        <v>3397</v>
      </c>
    </row>
    <row r="978" spans="1:2" ht="18.75" customHeight="1" x14ac:dyDescent="0.2">
      <c r="A978" s="2">
        <v>976</v>
      </c>
      <c r="B978" s="2" t="s">
        <v>3398</v>
      </c>
    </row>
    <row r="979" spans="1:2" ht="18.75" customHeight="1" x14ac:dyDescent="0.2">
      <c r="A979" s="2">
        <v>977</v>
      </c>
      <c r="B979" s="2" t="s">
        <v>3399</v>
      </c>
    </row>
    <row r="980" spans="1:2" ht="18.75" customHeight="1" x14ac:dyDescent="0.2">
      <c r="A980" s="2">
        <v>978</v>
      </c>
      <c r="B980" s="2" t="s">
        <v>3400</v>
      </c>
    </row>
    <row r="981" spans="1:2" ht="18.75" customHeight="1" x14ac:dyDescent="0.2">
      <c r="A981" s="2">
        <v>979</v>
      </c>
      <c r="B981" s="2" t="s">
        <v>3401</v>
      </c>
    </row>
    <row r="982" spans="1:2" ht="18.75" customHeight="1" x14ac:dyDescent="0.2">
      <c r="A982" s="2">
        <v>980</v>
      </c>
      <c r="B982" s="2" t="s">
        <v>3402</v>
      </c>
    </row>
    <row r="983" spans="1:2" ht="18.75" customHeight="1" x14ac:dyDescent="0.2">
      <c r="A983" s="2">
        <v>981</v>
      </c>
      <c r="B983" s="2" t="s">
        <v>3403</v>
      </c>
    </row>
    <row r="984" spans="1:2" ht="18.75" customHeight="1" x14ac:dyDescent="0.2">
      <c r="A984" s="2">
        <v>982</v>
      </c>
      <c r="B984" s="13" t="s">
        <v>3404</v>
      </c>
    </row>
    <row r="985" spans="1:2" ht="18.75" customHeight="1" x14ac:dyDescent="0.2">
      <c r="A985" s="2">
        <v>983</v>
      </c>
      <c r="B985" s="2" t="s">
        <v>3405</v>
      </c>
    </row>
    <row r="986" spans="1:2" ht="18.75" customHeight="1" x14ac:dyDescent="0.2">
      <c r="A986" s="2">
        <v>984</v>
      </c>
      <c r="B986" s="2" t="s">
        <v>3406</v>
      </c>
    </row>
    <row r="987" spans="1:2" ht="18.75" customHeight="1" x14ac:dyDescent="0.2">
      <c r="A987" s="2">
        <v>985</v>
      </c>
      <c r="B987" s="2" t="s">
        <v>3407</v>
      </c>
    </row>
    <row r="988" spans="1:2" ht="18.75" customHeight="1" x14ac:dyDescent="0.2">
      <c r="A988" s="2">
        <v>986</v>
      </c>
      <c r="B988" s="2" t="s">
        <v>3408</v>
      </c>
    </row>
    <row r="989" spans="1:2" ht="18.75" customHeight="1" x14ac:dyDescent="0.2">
      <c r="A989" s="2">
        <v>987</v>
      </c>
      <c r="B989" s="2" t="s">
        <v>3409</v>
      </c>
    </row>
    <row r="990" spans="1:2" ht="18.75" customHeight="1" x14ac:dyDescent="0.2">
      <c r="A990" s="2">
        <v>988</v>
      </c>
      <c r="B990" s="2" t="s">
        <v>3410</v>
      </c>
    </row>
    <row r="991" spans="1:2" ht="18.75" customHeight="1" x14ac:dyDescent="0.2">
      <c r="A991" s="2">
        <v>989</v>
      </c>
      <c r="B991" s="2" t="s">
        <v>3411</v>
      </c>
    </row>
    <row r="992" spans="1:2" ht="18.75" customHeight="1" x14ac:dyDescent="0.2">
      <c r="A992" s="2">
        <v>990</v>
      </c>
      <c r="B992" s="2" t="s">
        <v>3412</v>
      </c>
    </row>
    <row r="993" spans="1:2" ht="18.75" customHeight="1" x14ac:dyDescent="0.2">
      <c r="A993" s="2">
        <v>991</v>
      </c>
      <c r="B993" s="2" t="s">
        <v>3413</v>
      </c>
    </row>
    <row r="994" spans="1:2" ht="18.75" customHeight="1" x14ac:dyDescent="0.2">
      <c r="A994" s="2">
        <v>992</v>
      </c>
      <c r="B994" s="2" t="s">
        <v>3414</v>
      </c>
    </row>
    <row r="995" spans="1:2" ht="18.75" customHeight="1" x14ac:dyDescent="0.2">
      <c r="A995" s="2">
        <v>993</v>
      </c>
      <c r="B995" s="2" t="s">
        <v>3415</v>
      </c>
    </row>
    <row r="996" spans="1:2" ht="18.75" customHeight="1" x14ac:dyDescent="0.2">
      <c r="A996" s="2">
        <v>994</v>
      </c>
      <c r="B996" s="2" t="s">
        <v>3416</v>
      </c>
    </row>
    <row r="997" spans="1:2" ht="18.75" customHeight="1" x14ac:dyDescent="0.2">
      <c r="A997" s="2">
        <v>995</v>
      </c>
      <c r="B997" s="2" t="s">
        <v>3417</v>
      </c>
    </row>
    <row r="998" spans="1:2" ht="18.75" customHeight="1" x14ac:dyDescent="0.2">
      <c r="A998" s="2">
        <v>996</v>
      </c>
      <c r="B998" s="2" t="s">
        <v>3418</v>
      </c>
    </row>
    <row r="999" spans="1:2" ht="18.75" customHeight="1" x14ac:dyDescent="0.2">
      <c r="A999" s="2">
        <v>997</v>
      </c>
      <c r="B999" s="2" t="s">
        <v>3419</v>
      </c>
    </row>
    <row r="1000" spans="1:2" ht="18.75" customHeight="1" x14ac:dyDescent="0.2">
      <c r="A1000" s="2">
        <v>998</v>
      </c>
      <c r="B1000" s="2" t="s">
        <v>3420</v>
      </c>
    </row>
    <row r="1001" spans="1:2" ht="18.75" customHeight="1" x14ac:dyDescent="0.2">
      <c r="A1001" s="2">
        <v>999</v>
      </c>
      <c r="B1001" s="2" t="s">
        <v>3421</v>
      </c>
    </row>
    <row r="1002" spans="1:2" ht="18.75" customHeight="1" x14ac:dyDescent="0.2">
      <c r="A1002" s="2">
        <v>1000</v>
      </c>
      <c r="B1002" s="2" t="s">
        <v>3422</v>
      </c>
    </row>
    <row r="1003" spans="1:2" ht="18.75" customHeight="1" x14ac:dyDescent="0.2">
      <c r="A1003" s="2">
        <v>1001</v>
      </c>
      <c r="B1003" s="2" t="s">
        <v>3423</v>
      </c>
    </row>
    <row r="1004" spans="1:2" ht="18.75" customHeight="1" x14ac:dyDescent="0.2">
      <c r="A1004" s="2">
        <v>1002</v>
      </c>
      <c r="B1004" s="2" t="s">
        <v>3424</v>
      </c>
    </row>
    <row r="1005" spans="1:2" ht="18.75" customHeight="1" x14ac:dyDescent="0.2">
      <c r="A1005" s="2">
        <v>1003</v>
      </c>
      <c r="B1005" s="2" t="s">
        <v>3425</v>
      </c>
    </row>
    <row r="1006" spans="1:2" ht="18.75" customHeight="1" x14ac:dyDescent="0.2">
      <c r="A1006" s="2">
        <v>1004</v>
      </c>
      <c r="B1006" s="2" t="s">
        <v>3426</v>
      </c>
    </row>
    <row r="1007" spans="1:2" ht="18.75" customHeight="1" x14ac:dyDescent="0.2">
      <c r="A1007" s="2">
        <v>1005</v>
      </c>
      <c r="B1007" s="2" t="s">
        <v>3427</v>
      </c>
    </row>
    <row r="1008" spans="1:2" ht="18.75" customHeight="1" x14ac:dyDescent="0.2">
      <c r="A1008" s="2">
        <v>1006</v>
      </c>
      <c r="B1008" s="2" t="s">
        <v>3428</v>
      </c>
    </row>
    <row r="1009" spans="1:2" ht="18.75" customHeight="1" x14ac:dyDescent="0.2">
      <c r="A1009" s="2">
        <v>1007</v>
      </c>
      <c r="B1009" s="2" t="s">
        <v>3429</v>
      </c>
    </row>
    <row r="1010" spans="1:2" ht="18.75" customHeight="1" x14ac:dyDescent="0.2">
      <c r="A1010" s="2">
        <v>1008</v>
      </c>
      <c r="B1010" s="2" t="s">
        <v>3430</v>
      </c>
    </row>
    <row r="1011" spans="1:2" ht="18.75" customHeight="1" x14ac:dyDescent="0.2">
      <c r="A1011" s="2">
        <v>1009</v>
      </c>
      <c r="B1011" s="2" t="s">
        <v>3431</v>
      </c>
    </row>
    <row r="1012" spans="1:2" ht="18.75" customHeight="1" x14ac:dyDescent="0.2">
      <c r="A1012" s="2">
        <v>1010</v>
      </c>
      <c r="B1012" s="2" t="s">
        <v>3432</v>
      </c>
    </row>
    <row r="1013" spans="1:2" ht="18.75" customHeight="1" x14ac:dyDescent="0.2">
      <c r="A1013" s="2">
        <v>1011</v>
      </c>
      <c r="B1013" s="2" t="s">
        <v>3433</v>
      </c>
    </row>
    <row r="1014" spans="1:2" ht="18.75" customHeight="1" x14ac:dyDescent="0.2">
      <c r="A1014" s="2">
        <v>1012</v>
      </c>
      <c r="B1014" s="2" t="s">
        <v>3434</v>
      </c>
    </row>
    <row r="1015" spans="1:2" ht="18.75" customHeight="1" x14ac:dyDescent="0.2">
      <c r="A1015" s="2">
        <v>1013</v>
      </c>
      <c r="B1015" s="2" t="s">
        <v>3435</v>
      </c>
    </row>
    <row r="1016" spans="1:2" ht="18.75" customHeight="1" x14ac:dyDescent="0.2">
      <c r="A1016" s="2">
        <v>1014</v>
      </c>
      <c r="B1016" s="2" t="s">
        <v>3436</v>
      </c>
    </row>
    <row r="1017" spans="1:2" ht="18.75" customHeight="1" x14ac:dyDescent="0.2">
      <c r="A1017" s="2">
        <v>1015</v>
      </c>
      <c r="B1017" s="2" t="s">
        <v>3437</v>
      </c>
    </row>
    <row r="1018" spans="1:2" ht="18.75" customHeight="1" x14ac:dyDescent="0.2">
      <c r="A1018" s="2">
        <v>1016</v>
      </c>
      <c r="B1018" s="13" t="s">
        <v>3438</v>
      </c>
    </row>
    <row r="1019" spans="1:2" ht="18.75" customHeight="1" x14ac:dyDescent="0.2">
      <c r="A1019" s="2">
        <v>1017</v>
      </c>
      <c r="B1019" s="2" t="s">
        <v>3439</v>
      </c>
    </row>
    <row r="1020" spans="1:2" ht="18.75" customHeight="1" x14ac:dyDescent="0.2">
      <c r="A1020" s="2">
        <v>1018</v>
      </c>
      <c r="B1020" s="2" t="s">
        <v>3440</v>
      </c>
    </row>
    <row r="1021" spans="1:2" ht="18.75" customHeight="1" x14ac:dyDescent="0.2">
      <c r="A1021" s="2">
        <v>1019</v>
      </c>
      <c r="B1021" s="2" t="s">
        <v>3441</v>
      </c>
    </row>
    <row r="1022" spans="1:2" ht="18.75" customHeight="1" x14ac:dyDescent="0.2">
      <c r="A1022" s="2">
        <v>1020</v>
      </c>
      <c r="B1022" s="2" t="s">
        <v>3442</v>
      </c>
    </row>
    <row r="1023" spans="1:2" ht="18.75" customHeight="1" x14ac:dyDescent="0.2">
      <c r="A1023" s="2">
        <v>1021</v>
      </c>
      <c r="B1023" s="2" t="s">
        <v>3443</v>
      </c>
    </row>
    <row r="1024" spans="1:2" ht="18.75" customHeight="1" x14ac:dyDescent="0.2">
      <c r="A1024" s="2">
        <v>1022</v>
      </c>
      <c r="B1024" s="2" t="s">
        <v>3444</v>
      </c>
    </row>
    <row r="1025" spans="1:2" ht="18.75" customHeight="1" x14ac:dyDescent="0.2">
      <c r="A1025" s="2">
        <v>1023</v>
      </c>
      <c r="B1025" s="2" t="s">
        <v>3445</v>
      </c>
    </row>
    <row r="1026" spans="1:2" ht="18.75" customHeight="1" x14ac:dyDescent="0.2">
      <c r="A1026" s="2">
        <v>1024</v>
      </c>
      <c r="B1026" s="2" t="s">
        <v>3446</v>
      </c>
    </row>
    <row r="1027" spans="1:2" ht="18.75" customHeight="1" x14ac:dyDescent="0.2">
      <c r="A1027" s="2">
        <v>1025</v>
      </c>
      <c r="B1027" s="2" t="s">
        <v>3447</v>
      </c>
    </row>
    <row r="1028" spans="1:2" ht="18.75" customHeight="1" x14ac:dyDescent="0.2">
      <c r="A1028" s="2">
        <v>1026</v>
      </c>
      <c r="B1028" s="2" t="s">
        <v>3448</v>
      </c>
    </row>
    <row r="1029" spans="1:2" ht="18.75" customHeight="1" x14ac:dyDescent="0.2">
      <c r="A1029" s="2">
        <v>1027</v>
      </c>
      <c r="B1029" s="2" t="s">
        <v>3449</v>
      </c>
    </row>
    <row r="1030" spans="1:2" ht="18.75" customHeight="1" x14ac:dyDescent="0.2">
      <c r="A1030" s="2">
        <v>1028</v>
      </c>
      <c r="B1030" s="2" t="s">
        <v>3450</v>
      </c>
    </row>
    <row r="1031" spans="1:2" ht="18.75" customHeight="1" x14ac:dyDescent="0.2">
      <c r="A1031" s="2">
        <v>1029</v>
      </c>
      <c r="B1031" s="2" t="s">
        <v>3451</v>
      </c>
    </row>
    <row r="1032" spans="1:2" ht="18.75" customHeight="1" x14ac:dyDescent="0.2">
      <c r="A1032" s="2">
        <v>1030</v>
      </c>
      <c r="B1032" s="2" t="s">
        <v>3452</v>
      </c>
    </row>
    <row r="1033" spans="1:2" ht="18.75" customHeight="1" x14ac:dyDescent="0.2">
      <c r="A1033" s="2">
        <v>1031</v>
      </c>
      <c r="B1033" s="2" t="s">
        <v>3453</v>
      </c>
    </row>
    <row r="1034" spans="1:2" ht="18.75" customHeight="1" x14ac:dyDescent="0.2">
      <c r="A1034" s="2">
        <v>1032</v>
      </c>
      <c r="B1034" s="2" t="s">
        <v>3454</v>
      </c>
    </row>
    <row r="1035" spans="1:2" ht="18.75" customHeight="1" x14ac:dyDescent="0.2">
      <c r="A1035" s="2">
        <v>1033</v>
      </c>
      <c r="B1035" s="2" t="s">
        <v>3455</v>
      </c>
    </row>
    <row r="1036" spans="1:2" ht="18.75" customHeight="1" x14ac:dyDescent="0.2">
      <c r="A1036" s="2">
        <v>1034</v>
      </c>
      <c r="B1036" s="2" t="s">
        <v>3456</v>
      </c>
    </row>
    <row r="1037" spans="1:2" ht="18.75" customHeight="1" x14ac:dyDescent="0.2">
      <c r="A1037" s="2">
        <v>1035</v>
      </c>
      <c r="B1037" s="2" t="s">
        <v>3457</v>
      </c>
    </row>
    <row r="1038" spans="1:2" ht="18.75" customHeight="1" x14ac:dyDescent="0.2">
      <c r="A1038" s="2">
        <v>1036</v>
      </c>
      <c r="B1038" s="2" t="s">
        <v>3458</v>
      </c>
    </row>
    <row r="1039" spans="1:2" ht="18.75" customHeight="1" x14ac:dyDescent="0.2">
      <c r="A1039" s="2">
        <v>1037</v>
      </c>
      <c r="B1039" s="2" t="s">
        <v>3459</v>
      </c>
    </row>
    <row r="1040" spans="1:2" ht="18.75" customHeight="1" x14ac:dyDescent="0.2">
      <c r="A1040" s="2">
        <v>1038</v>
      </c>
      <c r="B1040" s="2" t="s">
        <v>3460</v>
      </c>
    </row>
    <row r="1041" spans="1:2" ht="18.75" customHeight="1" x14ac:dyDescent="0.2">
      <c r="A1041" s="2">
        <v>1039</v>
      </c>
      <c r="B1041" s="2" t="s">
        <v>3461</v>
      </c>
    </row>
    <row r="1042" spans="1:2" ht="18.75" customHeight="1" x14ac:dyDescent="0.2">
      <c r="A1042" s="2">
        <v>1040</v>
      </c>
      <c r="B1042" s="2" t="s">
        <v>3462</v>
      </c>
    </row>
    <row r="1043" spans="1:2" ht="18.75" customHeight="1" x14ac:dyDescent="0.2">
      <c r="A1043" s="2">
        <v>1041</v>
      </c>
      <c r="B1043" s="2" t="s">
        <v>3463</v>
      </c>
    </row>
    <row r="1044" spans="1:2" ht="18.75" customHeight="1" x14ac:dyDescent="0.2">
      <c r="A1044" s="2">
        <v>1042</v>
      </c>
      <c r="B1044" s="2" t="s">
        <v>3464</v>
      </c>
    </row>
    <row r="1045" spans="1:2" ht="18.75" customHeight="1" x14ac:dyDescent="0.2">
      <c r="A1045" s="2">
        <v>1043</v>
      </c>
      <c r="B1045" s="2" t="s">
        <v>3465</v>
      </c>
    </row>
    <row r="1046" spans="1:2" ht="18.75" customHeight="1" x14ac:dyDescent="0.2">
      <c r="A1046" s="2">
        <v>1044</v>
      </c>
      <c r="B1046" s="2" t="s">
        <v>711</v>
      </c>
    </row>
    <row r="1047" spans="1:2" ht="18.75" customHeight="1" x14ac:dyDescent="0.2">
      <c r="A1047" s="2">
        <v>1045</v>
      </c>
      <c r="B1047" s="2" t="s">
        <v>3466</v>
      </c>
    </row>
    <row r="1048" spans="1:2" ht="18.75" customHeight="1" x14ac:dyDescent="0.2">
      <c r="A1048" s="2">
        <v>1046</v>
      </c>
      <c r="B1048" s="2" t="s">
        <v>3467</v>
      </c>
    </row>
    <row r="1049" spans="1:2" ht="18.75" customHeight="1" x14ac:dyDescent="0.2">
      <c r="A1049" s="2">
        <v>1047</v>
      </c>
      <c r="B1049" s="2" t="s">
        <v>3468</v>
      </c>
    </row>
    <row r="1050" spans="1:2" ht="18.75" customHeight="1" x14ac:dyDescent="0.2">
      <c r="A1050" s="2">
        <v>1048</v>
      </c>
      <c r="B1050" s="2" t="s">
        <v>3469</v>
      </c>
    </row>
    <row r="1051" spans="1:2" ht="18.75" customHeight="1" x14ac:dyDescent="0.2">
      <c r="A1051" s="2">
        <v>1049</v>
      </c>
      <c r="B1051" s="2" t="s">
        <v>3470</v>
      </c>
    </row>
    <row r="1052" spans="1:2" ht="18.75" customHeight="1" x14ac:dyDescent="0.2">
      <c r="A1052" s="2">
        <v>1050</v>
      </c>
      <c r="B1052" s="13" t="s">
        <v>3471</v>
      </c>
    </row>
    <row r="1053" spans="1:2" ht="18.75" customHeight="1" x14ac:dyDescent="0.2">
      <c r="A1053" s="2">
        <v>1051</v>
      </c>
      <c r="B1053" s="13" t="s">
        <v>3472</v>
      </c>
    </row>
    <row r="1054" spans="1:2" ht="18.75" customHeight="1" x14ac:dyDescent="0.2">
      <c r="A1054" s="2">
        <v>1052</v>
      </c>
      <c r="B1054" s="13" t="s">
        <v>3473</v>
      </c>
    </row>
    <row r="1055" spans="1:2" ht="18.75" customHeight="1" x14ac:dyDescent="0.2">
      <c r="A1055" s="2">
        <v>1053</v>
      </c>
      <c r="B1055" s="2" t="s">
        <v>3474</v>
      </c>
    </row>
    <row r="1056" spans="1:2" ht="18.75" customHeight="1" x14ac:dyDescent="0.2">
      <c r="A1056" s="2">
        <v>1054</v>
      </c>
      <c r="B1056" s="2" t="s">
        <v>3475</v>
      </c>
    </row>
    <row r="1057" spans="1:2" ht="18.75" customHeight="1" x14ac:dyDescent="0.2">
      <c r="A1057" s="2">
        <v>1055</v>
      </c>
      <c r="B1057" s="2" t="s">
        <v>3476</v>
      </c>
    </row>
    <row r="1058" spans="1:2" ht="18.75" customHeight="1" x14ac:dyDescent="0.2">
      <c r="A1058" s="2">
        <v>1056</v>
      </c>
      <c r="B1058" s="2" t="s">
        <v>3477</v>
      </c>
    </row>
    <row r="1059" spans="1:2" ht="18.75" customHeight="1" x14ac:dyDescent="0.2">
      <c r="A1059" s="2">
        <v>1057</v>
      </c>
      <c r="B1059" s="2" t="s">
        <v>3478</v>
      </c>
    </row>
    <row r="1060" spans="1:2" ht="18.75" customHeight="1" x14ac:dyDescent="0.2">
      <c r="A1060" s="2">
        <v>1058</v>
      </c>
      <c r="B1060" s="2" t="s">
        <v>3479</v>
      </c>
    </row>
    <row r="1061" spans="1:2" ht="18.75" customHeight="1" x14ac:dyDescent="0.2">
      <c r="A1061" s="2">
        <v>1059</v>
      </c>
      <c r="B1061" s="13" t="s">
        <v>3480</v>
      </c>
    </row>
    <row r="1062" spans="1:2" ht="18.75" customHeight="1" x14ac:dyDescent="0.2">
      <c r="A1062" s="2">
        <v>1060</v>
      </c>
      <c r="B1062" s="2" t="s">
        <v>3481</v>
      </c>
    </row>
    <row r="1063" spans="1:2" ht="18.75" customHeight="1" x14ac:dyDescent="0.2">
      <c r="A1063" s="2">
        <v>1061</v>
      </c>
      <c r="B1063" s="13" t="s">
        <v>3482</v>
      </c>
    </row>
    <row r="1064" spans="1:2" ht="18.75" customHeight="1" x14ac:dyDescent="0.2">
      <c r="A1064" s="2">
        <v>1062</v>
      </c>
      <c r="B1064" s="13" t="s">
        <v>3483</v>
      </c>
    </row>
    <row r="1065" spans="1:2" ht="18.75" customHeight="1" x14ac:dyDescent="0.2">
      <c r="A1065" s="2">
        <v>1063</v>
      </c>
      <c r="B1065" s="2" t="s">
        <v>3484</v>
      </c>
    </row>
    <row r="1066" spans="1:2" ht="18.75" customHeight="1" x14ac:dyDescent="0.2">
      <c r="A1066" s="2">
        <v>1064</v>
      </c>
      <c r="B1066" s="2" t="s">
        <v>3485</v>
      </c>
    </row>
    <row r="1067" spans="1:2" ht="18.75" customHeight="1" x14ac:dyDescent="0.2">
      <c r="A1067" s="2">
        <v>1065</v>
      </c>
      <c r="B1067" s="2" t="s">
        <v>3486</v>
      </c>
    </row>
    <row r="1068" spans="1:2" ht="18.75" customHeight="1" x14ac:dyDescent="0.2">
      <c r="A1068" s="2">
        <v>1066</v>
      </c>
      <c r="B1068" s="2" t="s">
        <v>3487</v>
      </c>
    </row>
    <row r="1069" spans="1:2" ht="18.75" customHeight="1" x14ac:dyDescent="0.2">
      <c r="A1069" s="2">
        <v>1067</v>
      </c>
      <c r="B1069" s="2" t="s">
        <v>3488</v>
      </c>
    </row>
    <row r="1070" spans="1:2" ht="18.75" customHeight="1" x14ac:dyDescent="0.2">
      <c r="A1070" s="2">
        <v>1068</v>
      </c>
      <c r="B1070" s="2" t="s">
        <v>3489</v>
      </c>
    </row>
    <row r="1071" spans="1:2" ht="18.75" customHeight="1" x14ac:dyDescent="0.2">
      <c r="A1071" s="2">
        <v>1069</v>
      </c>
      <c r="B1071" s="2" t="s">
        <v>3490</v>
      </c>
    </row>
    <row r="1072" spans="1:2" ht="18.75" customHeight="1" x14ac:dyDescent="0.2">
      <c r="A1072" s="2">
        <v>1070</v>
      </c>
      <c r="B1072" s="2" t="s">
        <v>3491</v>
      </c>
    </row>
    <row r="1073" spans="1:2" ht="18.75" customHeight="1" x14ac:dyDescent="0.2">
      <c r="A1073" s="2">
        <v>1071</v>
      </c>
      <c r="B1073" s="2" t="s">
        <v>3492</v>
      </c>
    </row>
    <row r="1074" spans="1:2" ht="18.75" customHeight="1" x14ac:dyDescent="0.2">
      <c r="A1074" s="2">
        <v>1072</v>
      </c>
      <c r="B1074" s="2" t="s">
        <v>3493</v>
      </c>
    </row>
    <row r="1075" spans="1:2" ht="18.75" customHeight="1" x14ac:dyDescent="0.2">
      <c r="A1075" s="2">
        <v>1073</v>
      </c>
      <c r="B1075" s="2" t="s">
        <v>3494</v>
      </c>
    </row>
    <row r="1076" spans="1:2" ht="18.75" customHeight="1" x14ac:dyDescent="0.2">
      <c r="A1076" s="2">
        <v>1074</v>
      </c>
      <c r="B1076" s="2" t="s">
        <v>3495</v>
      </c>
    </row>
    <row r="1077" spans="1:2" ht="18.75" customHeight="1" x14ac:dyDescent="0.2">
      <c r="A1077" s="2">
        <v>1075</v>
      </c>
      <c r="B1077" s="2" t="s">
        <v>3496</v>
      </c>
    </row>
    <row r="1078" spans="1:2" ht="18.75" customHeight="1" x14ac:dyDescent="0.2">
      <c r="A1078" s="2">
        <v>1076</v>
      </c>
      <c r="B1078" s="2" t="s">
        <v>3497</v>
      </c>
    </row>
    <row r="1079" spans="1:2" ht="18.75" customHeight="1" x14ac:dyDescent="0.2">
      <c r="A1079" s="2">
        <v>1077</v>
      </c>
      <c r="B1079" s="2" t="s">
        <v>3498</v>
      </c>
    </row>
    <row r="1080" spans="1:2" ht="18.75" customHeight="1" x14ac:dyDescent="0.2">
      <c r="A1080" s="2">
        <v>1078</v>
      </c>
      <c r="B1080" s="2" t="s">
        <v>3499</v>
      </c>
    </row>
    <row r="1081" spans="1:2" ht="18.75" customHeight="1" x14ac:dyDescent="0.2">
      <c r="A1081" s="2">
        <v>1079</v>
      </c>
      <c r="B1081" s="2" t="s">
        <v>3846</v>
      </c>
    </row>
    <row r="1082" spans="1:2" ht="18.75" customHeight="1" x14ac:dyDescent="0.2">
      <c r="A1082" s="2">
        <v>1080</v>
      </c>
      <c r="B1082" s="2" t="s">
        <v>3847</v>
      </c>
    </row>
    <row r="1083" spans="1:2" ht="18.75" customHeight="1" x14ac:dyDescent="0.2">
      <c r="A1083" s="2">
        <v>1081</v>
      </c>
      <c r="B1083" s="2" t="s">
        <v>3848</v>
      </c>
    </row>
    <row r="1084" spans="1:2" ht="18.75" customHeight="1" x14ac:dyDescent="0.2">
      <c r="A1084" s="2">
        <v>1082</v>
      </c>
      <c r="B1084" s="2" t="s">
        <v>3849</v>
      </c>
    </row>
  </sheetData>
  <hyperlinks>
    <hyperlink ref="B236" r:id="rId1" xr:uid="{00000000-0004-0000-0500-000000000000}"/>
    <hyperlink ref="B274" display="https://www.google.com/url?sa=t&amp;rct=j&amp;q=&amp;esrc=s&amp;source=web&amp;cd=1&amp;cad=rja&amp;uact=8&amp;ved=2ahUKEwjE9qOVw_fhAhWD4YUKHXbAA1EQFjAAegQIAhAC&amp;url=https%3A%2F%2Fwww.uniper.energy%2Fnews%2Fdownload%2F702078%2F20190425-jointpressrelease-uniper-realworld-laboratory-lingen" xr:uid="{00000000-0004-0000-0500-000001000000}"/>
    <hyperlink ref="B276" r:id="rId2" xr:uid="{00000000-0004-0000-0500-000002000000}"/>
    <hyperlink ref="B277" r:id="rId3" xr:uid="{00000000-0004-0000-0500-000003000000}"/>
    <hyperlink ref="B278" r:id="rId4" xr:uid="{00000000-0004-0000-0500-000004000000}"/>
    <hyperlink ref="B279" r:id="rId5" xr:uid="{00000000-0004-0000-0500-000005000000}"/>
    <hyperlink ref="B239" r:id="rId6" xr:uid="{00000000-0004-0000-0500-000006000000}"/>
    <hyperlink ref="B280" r:id="rId7" xr:uid="{00000000-0004-0000-0500-000007000000}"/>
    <hyperlink ref="B281" r:id="rId8" xr:uid="{00000000-0004-0000-0500-000008000000}"/>
    <hyperlink ref="B282" r:id="rId9" xr:uid="{00000000-0004-0000-0500-000009000000}"/>
    <hyperlink ref="B283" r:id="rId10" xr:uid="{00000000-0004-0000-0500-00000A000000}"/>
    <hyperlink ref="B284" r:id="rId11" xr:uid="{00000000-0004-0000-0500-00000B000000}"/>
    <hyperlink ref="B203" r:id="rId12" xr:uid="{00000000-0004-0000-0500-00000C000000}"/>
    <hyperlink ref="B285" r:id="rId13" xr:uid="{00000000-0004-0000-0500-00000D000000}"/>
    <hyperlink ref="B286" r:id="rId14" xr:uid="{00000000-0004-0000-0500-00000E000000}"/>
    <hyperlink ref="B287" r:id="rId15" xr:uid="{00000000-0004-0000-0500-00000F000000}"/>
    <hyperlink ref="B291" r:id="rId16" xr:uid="{00000000-0004-0000-0500-000010000000}"/>
    <hyperlink ref="B292" r:id="rId17" xr:uid="{00000000-0004-0000-0500-000011000000}"/>
    <hyperlink ref="B294" r:id="rId18" xr:uid="{00000000-0004-0000-0500-000012000000}"/>
    <hyperlink ref="B295" r:id="rId19" xr:uid="{00000000-0004-0000-0500-000013000000}"/>
    <hyperlink ref="B296" r:id="rId20" xr:uid="{00000000-0004-0000-0500-000014000000}"/>
    <hyperlink ref="B238" r:id="rId21" xr:uid="{00000000-0004-0000-0500-000015000000}"/>
    <hyperlink ref="B297" r:id="rId22" xr:uid="{00000000-0004-0000-0500-000016000000}"/>
    <hyperlink ref="B298" r:id="rId23" xr:uid="{00000000-0004-0000-0500-000017000000}"/>
    <hyperlink ref="B299" r:id="rId24" xr:uid="{00000000-0004-0000-0500-000018000000}"/>
    <hyperlink ref="B300" r:id="rId25" xr:uid="{00000000-0004-0000-0500-000019000000}"/>
    <hyperlink ref="B301" r:id="rId26" xr:uid="{00000000-0004-0000-0500-00001A000000}"/>
    <hyperlink ref="B302" r:id="rId27" xr:uid="{00000000-0004-0000-0500-00001B000000}"/>
    <hyperlink ref="B303" r:id="rId28" xr:uid="{00000000-0004-0000-0500-00001C000000}"/>
    <hyperlink ref="B304" r:id="rId29" xr:uid="{00000000-0004-0000-0500-00001D000000}"/>
    <hyperlink ref="B306" r:id="rId30" xr:uid="{00000000-0004-0000-0500-00001E000000}"/>
    <hyperlink ref="B307" r:id="rId31" xr:uid="{00000000-0004-0000-0500-00001F000000}"/>
    <hyperlink ref="B308" r:id="rId32" xr:uid="{00000000-0004-0000-0500-000020000000}"/>
    <hyperlink ref="B309" r:id="rId33" xr:uid="{00000000-0004-0000-0500-000021000000}"/>
    <hyperlink ref="B226" r:id="rId34" xr:uid="{00000000-0004-0000-0500-000022000000}"/>
    <hyperlink ref="B310" r:id="rId35" xr:uid="{00000000-0004-0000-0500-000023000000}"/>
    <hyperlink ref="B267" r:id="rId36" location="powertogas" xr:uid="{00000000-0004-0000-0500-000024000000}"/>
    <hyperlink ref="B268" r:id="rId37" xr:uid="{00000000-0004-0000-0500-000025000000}"/>
    <hyperlink ref="B311" r:id="rId38" xr:uid="{00000000-0004-0000-0500-000026000000}"/>
    <hyperlink ref="B313" r:id="rId39" xr:uid="{00000000-0004-0000-0500-000027000000}"/>
    <hyperlink ref="B314" r:id="rId40" xr:uid="{00000000-0004-0000-0500-000028000000}"/>
    <hyperlink ref="B315" r:id="rId41" xr:uid="{00000000-0004-0000-0500-000029000000}"/>
    <hyperlink ref="B230" r:id="rId42" xr:uid="{00000000-0004-0000-0500-00002A000000}"/>
    <hyperlink ref="B101" r:id="rId43" xr:uid="{00000000-0004-0000-0500-00002B000000}"/>
    <hyperlink ref="B106" r:id="rId44" xr:uid="{00000000-0004-0000-0500-00002C000000}"/>
    <hyperlink ref="B231" r:id="rId45" xr:uid="{00000000-0004-0000-0500-00002D000000}"/>
    <hyperlink ref="B316" r:id="rId46" xr:uid="{00000000-0004-0000-0500-00002E000000}"/>
    <hyperlink ref="B225" r:id="rId47" xr:uid="{00000000-0004-0000-0500-00002F000000}"/>
    <hyperlink ref="B265" r:id="rId48" xr:uid="{00000000-0004-0000-0500-000030000000}"/>
    <hyperlink ref="B266" r:id="rId49" xr:uid="{00000000-0004-0000-0500-000031000000}"/>
    <hyperlink ref="B223" r:id="rId50" xr:uid="{00000000-0004-0000-0500-000032000000}"/>
    <hyperlink ref="B317" r:id="rId51" xr:uid="{00000000-0004-0000-0500-000033000000}"/>
    <hyperlink ref="B318" r:id="rId52" xr:uid="{00000000-0004-0000-0500-000034000000}"/>
    <hyperlink ref="B319" r:id="rId53" xr:uid="{00000000-0004-0000-0500-000035000000}"/>
    <hyperlink ref="B320" r:id="rId54" location="reallabor-zur-intelligenten-erzeugung-speicherung-transport-und-nutzung-von-gruenem-wasserstoff" display="https://energiepark-bad-lauchstaedt.de/ - reallabor-zur-intelligenten-erzeugung-speicherung-transport-und-nutzung-von-gruenem-wasserstoff" xr:uid="{00000000-0004-0000-0500-000036000000}"/>
    <hyperlink ref="B321" r:id="rId55" xr:uid="{00000000-0004-0000-0500-000037000000}"/>
    <hyperlink ref="B322" r:id="rId56" display="https://investor.fce.com/press-releases/press-release-details/2020/Development-of-the-FuelCell-Energy-Project-at-Toyotas-Port-of-Long-Beach-Facility-to-Proceed---California-Public-Utilities-Commission-Reaffirms-that-the-Use-of-Directed-Biogas-under-the-Bioenergy-Market-Adjusting-Tariff-BioMAT-Program-is-Permissible/default.aspx" xr:uid="{00000000-0004-0000-0500-000038000000}"/>
    <hyperlink ref="B323" r:id="rId57" xr:uid="{00000000-0004-0000-0500-000039000000}"/>
    <hyperlink ref="B324" r:id="rId58" xr:uid="{00000000-0004-0000-0500-00003A000000}"/>
    <hyperlink ref="B325" r:id="rId59" xr:uid="{00000000-0004-0000-0500-00003B000000}"/>
    <hyperlink ref="B326" r:id="rId60" xr:uid="{00000000-0004-0000-0500-00003C000000}"/>
    <hyperlink ref="B327" r:id="rId61" xr:uid="{00000000-0004-0000-0500-00003D000000}"/>
    <hyperlink ref="B328" r:id="rId62" xr:uid="{00000000-0004-0000-0500-00003E000000}"/>
    <hyperlink ref="B329" r:id="rId63" xr:uid="{00000000-0004-0000-0500-00003F000000}"/>
    <hyperlink ref="B330" r:id="rId64" xr:uid="{00000000-0004-0000-0500-000040000000}"/>
    <hyperlink ref="B272" r:id="rId65" xr:uid="{00000000-0004-0000-0500-000041000000}"/>
    <hyperlink ref="B331" r:id="rId66" xr:uid="{00000000-0004-0000-0500-000042000000}"/>
    <hyperlink ref="B332" r:id="rId67" xr:uid="{00000000-0004-0000-0500-000043000000}"/>
    <hyperlink ref="B333" r:id="rId68" xr:uid="{00000000-0004-0000-0500-000044000000}"/>
    <hyperlink ref="B243" r:id="rId69" xr:uid="{00000000-0004-0000-0500-000045000000}"/>
    <hyperlink ref="B334" r:id="rId70" xr:uid="{00000000-0004-0000-0500-000046000000}"/>
    <hyperlink ref="B240" r:id="rId71" xr:uid="{00000000-0004-0000-0500-000047000000}"/>
    <hyperlink ref="B258" r:id="rId72" xr:uid="{00000000-0004-0000-0500-000048000000}"/>
    <hyperlink ref="B224" r:id="rId73" xr:uid="{00000000-0004-0000-0500-000049000000}"/>
    <hyperlink ref="B335" r:id="rId74" xr:uid="{00000000-0004-0000-0500-00004A000000}"/>
    <hyperlink ref="B132" r:id="rId75" xr:uid="{00000000-0004-0000-0500-00004B000000}"/>
    <hyperlink ref="B336" r:id="rId76" xr:uid="{00000000-0004-0000-0500-00004C000000}"/>
    <hyperlink ref="B133" r:id="rId77" xr:uid="{00000000-0004-0000-0500-00004D000000}"/>
    <hyperlink ref="B337" r:id="rId78" xr:uid="{00000000-0004-0000-0500-00004E000000}"/>
    <hyperlink ref="B338" r:id="rId79" xr:uid="{00000000-0004-0000-0500-00004F000000}"/>
    <hyperlink ref="B339" r:id="rId80" xr:uid="{00000000-0004-0000-0500-000050000000}"/>
    <hyperlink ref="B340" r:id="rId81" xr:uid="{00000000-0004-0000-0500-000051000000}"/>
    <hyperlink ref="B341" r:id="rId82" xr:uid="{00000000-0004-0000-0500-000052000000}"/>
    <hyperlink ref="B199" r:id="rId83" xr:uid="{00000000-0004-0000-0500-000053000000}"/>
    <hyperlink ref="B342" r:id="rId84" xr:uid="{00000000-0004-0000-0500-000054000000}"/>
    <hyperlink ref="B343" r:id="rId85" xr:uid="{00000000-0004-0000-0500-000055000000}"/>
    <hyperlink ref="B344" r:id="rId86" xr:uid="{00000000-0004-0000-0500-000056000000}"/>
    <hyperlink ref="B345" r:id="rId87" xr:uid="{00000000-0004-0000-0500-000057000000}"/>
    <hyperlink ref="B346" r:id="rId88" xr:uid="{00000000-0004-0000-0500-000058000000}"/>
    <hyperlink ref="B347" r:id="rId89" xr:uid="{00000000-0004-0000-0500-000059000000}"/>
    <hyperlink ref="B348" r:id="rId90" xr:uid="{00000000-0004-0000-0500-00005A000000}"/>
    <hyperlink ref="B349" r:id="rId91" xr:uid="{00000000-0004-0000-0500-00005B000000}"/>
    <hyperlink ref="B350" r:id="rId92" xr:uid="{00000000-0004-0000-0500-00005C000000}"/>
    <hyperlink ref="B351" r:id="rId93" xr:uid="{00000000-0004-0000-0500-00005D000000}"/>
    <hyperlink ref="B275" r:id="rId94" xr:uid="{00000000-0004-0000-0500-00005E000000}"/>
    <hyperlink ref="B352" r:id="rId95" xr:uid="{00000000-0004-0000-0500-00005F000000}"/>
    <hyperlink ref="B353" r:id="rId96" xr:uid="{00000000-0004-0000-0500-000060000000}"/>
    <hyperlink ref="B244" r:id="rId97" xr:uid="{00000000-0004-0000-0500-000061000000}"/>
    <hyperlink ref="B355" r:id="rId98" xr:uid="{00000000-0004-0000-0500-000062000000}"/>
    <hyperlink ref="B354" r:id="rId99" xr:uid="{00000000-0004-0000-0500-000063000000}"/>
    <hyperlink ref="B241" r:id="rId100" xr:uid="{00000000-0004-0000-0500-000064000000}"/>
    <hyperlink ref="B356" r:id="rId101" xr:uid="{00000000-0004-0000-0500-000065000000}"/>
    <hyperlink ref="B357" r:id="rId102" xr:uid="{00000000-0004-0000-0500-000066000000}"/>
    <hyperlink ref="B233" r:id="rId103" xr:uid="{00000000-0004-0000-0500-000067000000}"/>
    <hyperlink ref="B358" r:id="rId104" xr:uid="{00000000-0004-0000-0500-000068000000}"/>
    <hyperlink ref="B263" r:id="rId105" xr:uid="{00000000-0004-0000-0500-000069000000}"/>
    <hyperlink ref="B264" r:id="rId106" xr:uid="{00000000-0004-0000-0500-00006A000000}"/>
    <hyperlink ref="B242" r:id="rId107" xr:uid="{00000000-0004-0000-0500-00006B000000}"/>
    <hyperlink ref="B359" r:id="rId108" xr:uid="{00000000-0004-0000-0500-00006C000000}"/>
    <hyperlink ref="B360" r:id="rId109" xr:uid="{00000000-0004-0000-0500-00006D000000}"/>
    <hyperlink ref="B361" r:id="rId110" xr:uid="{00000000-0004-0000-0500-00006E000000}"/>
    <hyperlink ref="B362" r:id="rId111" xr:uid="{00000000-0004-0000-0500-00006F000000}"/>
    <hyperlink ref="B363" r:id="rId112" xr:uid="{00000000-0004-0000-0500-000070000000}"/>
    <hyperlink ref="B364" r:id="rId113" xr:uid="{00000000-0004-0000-0500-000071000000}"/>
    <hyperlink ref="B252" r:id="rId114" xr:uid="{00000000-0004-0000-0500-000072000000}"/>
    <hyperlink ref="B111" display="https://books.google.fr/books?id=3ZNdDwAAQBAJ&amp;pg=SA7-PA40&amp;lpg=SA7 PA40&amp;dq=Raglan+Nickel+mine+canada+power+to+gas+hydrogen+electrolyzer&amp;source=bl&amp;ots=jVKl__oP3w&amp;sig=Nco6uJDGomFyhk0ZIIVb1JReULY&amp;hl=fr&amp;sa=X&amp;ved=0ahUKEwjy5ZnZy6jcAhUDgVwKHTTWCmwQ6AEIYDAK#v=onep" xr:uid="{00000000-0004-0000-0500-000073000000}"/>
    <hyperlink ref="B365" r:id="rId115" xr:uid="{00000000-0004-0000-0500-000074000000}"/>
    <hyperlink ref="B366" r:id="rId116" xr:uid="{00000000-0004-0000-0500-000075000000}"/>
    <hyperlink ref="B367" display="https://energyobserver.sharepoint.com/sites/energy-observer/Dpartement%20communication/Forms/AllItems.aspx?id=%2Fsites%2Fenergy%2Dobserver%2FDpartement%20communication%2FCREATION%2FBILAN%20ENERGETIQUE%202018%2FElectrolyser%2Epdf&amp;parent=%2Fsites%2Fenergy%2" xr:uid="{00000000-0004-0000-0500-000076000000}"/>
    <hyperlink ref="B228" r:id="rId117" xr:uid="{00000000-0004-0000-0500-000077000000}"/>
    <hyperlink ref="B368" r:id="rId118" xr:uid="{00000000-0004-0000-0500-000078000000}"/>
    <hyperlink ref="B369" r:id="rId119" xr:uid="{00000000-0004-0000-0500-000079000000}"/>
    <hyperlink ref="B370" r:id="rId120" xr:uid="{00000000-0004-0000-0500-00007A000000}"/>
    <hyperlink ref="B371" r:id="rId121" xr:uid="{00000000-0004-0000-0500-00007B000000}"/>
    <hyperlink ref="B372" r:id="rId122" xr:uid="{00000000-0004-0000-0500-00007C000000}"/>
    <hyperlink ref="B373" r:id="rId123" xr:uid="{00000000-0004-0000-0500-00007D000000}"/>
    <hyperlink ref="B374" r:id="rId124" xr:uid="{00000000-0004-0000-0500-00007E000000}"/>
    <hyperlink ref="B167" r:id="rId125" xr:uid="{00000000-0004-0000-0500-00007F000000}"/>
    <hyperlink ref="B375" r:id="rId126" xr:uid="{00000000-0004-0000-0500-000080000000}"/>
    <hyperlink ref="B376" r:id="rId127" xr:uid="{00000000-0004-0000-0500-000081000000}"/>
    <hyperlink ref="B218" r:id="rId128" xr:uid="{00000000-0004-0000-0500-000082000000}"/>
    <hyperlink ref="B377" r:id="rId129" xr:uid="{00000000-0004-0000-0500-000083000000}"/>
    <hyperlink ref="B289" r:id="rId130" xr:uid="{00000000-0004-0000-0500-000084000000}"/>
    <hyperlink ref="B293" r:id="rId131" xr:uid="{00000000-0004-0000-0500-000085000000}"/>
    <hyperlink ref="B379" r:id="rId132" xr:uid="{00000000-0004-0000-0500-000086000000}"/>
    <hyperlink ref="B380" r:id="rId133" xr:uid="{00000000-0004-0000-0500-000087000000}"/>
    <hyperlink ref="B381" r:id="rId134" xr:uid="{00000000-0004-0000-0500-000088000000}"/>
    <hyperlink ref="B382" r:id="rId135" xr:uid="{00000000-0004-0000-0500-000089000000}"/>
    <hyperlink ref="B383" r:id="rId136" xr:uid="{00000000-0004-0000-0500-00008A000000}"/>
    <hyperlink ref="B269" r:id="rId137" xr:uid="{00000000-0004-0000-0500-00008B000000}"/>
    <hyperlink ref="B384" r:id="rId138" xr:uid="{00000000-0004-0000-0500-00008C000000}"/>
    <hyperlink ref="B385" r:id="rId139" xr:uid="{00000000-0004-0000-0500-00008D000000}"/>
    <hyperlink ref="B386" r:id="rId140" xr:uid="{00000000-0004-0000-0500-00008E000000}"/>
    <hyperlink ref="B387" r:id="rId141" xr:uid="{00000000-0004-0000-0500-00008F000000}"/>
    <hyperlink ref="B388" r:id="rId142" xr:uid="{00000000-0004-0000-0500-000090000000}"/>
    <hyperlink ref="B389" r:id="rId143" xr:uid="{00000000-0004-0000-0500-000091000000}"/>
    <hyperlink ref="B390" r:id="rId144" xr:uid="{00000000-0004-0000-0500-000092000000}"/>
    <hyperlink ref="B237" r:id="rId145" xr:uid="{00000000-0004-0000-0500-000093000000}"/>
    <hyperlink ref="B391" r:id="rId146" xr:uid="{00000000-0004-0000-0500-000094000000}"/>
    <hyperlink ref="B392" r:id="rId147" xr:uid="{00000000-0004-0000-0500-000095000000}"/>
    <hyperlink ref="B393" r:id="rId148" xr:uid="{00000000-0004-0000-0500-000096000000}"/>
    <hyperlink ref="B394" r:id="rId149" xr:uid="{00000000-0004-0000-0500-000097000000}"/>
    <hyperlink ref="B142" r:id="rId150" xr:uid="{00000000-0004-0000-0500-000098000000}"/>
    <hyperlink ref="B395" r:id="rId151" xr:uid="{00000000-0004-0000-0500-000099000000}"/>
    <hyperlink ref="B254" r:id="rId152" xr:uid="{00000000-0004-0000-0500-00009A000000}"/>
    <hyperlink ref="B396" r:id="rId153" xr:uid="{00000000-0004-0000-0500-00009B000000}"/>
    <hyperlink ref="B129" r:id="rId154" xr:uid="{00000000-0004-0000-0500-00009C000000}"/>
    <hyperlink ref="B397" r:id="rId155" xr:uid="{00000000-0004-0000-0500-00009D000000}"/>
    <hyperlink ref="B398" r:id="rId156" xr:uid="{00000000-0004-0000-0500-00009E000000}"/>
    <hyperlink ref="B399" r:id="rId157" xr:uid="{00000000-0004-0000-0500-00009F000000}"/>
    <hyperlink ref="B400" r:id="rId158" xr:uid="{00000000-0004-0000-0500-0000A0000000}"/>
    <hyperlink ref="B401" r:id="rId159" xr:uid="{00000000-0004-0000-0500-0000A1000000}"/>
    <hyperlink ref="B402" r:id="rId160" xr:uid="{00000000-0004-0000-0500-0000A2000000}"/>
    <hyperlink ref="B403" r:id="rId161" xr:uid="{00000000-0004-0000-0500-0000A3000000}"/>
    <hyperlink ref="B204" r:id="rId162" xr:uid="{00000000-0004-0000-0500-0000A4000000}"/>
    <hyperlink ref="B217" r:id="rId163" xr:uid="{00000000-0004-0000-0500-0000A5000000}"/>
    <hyperlink ref="B405" r:id="rId164" xr:uid="{00000000-0004-0000-0500-0000A6000000}"/>
    <hyperlink ref="B260" r:id="rId165" xr:uid="{00000000-0004-0000-0500-0000A7000000}"/>
    <hyperlink ref="B257" r:id="rId166" xr:uid="{00000000-0004-0000-0500-0000A8000000}"/>
    <hyperlink ref="B247" r:id="rId167" xr:uid="{00000000-0004-0000-0500-0000A9000000}"/>
    <hyperlink ref="B406" r:id="rId168" xr:uid="{00000000-0004-0000-0500-0000AA000000}"/>
    <hyperlink ref="B407" r:id="rId169" xr:uid="{00000000-0004-0000-0500-0000AB000000}"/>
    <hyperlink ref="B408" r:id="rId170" xr:uid="{00000000-0004-0000-0500-0000AC000000}"/>
    <hyperlink ref="B409" r:id="rId171" xr:uid="{00000000-0004-0000-0500-0000AD000000}"/>
    <hyperlink ref="B410" r:id="rId172" xr:uid="{00000000-0004-0000-0500-0000AE000000}"/>
    <hyperlink ref="B411" r:id="rId173" xr:uid="{00000000-0004-0000-0500-0000AF000000}"/>
    <hyperlink ref="B412" r:id="rId174" xr:uid="{00000000-0004-0000-0500-0000B0000000}"/>
    <hyperlink ref="B413" r:id="rId175" xr:uid="{00000000-0004-0000-0500-0000B1000000}"/>
    <hyperlink ref="B414" r:id="rId176" xr:uid="{00000000-0004-0000-0500-0000B2000000}"/>
    <hyperlink ref="B253" r:id="rId177" location="bateau" xr:uid="{00000000-0004-0000-0500-0000B3000000}"/>
    <hyperlink ref="B255" r:id="rId178" xr:uid="{00000000-0004-0000-0500-0000B4000000}"/>
    <hyperlink ref="B251" r:id="rId179" xr:uid="{00000000-0004-0000-0500-0000B5000000}"/>
    <hyperlink ref="B415" r:id="rId180" xr:uid="{00000000-0004-0000-0500-0000B6000000}"/>
    <hyperlink ref="B416" r:id="rId181" xr:uid="{00000000-0004-0000-0500-0000B7000000}"/>
    <hyperlink ref="B417" r:id="rId182" xr:uid="{00000000-0004-0000-0500-0000B8000000}"/>
    <hyperlink ref="B418" r:id="rId183" xr:uid="{00000000-0004-0000-0500-0000B9000000}"/>
    <hyperlink ref="B419" r:id="rId184" xr:uid="{00000000-0004-0000-0500-0000BA000000}"/>
    <hyperlink ref="B420" r:id="rId185" xr:uid="{00000000-0004-0000-0500-0000BB000000}"/>
    <hyperlink ref="B421" r:id="rId186" xr:uid="{00000000-0004-0000-0500-0000BC000000}"/>
    <hyperlink ref="B422" r:id="rId187" xr:uid="{00000000-0004-0000-0500-0000BD000000}"/>
    <hyperlink ref="B423" r:id="rId188" xr:uid="{00000000-0004-0000-0500-0000BE000000}"/>
    <hyperlink ref="B424" r:id="rId189" xr:uid="{00000000-0004-0000-0500-0000BF000000}"/>
    <hyperlink ref="B425" r:id="rId190" xr:uid="{00000000-0004-0000-0500-0000C0000000}"/>
    <hyperlink ref="B427" r:id="rId191" xr:uid="{00000000-0004-0000-0500-0000C1000000}"/>
    <hyperlink ref="B428" r:id="rId192" xr:uid="{00000000-0004-0000-0500-0000C2000000}"/>
    <hyperlink ref="B429" r:id="rId193" xr:uid="{00000000-0004-0000-0500-0000C3000000}"/>
    <hyperlink ref="B432" r:id="rId194" xr:uid="{00000000-0004-0000-0500-0000C4000000}"/>
    <hyperlink ref="B433" r:id="rId195" display="https://hydrogeneurope.eu/sites/default/files/2019-09/2019Q3_HYDROGENICS_Renewable Hydrogen-compressed.pdf" xr:uid="{00000000-0004-0000-0500-0000C5000000}"/>
    <hyperlink ref="B434" r:id="rId196" xr:uid="{00000000-0004-0000-0500-0000C6000000}"/>
    <hyperlink ref="B436" r:id="rId197" xr:uid="{00000000-0004-0000-0500-0000C7000000}"/>
    <hyperlink ref="B437" r:id="rId198" xr:uid="{00000000-0004-0000-0500-0000C8000000}"/>
    <hyperlink ref="B438" r:id="rId199" xr:uid="{00000000-0004-0000-0500-0000C9000000}"/>
    <hyperlink ref="B439" r:id="rId200" xr:uid="{00000000-0004-0000-0500-0000CA000000}"/>
    <hyperlink ref="B440" r:id="rId201" xr:uid="{00000000-0004-0000-0500-0000CB000000}"/>
    <hyperlink ref="B441" r:id="rId202" xr:uid="{00000000-0004-0000-0500-0000CC000000}"/>
    <hyperlink ref="B442" r:id="rId203" xr:uid="{00000000-0004-0000-0500-0000CD000000}"/>
    <hyperlink ref="B443" r:id="rId204" xr:uid="{00000000-0004-0000-0500-0000CE000000}"/>
    <hyperlink ref="B444" r:id="rId205" xr:uid="{00000000-0004-0000-0500-0000CF000000}"/>
    <hyperlink ref="B445" r:id="rId206" xr:uid="{00000000-0004-0000-0500-0000D0000000}"/>
    <hyperlink ref="B446" r:id="rId207" xr:uid="{00000000-0004-0000-0500-0000D1000000}"/>
    <hyperlink ref="B451" r:id="rId208" xr:uid="{00000000-0004-0000-0500-0000D2000000}"/>
    <hyperlink ref="B452" r:id="rId209" xr:uid="{00000000-0004-0000-0500-0000D3000000}"/>
    <hyperlink ref="B453" r:id="rId210" xr:uid="{00000000-0004-0000-0500-0000D4000000}"/>
    <hyperlink ref="B454" r:id="rId211" xr:uid="{00000000-0004-0000-0500-0000D5000000}"/>
    <hyperlink ref="B455" r:id="rId212" xr:uid="{00000000-0004-0000-0500-0000D6000000}"/>
    <hyperlink ref="B456" r:id="rId213" xr:uid="{00000000-0004-0000-0500-0000D7000000}"/>
    <hyperlink ref="B457" r:id="rId214" xr:uid="{00000000-0004-0000-0500-0000D8000000}"/>
    <hyperlink ref="B458" r:id="rId215" location=".Xo96YMgzY2z" display="https://zenodo.org/record/3464775 - .Xo96YMgzY2z" xr:uid="{00000000-0004-0000-0500-0000D9000000}"/>
    <hyperlink ref="B459" r:id="rId216" xr:uid="{00000000-0004-0000-0500-0000DA000000}"/>
    <hyperlink ref="B460" r:id="rId217" xr:uid="{00000000-0004-0000-0500-0000DB000000}"/>
    <hyperlink ref="B463" r:id="rId218" xr:uid="{00000000-0004-0000-0500-0000DC000000}"/>
    <hyperlink ref="B464" r:id="rId219" xr:uid="{00000000-0004-0000-0500-0000DD000000}"/>
    <hyperlink ref="B465" r:id="rId220" location="sec4" display="https://www.sciencedirect.com/science/article/pii/S0360319908015619 - sec4" xr:uid="{00000000-0004-0000-0500-0000DE000000}"/>
    <hyperlink ref="B466" r:id="rId221" xr:uid="{00000000-0004-0000-0500-0000DF000000}"/>
    <hyperlink ref="B467" r:id="rId222" xr:uid="{00000000-0004-0000-0500-0000E0000000}"/>
    <hyperlink ref="B468" r:id="rId223" xr:uid="{00000000-0004-0000-0500-0000E1000000}"/>
    <hyperlink ref="B141" r:id="rId224" xr:uid="{00000000-0004-0000-0500-0000E2000000}"/>
    <hyperlink ref="B469" r:id="rId225" xr:uid="{00000000-0004-0000-0500-0000E3000000}"/>
    <hyperlink ref="B470" r:id="rId226" xr:uid="{00000000-0004-0000-0500-0000E4000000}"/>
    <hyperlink ref="B471" r:id="rId227" xr:uid="{00000000-0004-0000-0500-0000E5000000}"/>
    <hyperlink ref="B472" r:id="rId228" display="http://www.afhypac.org/documents/tout-savoir/Fiche 9.5 - Power-to-gas - rev mars2017 ThA.pdf" xr:uid="{00000000-0004-0000-0500-0000E6000000}"/>
    <hyperlink ref="B473" r:id="rId229" xr:uid="{00000000-0004-0000-0500-0000E7000000}"/>
    <hyperlink ref="B474" r:id="rId230" xr:uid="{00000000-0004-0000-0500-0000E8000000}"/>
    <hyperlink ref="B476" r:id="rId231" xr:uid="{00000000-0004-0000-0500-0000E9000000}"/>
    <hyperlink ref="B477" r:id="rId232" xr:uid="{00000000-0004-0000-0500-0000EA000000}"/>
    <hyperlink ref="B478" r:id="rId233" xr:uid="{00000000-0004-0000-0500-0000EB000000}"/>
    <hyperlink ref="B479" r:id="rId234" xr:uid="{00000000-0004-0000-0500-0000EC000000}"/>
    <hyperlink ref="B480" r:id="rId235" xr:uid="{00000000-0004-0000-0500-0000ED000000}"/>
    <hyperlink ref="B481" r:id="rId236" xr:uid="{00000000-0004-0000-0500-0000EE000000}"/>
    <hyperlink ref="B482" r:id="rId237" xr:uid="{00000000-0004-0000-0500-0000EF000000}"/>
    <hyperlink ref="B483" r:id="rId238" xr:uid="{00000000-0004-0000-0500-0000F0000000}"/>
    <hyperlink ref="B484" r:id="rId239" xr:uid="{00000000-0004-0000-0500-0000F1000000}"/>
    <hyperlink ref="B485" r:id="rId240" xr:uid="{00000000-0004-0000-0500-0000F2000000}"/>
    <hyperlink ref="B486" r:id="rId241" xr:uid="{00000000-0004-0000-0500-0000F3000000}"/>
    <hyperlink ref="B487" r:id="rId242" xr:uid="{00000000-0004-0000-0500-0000F4000000}"/>
    <hyperlink ref="B488" r:id="rId243" xr:uid="{00000000-0004-0000-0500-0000F5000000}"/>
    <hyperlink ref="B489" r:id="rId244" xr:uid="{00000000-0004-0000-0500-0000F6000000}"/>
    <hyperlink ref="B490" r:id="rId245" location="302" display="https://www.arci.res.in/facilities-cfct - 302" xr:uid="{00000000-0004-0000-0500-0000F7000000}"/>
    <hyperlink ref="B491" r:id="rId246" xr:uid="{00000000-0004-0000-0500-0000F8000000}"/>
    <hyperlink ref="B492" r:id="rId247" xr:uid="{00000000-0004-0000-0500-0000F9000000}"/>
    <hyperlink ref="B493" r:id="rId248" xr:uid="{00000000-0004-0000-0500-0000FA000000}"/>
    <hyperlink ref="B494" r:id="rId249" xr:uid="{00000000-0004-0000-0500-0000FB000000}"/>
    <hyperlink ref="B495" r:id="rId250" xr:uid="{00000000-0004-0000-0500-0000FC000000}"/>
    <hyperlink ref="B496" r:id="rId251" xr:uid="{00000000-0004-0000-0500-0000FD000000}"/>
    <hyperlink ref="B497" r:id="rId252" xr:uid="{00000000-0004-0000-0500-0000FE000000}"/>
    <hyperlink ref="B498" r:id="rId253" xr:uid="{00000000-0004-0000-0500-0000FF000000}"/>
    <hyperlink ref="B499" r:id="rId254" xr:uid="{00000000-0004-0000-0500-000000010000}"/>
    <hyperlink ref="B500" r:id="rId255" xr:uid="{00000000-0004-0000-0500-000001010000}"/>
    <hyperlink ref="B501" r:id="rId256" xr:uid="{00000000-0004-0000-0500-000002010000}"/>
    <hyperlink ref="B502" r:id="rId257" xr:uid="{00000000-0004-0000-0500-000003010000}"/>
    <hyperlink ref="B503" r:id="rId258" xr:uid="{00000000-0004-0000-0500-000004010000}"/>
    <hyperlink ref="B504" r:id="rId259" xr:uid="{00000000-0004-0000-0500-000005010000}"/>
    <hyperlink ref="B506" r:id="rId260" xr:uid="{00000000-0004-0000-0500-000006010000}"/>
    <hyperlink ref="B507" r:id="rId261" xr:uid="{00000000-0004-0000-0500-000007010000}"/>
    <hyperlink ref="B509" r:id="rId262" xr:uid="{00000000-0004-0000-0500-000008010000}"/>
    <hyperlink ref="B510" r:id="rId263" xr:uid="{00000000-0004-0000-0500-000009010000}"/>
    <hyperlink ref="B511" r:id="rId264" xr:uid="{00000000-0004-0000-0500-00000A010000}"/>
    <hyperlink ref="B512" r:id="rId265" xr:uid="{00000000-0004-0000-0500-00000B010000}"/>
    <hyperlink ref="B513" r:id="rId266" xr:uid="{00000000-0004-0000-0500-00000C010000}"/>
    <hyperlink ref="B514" r:id="rId267" display="https://www.ft.com/content/6d2c8d8a-a767-4e41-b0f9-3237dd711597?accessToken=zwAAAXJQhZAwkc9tLI2Kp2dOQdOw-TI33XEVlw.MEQCIFbbu4ednBgMr7ty8-leTb2ABXr6ZWZO8f7qIQdh2DBuAiArmcOs7I_iwQsuldRZyPtKHW3QuEPTIdd6OeJ-6prMfQ&amp;sharetype=gift?token=ceb073f4-fef6-4d9f-8f7c-555db5cefb96" xr:uid="{00000000-0004-0000-0500-00000D010000}"/>
    <hyperlink ref="B515" r:id="rId268" xr:uid="{00000000-0004-0000-0500-00000E010000}"/>
    <hyperlink ref="B516" r:id="rId269" xr:uid="{00000000-0004-0000-0500-00000F010000}"/>
    <hyperlink ref="B517" r:id="rId270" xr:uid="{00000000-0004-0000-0500-000010010000}"/>
    <hyperlink ref="B518" r:id="rId271" xr:uid="{00000000-0004-0000-0500-000011010000}"/>
    <hyperlink ref="B519" r:id="rId272" xr:uid="{00000000-0004-0000-0500-000012010000}"/>
    <hyperlink ref="B520" r:id="rId273" xr:uid="{00000000-0004-0000-0500-000013010000}"/>
    <hyperlink ref="B521" r:id="rId274" xr:uid="{00000000-0004-0000-0500-000014010000}"/>
    <hyperlink ref="B522" r:id="rId275" xr:uid="{00000000-0004-0000-0500-000015010000}"/>
    <hyperlink ref="B508" r:id="rId276" xr:uid="{00000000-0004-0000-0500-000016010000}"/>
    <hyperlink ref="B523" r:id="rId277" xr:uid="{00000000-0004-0000-0500-000017010000}"/>
    <hyperlink ref="B524" r:id="rId278" xr:uid="{00000000-0004-0000-0500-000018010000}"/>
    <hyperlink ref="B525" r:id="rId279" xr:uid="{00000000-0004-0000-0500-000019010000}"/>
    <hyperlink ref="B526" r:id="rId280" xr:uid="{00000000-0004-0000-0500-00001A010000}"/>
    <hyperlink ref="B527" r:id="rId281" xr:uid="{00000000-0004-0000-0500-00001B010000}"/>
    <hyperlink ref="B528" r:id="rId282" xr:uid="{00000000-0004-0000-0500-00001C010000}"/>
    <hyperlink ref="B529" r:id="rId283" xr:uid="{00000000-0004-0000-0500-00001D010000}"/>
    <hyperlink ref="B530" r:id="rId284" xr:uid="{00000000-0004-0000-0500-00001E010000}"/>
    <hyperlink ref="B531" r:id="rId285" xr:uid="{00000000-0004-0000-0500-00001F010000}"/>
    <hyperlink ref="B532" r:id="rId286" xr:uid="{00000000-0004-0000-0500-000020010000}"/>
    <hyperlink ref="B533" r:id="rId287" xr:uid="{00000000-0004-0000-0500-000021010000}"/>
    <hyperlink ref="B534" r:id="rId288" xr:uid="{00000000-0004-0000-0500-000022010000}"/>
    <hyperlink ref="B535" r:id="rId289" xr:uid="{00000000-0004-0000-0500-000023010000}"/>
    <hyperlink ref="B536" r:id="rId290" xr:uid="{00000000-0004-0000-0500-000024010000}"/>
    <hyperlink ref="B538" r:id="rId291" xr:uid="{00000000-0004-0000-0500-000025010000}"/>
    <hyperlink ref="B539" r:id="rId292" xr:uid="{00000000-0004-0000-0500-000026010000}"/>
    <hyperlink ref="B540" r:id="rId293" xr:uid="{00000000-0004-0000-0500-000027010000}"/>
    <hyperlink ref="B541" r:id="rId294" xr:uid="{00000000-0004-0000-0500-000028010000}"/>
    <hyperlink ref="B542" r:id="rId295" xr:uid="{00000000-0004-0000-0500-000029010000}"/>
    <hyperlink ref="B544" r:id="rId296" xr:uid="{00000000-0004-0000-0500-00002A010000}"/>
    <hyperlink ref="B545" r:id="rId297" xr:uid="{00000000-0004-0000-0500-00002B010000}"/>
    <hyperlink ref="B546" r:id="rId298" xr:uid="{00000000-0004-0000-0500-00002C010000}"/>
    <hyperlink ref="B547" r:id="rId299" xr:uid="{00000000-0004-0000-0500-00002D010000}"/>
    <hyperlink ref="B548" r:id="rId300" xr:uid="{00000000-0004-0000-0500-00002E010000}"/>
    <hyperlink ref="B549" r:id="rId301" xr:uid="{00000000-0004-0000-0500-00002F010000}"/>
    <hyperlink ref="B550" r:id="rId302" xr:uid="{00000000-0004-0000-0500-000030010000}"/>
    <hyperlink ref="B551" r:id="rId303" xr:uid="{00000000-0004-0000-0500-000031010000}"/>
    <hyperlink ref="B552" r:id="rId304" xr:uid="{00000000-0004-0000-0500-000032010000}"/>
    <hyperlink ref="B553" r:id="rId305" xr:uid="{00000000-0004-0000-0500-000033010000}"/>
    <hyperlink ref="B554" r:id="rId306" xr:uid="{00000000-0004-0000-0500-000034010000}"/>
    <hyperlink ref="B555" r:id="rId307" xr:uid="{00000000-0004-0000-0500-000035010000}"/>
    <hyperlink ref="B556" r:id="rId308" xr:uid="{00000000-0004-0000-0500-000036010000}"/>
    <hyperlink ref="B557" r:id="rId309" xr:uid="{00000000-0004-0000-0500-000037010000}"/>
    <hyperlink ref="B558" r:id="rId310" xr:uid="{00000000-0004-0000-0500-000038010000}"/>
    <hyperlink ref="B559" r:id="rId311" xr:uid="{00000000-0004-0000-0500-000039010000}"/>
    <hyperlink ref="B560" r:id="rId312" xr:uid="{00000000-0004-0000-0500-00003A010000}"/>
    <hyperlink ref="B562" r:id="rId313" xr:uid="{00000000-0004-0000-0500-00003B010000}"/>
    <hyperlink ref="B561" r:id="rId314" xr:uid="{00000000-0004-0000-0500-00003C010000}"/>
    <hyperlink ref="B563" r:id="rId315" xr:uid="{00000000-0004-0000-0500-00003D010000}"/>
    <hyperlink ref="B564" r:id="rId316" display="https://newsroom.neom.com/air-products-acwa-power-and-neom-sign-agreement-for-5-billion-production-facility-in-neom-powered-by-renewable-energy-for-production-and-export-of-green-hydrogen-to-global-markets-321553" xr:uid="{00000000-0004-0000-0500-00003E010000}"/>
    <hyperlink ref="B565" r:id="rId317" xr:uid="{00000000-0004-0000-0500-00003F010000}"/>
    <hyperlink ref="B566" r:id="rId318" xr:uid="{00000000-0004-0000-0500-000040010000}"/>
    <hyperlink ref="B567" r:id="rId319" xr:uid="{00000000-0004-0000-0500-000041010000}"/>
    <hyperlink ref="B568" r:id="rId320" xr:uid="{00000000-0004-0000-0500-000042010000}"/>
    <hyperlink ref="B569" r:id="rId321" xr:uid="{00000000-0004-0000-0500-000043010000}"/>
    <hyperlink ref="B570" r:id="rId322" xr:uid="{00000000-0004-0000-0500-000044010000}"/>
    <hyperlink ref="B571" r:id="rId323" xr:uid="{00000000-0004-0000-0500-000045010000}"/>
    <hyperlink ref="B572" r:id="rId324" xr:uid="{00000000-0004-0000-0500-000046010000}"/>
    <hyperlink ref="B573" r:id="rId325" xr:uid="{00000000-0004-0000-0500-000047010000}"/>
    <hyperlink ref="B574" r:id="rId326" xr:uid="{00000000-0004-0000-0500-000048010000}"/>
    <hyperlink ref="B575" r:id="rId327" xr:uid="{00000000-0004-0000-0500-000049010000}"/>
    <hyperlink ref="B576" r:id="rId328" xr:uid="{00000000-0004-0000-0500-00004A010000}"/>
    <hyperlink ref="B577" r:id="rId329" xr:uid="{00000000-0004-0000-0500-00004B010000}"/>
    <hyperlink ref="B578" r:id="rId330" xr:uid="{00000000-0004-0000-0500-00004C010000}"/>
    <hyperlink ref="B579" r:id="rId331" xr:uid="{00000000-0004-0000-0500-00004D010000}"/>
    <hyperlink ref="B580" r:id="rId332" xr:uid="{00000000-0004-0000-0500-00004E010000}"/>
    <hyperlink ref="B581" r:id="rId333" xr:uid="{00000000-0004-0000-0500-00004F010000}"/>
    <hyperlink ref="B582" r:id="rId334" xr:uid="{00000000-0004-0000-0500-000050010000}"/>
    <hyperlink ref="B584" r:id="rId335" xr:uid="{00000000-0004-0000-0500-000051010000}"/>
    <hyperlink ref="B585" r:id="rId336" xr:uid="{00000000-0004-0000-0500-000052010000}"/>
    <hyperlink ref="B586" r:id="rId337" xr:uid="{00000000-0004-0000-0500-000053010000}"/>
    <hyperlink ref="B587" r:id="rId338" xr:uid="{00000000-0004-0000-0500-000054010000}"/>
    <hyperlink ref="B588" r:id="rId339" xr:uid="{00000000-0004-0000-0500-000055010000}"/>
    <hyperlink ref="B235" r:id="rId340" xr:uid="{00000000-0004-0000-0500-000056010000}"/>
    <hyperlink ref="B597" r:id="rId341" xr:uid="{00000000-0004-0000-0500-000057010000}"/>
    <hyperlink ref="B608" r:id="rId342" xr:uid="{00000000-0004-0000-0500-000058010000}"/>
    <hyperlink ref="B609" r:id="rId343" xr:uid="{00000000-0004-0000-0500-000059010000}"/>
    <hyperlink ref="B606" r:id="rId344" xr:uid="{00000000-0004-0000-0500-00005A010000}"/>
    <hyperlink ref="B611" r:id="rId345" xr:uid="{00000000-0004-0000-0500-00005B010000}"/>
    <hyperlink ref="B618" r:id="rId346" xr:uid="{00000000-0004-0000-0500-00005C010000}"/>
    <hyperlink ref="B619" r:id="rId347" xr:uid="{00000000-0004-0000-0500-00005D010000}"/>
    <hyperlink ref="B450" r:id="rId348" xr:uid="{00000000-0004-0000-0500-00005E010000}"/>
    <hyperlink ref="B47" r:id="rId349" xr:uid="{00000000-0004-0000-0500-00005F010000}"/>
    <hyperlink ref="B124" r:id="rId350" xr:uid="{00000000-0004-0000-0500-000060010000}"/>
    <hyperlink ref="B125" r:id="rId351" xr:uid="{00000000-0004-0000-0500-000061010000}"/>
    <hyperlink ref="B621" r:id="rId352" xr:uid="{00000000-0004-0000-0500-000062010000}"/>
    <hyperlink ref="B290" r:id="rId353" xr:uid="{00000000-0004-0000-0500-000063010000}"/>
    <hyperlink ref="B234" r:id="rId354" xr:uid="{00000000-0004-0000-0500-000064010000}"/>
    <hyperlink ref="B191" r:id="rId355" xr:uid="{00000000-0004-0000-0500-000065010000}"/>
    <hyperlink ref="B595" r:id="rId356" xr:uid="{00000000-0004-0000-0500-000066010000}"/>
    <hyperlink ref="B583" r:id="rId357" xr:uid="{00000000-0004-0000-0500-000067010000}"/>
    <hyperlink ref="B461" r:id="rId358" xr:uid="{00000000-0004-0000-0500-000068010000}"/>
    <hyperlink ref="B431" r:id="rId359" xr:uid="{00000000-0004-0000-0500-000069010000}"/>
    <hyperlink ref="B629" r:id="rId360" xr:uid="{00000000-0004-0000-0500-00006A010000}"/>
    <hyperlink ref="B615" r:id="rId361" xr:uid="{00000000-0004-0000-0500-00006B010000}"/>
    <hyperlink ref="B248" r:id="rId362" xr:uid="{00000000-0004-0000-0500-00006C010000}"/>
    <hyperlink ref="B156" r:id="rId363" xr:uid="{00000000-0004-0000-0500-00006D010000}"/>
    <hyperlink ref="B623" r:id="rId364" xr:uid="{00000000-0004-0000-0500-00006E010000}"/>
    <hyperlink ref="B624" r:id="rId365" xr:uid="{00000000-0004-0000-0500-00006F010000}"/>
    <hyperlink ref="B607" r:id="rId366" xr:uid="{00000000-0004-0000-0500-000070010000}"/>
    <hyperlink ref="B97" r:id="rId367" xr:uid="{00000000-0004-0000-0500-000071010000}"/>
    <hyperlink ref="B589" r:id="rId368" xr:uid="{00000000-0004-0000-0500-000072010000}"/>
    <hyperlink ref="B599" r:id="rId369" xr:uid="{00000000-0004-0000-0500-000073010000}"/>
    <hyperlink ref="B613" r:id="rId370" xr:uid="{00000000-0004-0000-0500-000074010000}"/>
    <hyperlink ref="B598" r:id="rId371" xr:uid="{00000000-0004-0000-0500-000075010000}"/>
    <hyperlink ref="B601" r:id="rId372" xr:uid="{00000000-0004-0000-0500-000076010000}"/>
    <hyperlink ref="B426" r:id="rId373" xr:uid="{00000000-0004-0000-0500-000077010000}"/>
    <hyperlink ref="B270" r:id="rId374" xr:uid="{00000000-0004-0000-0500-000078010000}"/>
    <hyperlink ref="B632" r:id="rId375" xr:uid="{00000000-0004-0000-0500-000079010000}"/>
    <hyperlink ref="B667" r:id="rId376" xr:uid="{00000000-0004-0000-0500-00007A010000}"/>
    <hyperlink ref="B669" r:id="rId377" xr:uid="{00000000-0004-0000-0500-00007B010000}"/>
    <hyperlink ref="B672" r:id="rId378" xr:uid="{00000000-0004-0000-0500-00007C010000}"/>
    <hyperlink ref="B673" display="https://blog.topsoe.com/danish-partnership-sets-out-to-build-worlds-first-commercial-scale-green-ammonia-plant?utm_medium=email&amp;_hsmi=102353050&amp;_hsenc=p2ANqtz-8nRYYTKzEq3lRGKAsHTYG2RVNcEVT6qSj7jvef_4f15aTB252c35aNOmdoIeLONeMp3wnF9GZBRkeCw40IK7Yccjah4g&amp;utm" xr:uid="{00000000-0004-0000-0500-00007D010000}"/>
    <hyperlink ref="B705" r:id="rId379" xr:uid="{00000000-0004-0000-0500-00007E010000}"/>
    <hyperlink ref="B213" r:id="rId380" xr:uid="{00000000-0004-0000-0500-00007F010000}"/>
    <hyperlink ref="B246" r:id="rId381" xr:uid="{00000000-0004-0000-0500-000080010000}"/>
    <hyperlink ref="B604" r:id="rId382" location="intro" xr:uid="{00000000-0004-0000-0500-000081010000}"/>
    <hyperlink ref="B603" r:id="rId383" xr:uid="{00000000-0004-0000-0500-000082010000}"/>
    <hyperlink ref="B110" r:id="rId384" xr:uid="{00000000-0004-0000-0500-000083010000}"/>
    <hyperlink ref="B201" r:id="rId385" xr:uid="{00000000-0004-0000-0500-000084010000}"/>
    <hyperlink ref="B250" r:id="rId386" xr:uid="{00000000-0004-0000-0500-000085010000}"/>
    <hyperlink ref="B712" r:id="rId387" xr:uid="{00000000-0004-0000-0500-000086010000}"/>
    <hyperlink ref="B711" r:id="rId388" xr:uid="{00000000-0004-0000-0500-000087010000}"/>
    <hyperlink ref="B642" r:id="rId389" xr:uid="{00000000-0004-0000-0500-000088010000}"/>
    <hyperlink ref="B728" r:id="rId390" xr:uid="{00000000-0004-0000-0500-000089010000}"/>
    <hyperlink ref="B740" r:id="rId391" xr:uid="{00000000-0004-0000-0500-00008A010000}"/>
    <hyperlink ref="B690" r:id="rId392" xr:uid="{00000000-0004-0000-0500-00008B010000}"/>
    <hyperlink ref="B652" r:id="rId393" xr:uid="{00000000-0004-0000-0500-00008C010000}"/>
    <hyperlink ref="B685" r:id="rId394" xr:uid="{00000000-0004-0000-0500-00008D010000}"/>
    <hyperlink ref="B665" r:id="rId395" xr:uid="{00000000-0004-0000-0500-00008E010000}"/>
    <hyperlink ref="B628" r:id="rId396" xr:uid="{00000000-0004-0000-0500-00008F010000}"/>
    <hyperlink ref="B859" r:id="rId397" xr:uid="{00000000-0004-0000-0500-000090010000}"/>
    <hyperlink ref="B659" r:id="rId398" xr:uid="{00000000-0004-0000-0500-000091010000}"/>
    <hyperlink ref="B875" r:id="rId399" xr:uid="{00000000-0004-0000-0500-000092010000}"/>
    <hyperlink ref="B922" r:id="rId400" xr:uid="{00000000-0004-0000-0500-000093010000}"/>
    <hyperlink ref="B643" r:id="rId401" xr:uid="{00000000-0004-0000-0500-000094010000}"/>
    <hyperlink ref="B865" r:id="rId402" xr:uid="{00000000-0004-0000-0500-000095010000}"/>
    <hyperlink ref="B755" r:id="rId403" xr:uid="{00000000-0004-0000-0500-000096010000}"/>
    <hyperlink ref="B957" r:id="rId404" xr:uid="{00000000-0004-0000-0500-000097010000}"/>
    <hyperlink ref="B958" r:id="rId405" xr:uid="{00000000-0004-0000-0500-000098010000}"/>
    <hyperlink ref="B963" r:id="rId406" xr:uid="{00000000-0004-0000-0500-000099010000}"/>
    <hyperlink ref="B964" r:id="rId407" xr:uid="{00000000-0004-0000-0500-00009A010000}"/>
    <hyperlink ref="B965" r:id="rId408" display="https://www.ssme.gov.py/vmme/index.php?option=com_content&amp;view=article&amp;id=2020:proyecto-qla-ruta-del-hidrogeno-h2-en-paraguay&amp;catid=96:sample-news&amp;Itemid=552" xr:uid="{00000000-0004-0000-0500-00009B010000}"/>
    <hyperlink ref="B271" r:id="rId409" xr:uid="{00000000-0004-0000-0500-00009C010000}"/>
    <hyperlink ref="B804" r:id="rId410" xr:uid="{00000000-0004-0000-0500-00009D010000}"/>
    <hyperlink ref="B949" r:id="rId411" xr:uid="{00000000-0004-0000-0500-00009E010000}"/>
    <hyperlink ref="B1018" r:id="rId412" xr:uid="{00000000-0004-0000-0500-00009F010000}"/>
    <hyperlink ref="B887" r:id="rId413" xr:uid="{00000000-0004-0000-0500-0000A0010000}"/>
    <hyperlink ref="B984" display="https://blog.topsoe.com/danish-partnership-receives-support-from-the-danish-energy-technology-development-and-demonstration-program-eudp-for-worlds-first-industrial-dynamic-green-ammoni-1624599909696?utm_content=170812983&amp;utm_medium=social&amp;utm_source=twit" xr:uid="{00000000-0004-0000-0500-0000A1010000}"/>
    <hyperlink ref="B1053" display="https://www.pv-magazine-australia.com/press-releases/fortescue-future-industries-signs-collaboration-agreement-regarding-a-potential-large-scale-renewable-green-hydrogen-plant-in-new-zealand/#:~:text=Fortescue%20Future%20Industries%20(FFI)%20has,project%2" xr:uid="{00000000-0004-0000-0500-0000A2010000}"/>
    <hyperlink ref="B1054" r:id="rId414" xr:uid="{00000000-0004-0000-0500-0000A3010000}"/>
    <hyperlink ref="B1052" r:id="rId415" xr:uid="{00000000-0004-0000-0500-0000A4010000}"/>
    <hyperlink ref="B883" r:id="rId416" xr:uid="{00000000-0004-0000-0500-0000A5010000}"/>
    <hyperlink ref="B1063" r:id="rId417" xr:uid="{00000000-0004-0000-0500-0000A6010000}"/>
    <hyperlink ref="B1064" r:id="rId418" xr:uid="{00000000-0004-0000-0500-0000A7010000}"/>
    <hyperlink ref="B1061" r:id="rId419" xr:uid="{00000000-0004-0000-0500-0000A8010000}"/>
  </hyperlinks>
  <pageMargins left="0.7" right="0.7" top="0.75" bottom="0.75" header="0.3" footer="0.3"/>
  <pageSetup paperSize="9" orientation="portrait" r:id="rId42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2889E"/>
  </sheetPr>
  <dimension ref="A1:Y94"/>
  <sheetViews>
    <sheetView zoomScale="55" zoomScaleNormal="55" workbookViewId="0">
      <selection activeCell="S29" sqref="S29"/>
    </sheetView>
  </sheetViews>
  <sheetFormatPr baseColWidth="10" defaultColWidth="8.83203125" defaultRowHeight="15" x14ac:dyDescent="0.2"/>
  <sheetData>
    <row r="1" spans="1:17" x14ac:dyDescent="0.2">
      <c r="A1" s="116" t="s">
        <v>772</v>
      </c>
      <c r="B1" s="116"/>
      <c r="C1" s="116"/>
      <c r="D1" s="116"/>
      <c r="E1" s="116"/>
      <c r="F1" s="116"/>
      <c r="G1" s="116"/>
      <c r="H1" s="116"/>
      <c r="I1" s="116"/>
      <c r="J1" s="116"/>
      <c r="K1" s="116"/>
      <c r="L1" s="116"/>
      <c r="M1" s="116"/>
      <c r="N1" s="116"/>
      <c r="O1" s="116"/>
      <c r="P1" s="116"/>
      <c r="Q1" s="116"/>
    </row>
    <row r="2" spans="1:17" x14ac:dyDescent="0.2">
      <c r="A2" s="25" t="s">
        <v>741</v>
      </c>
      <c r="B2" s="26"/>
      <c r="C2" s="26"/>
      <c r="D2" s="25" t="s">
        <v>757</v>
      </c>
      <c r="E2" s="26"/>
      <c r="F2" s="26"/>
      <c r="G2" s="26"/>
      <c r="H2" s="26"/>
      <c r="I2" s="25" t="s">
        <v>764</v>
      </c>
      <c r="J2" s="26"/>
      <c r="K2" s="26"/>
      <c r="L2" s="25" t="s">
        <v>380</v>
      </c>
      <c r="M2" s="26"/>
      <c r="N2" s="25" t="s">
        <v>860</v>
      </c>
      <c r="O2" s="25"/>
      <c r="P2" s="25" t="s">
        <v>1240</v>
      </c>
      <c r="Q2" s="26"/>
    </row>
    <row r="3" spans="1:17" x14ac:dyDescent="0.2">
      <c r="A3" s="26" t="s">
        <v>1336</v>
      </c>
      <c r="B3" s="26"/>
      <c r="C3" s="26"/>
      <c r="D3" s="26" t="s">
        <v>268</v>
      </c>
      <c r="E3" s="26"/>
      <c r="F3" s="26">
        <v>4.5999999999999999E-3</v>
      </c>
      <c r="G3" s="26"/>
      <c r="H3" s="26"/>
      <c r="I3" s="26" t="s">
        <v>765</v>
      </c>
      <c r="J3" s="26"/>
      <c r="K3" s="26"/>
      <c r="L3" s="26" t="s">
        <v>377</v>
      </c>
      <c r="M3" s="26"/>
      <c r="N3" s="26" t="s">
        <v>861</v>
      </c>
      <c r="O3" s="26"/>
      <c r="P3" s="26">
        <v>0.3</v>
      </c>
      <c r="Q3" s="26"/>
    </row>
    <row r="4" spans="1:17" x14ac:dyDescent="0.2">
      <c r="A4" s="26" t="s">
        <v>832</v>
      </c>
      <c r="B4" s="26"/>
      <c r="C4" s="26"/>
      <c r="D4" s="26" t="s">
        <v>266</v>
      </c>
      <c r="E4" s="26"/>
      <c r="F4" s="26">
        <v>5.1999999999999998E-3</v>
      </c>
      <c r="G4" s="26"/>
      <c r="H4" s="26"/>
      <c r="I4" s="26" t="s">
        <v>866</v>
      </c>
      <c r="J4" s="26"/>
      <c r="K4" s="26"/>
      <c r="L4" s="26" t="s">
        <v>740</v>
      </c>
      <c r="M4" s="26"/>
      <c r="N4" s="26" t="s">
        <v>862</v>
      </c>
      <c r="O4" s="26"/>
      <c r="P4" s="26">
        <v>0.4</v>
      </c>
      <c r="Q4" s="26"/>
    </row>
    <row r="5" spans="1:17" x14ac:dyDescent="0.2">
      <c r="A5" s="26" t="s">
        <v>753</v>
      </c>
      <c r="B5" s="26"/>
      <c r="C5" s="26"/>
      <c r="D5" s="26" t="s">
        <v>267</v>
      </c>
      <c r="E5" s="26"/>
      <c r="F5" s="26">
        <v>3.8E-3</v>
      </c>
      <c r="G5" s="26"/>
      <c r="H5" s="26"/>
      <c r="I5" s="26" t="s">
        <v>768</v>
      </c>
      <c r="J5" s="26"/>
      <c r="K5" s="26"/>
      <c r="L5" s="26" t="s">
        <v>739</v>
      </c>
      <c r="M5" s="26"/>
      <c r="N5" s="26" t="s">
        <v>863</v>
      </c>
      <c r="O5" s="26"/>
      <c r="P5" s="26">
        <v>0.55000000000000004</v>
      </c>
      <c r="Q5" s="26"/>
    </row>
    <row r="6" spans="1:17" x14ac:dyDescent="0.2">
      <c r="A6" s="26" t="s">
        <v>754</v>
      </c>
      <c r="B6" s="26"/>
      <c r="C6" s="26"/>
      <c r="D6" s="26" t="s">
        <v>758</v>
      </c>
      <c r="E6" s="26"/>
      <c r="F6" s="26">
        <v>4.4999999999999997E-3</v>
      </c>
      <c r="G6" s="26"/>
      <c r="H6" s="26"/>
      <c r="I6" s="26" t="s">
        <v>756</v>
      </c>
      <c r="J6" s="26"/>
      <c r="K6" s="26"/>
      <c r="L6" s="26" t="s">
        <v>396</v>
      </c>
      <c r="M6" s="26"/>
      <c r="N6" s="26" t="s">
        <v>864</v>
      </c>
      <c r="O6" s="26"/>
      <c r="P6" s="26">
        <v>0.45</v>
      </c>
      <c r="Q6" s="26"/>
    </row>
    <row r="7" spans="1:17" x14ac:dyDescent="0.2">
      <c r="A7" s="26" t="s">
        <v>836</v>
      </c>
      <c r="B7" s="26"/>
      <c r="C7" s="26"/>
      <c r="D7" s="26" t="s">
        <v>760</v>
      </c>
      <c r="E7" s="26"/>
      <c r="F7" s="26"/>
      <c r="G7" s="26"/>
      <c r="H7" s="26"/>
      <c r="I7" s="26" t="s">
        <v>1239</v>
      </c>
      <c r="J7" s="26"/>
      <c r="K7" s="26"/>
      <c r="L7" s="26" t="s">
        <v>766</v>
      </c>
      <c r="M7" s="26"/>
      <c r="N7" s="26" t="s">
        <v>865</v>
      </c>
      <c r="O7" s="26"/>
      <c r="P7" s="26">
        <v>0.5</v>
      </c>
      <c r="Q7" s="26"/>
    </row>
    <row r="8" spans="1:17" x14ac:dyDescent="0.2">
      <c r="A8" s="26" t="s">
        <v>755</v>
      </c>
      <c r="B8" s="26"/>
      <c r="C8" s="26"/>
      <c r="D8" s="26" t="s">
        <v>759</v>
      </c>
      <c r="E8" s="26"/>
      <c r="F8" s="26"/>
      <c r="G8" s="26"/>
      <c r="H8" s="26"/>
      <c r="I8" s="26" t="s">
        <v>927</v>
      </c>
      <c r="J8" s="26"/>
      <c r="K8" s="26"/>
      <c r="L8" s="26" t="s">
        <v>388</v>
      </c>
      <c r="M8" s="26"/>
      <c r="N8" s="26" t="s">
        <v>378</v>
      </c>
      <c r="O8" s="26"/>
      <c r="P8" s="26">
        <v>0</v>
      </c>
      <c r="Q8" s="26"/>
    </row>
    <row r="9" spans="1:17" x14ac:dyDescent="0.2">
      <c r="A9" s="26" t="s">
        <v>756</v>
      </c>
      <c r="B9" s="26"/>
      <c r="C9" s="26"/>
      <c r="D9" s="26" t="s">
        <v>761</v>
      </c>
      <c r="E9" s="26"/>
      <c r="F9" s="26"/>
      <c r="G9" s="26"/>
      <c r="H9" s="26"/>
      <c r="I9" s="26"/>
      <c r="J9" s="26"/>
      <c r="K9" s="26"/>
      <c r="L9" s="26" t="s">
        <v>767</v>
      </c>
      <c r="M9" s="26"/>
      <c r="N9" s="26" t="s">
        <v>1239</v>
      </c>
      <c r="O9" s="26"/>
      <c r="P9" s="26"/>
      <c r="Q9" s="26"/>
    </row>
    <row r="10" spans="1:17" x14ac:dyDescent="0.2">
      <c r="A10" s="26" t="s">
        <v>916</v>
      </c>
      <c r="B10" s="26"/>
      <c r="C10" s="26"/>
      <c r="D10" s="26" t="s">
        <v>762</v>
      </c>
      <c r="E10" s="26"/>
      <c r="F10" s="26"/>
      <c r="G10" s="26"/>
      <c r="H10" s="26"/>
      <c r="I10" s="26"/>
      <c r="J10" s="26"/>
      <c r="K10" s="26"/>
      <c r="L10" s="26"/>
      <c r="M10" s="26"/>
      <c r="N10" s="26"/>
      <c r="O10" s="26"/>
      <c r="P10" s="26"/>
      <c r="Q10" s="26"/>
    </row>
    <row r="11" spans="1:17" x14ac:dyDescent="0.2">
      <c r="A11" s="26"/>
      <c r="B11" s="26"/>
      <c r="C11" s="26"/>
      <c r="D11" s="26" t="s">
        <v>763</v>
      </c>
      <c r="E11" s="26"/>
      <c r="F11" s="26"/>
      <c r="G11" s="26"/>
      <c r="H11" s="26"/>
      <c r="I11" s="26"/>
      <c r="J11" s="26"/>
      <c r="K11" s="26"/>
      <c r="L11" s="26"/>
      <c r="M11" s="26"/>
      <c r="N11" s="26"/>
      <c r="O11" s="26"/>
      <c r="P11" s="26"/>
      <c r="Q11" s="26"/>
    </row>
    <row r="12" spans="1:17" x14ac:dyDescent="0.2">
      <c r="A12" s="26"/>
      <c r="B12" s="26"/>
      <c r="C12" s="26"/>
      <c r="D12" s="26" t="s">
        <v>752</v>
      </c>
      <c r="E12" s="26"/>
      <c r="F12" s="26"/>
      <c r="G12" s="26"/>
      <c r="H12" s="26"/>
      <c r="I12" s="26"/>
      <c r="J12" s="26"/>
      <c r="K12" s="26"/>
      <c r="L12" s="26"/>
      <c r="M12" s="26"/>
      <c r="N12" s="26"/>
      <c r="O12" s="26"/>
      <c r="P12" s="26"/>
      <c r="Q12" s="26"/>
    </row>
    <row r="13" spans="1:17" x14ac:dyDescent="0.2">
      <c r="A13" s="26"/>
      <c r="B13" s="26"/>
      <c r="C13" s="26"/>
      <c r="D13" s="26"/>
      <c r="E13" s="26"/>
      <c r="F13" s="26"/>
      <c r="G13" s="26"/>
      <c r="H13" s="26"/>
      <c r="I13" s="26"/>
      <c r="J13" s="26"/>
      <c r="K13" s="26"/>
      <c r="L13" s="26"/>
      <c r="M13" s="26"/>
      <c r="N13" s="26"/>
      <c r="O13" s="26"/>
      <c r="P13" s="26"/>
      <c r="Q13" s="26"/>
    </row>
    <row r="14" spans="1:17" x14ac:dyDescent="0.2">
      <c r="A14" s="6"/>
      <c r="B14" s="6"/>
      <c r="C14" s="6"/>
      <c r="D14" s="6"/>
      <c r="E14" s="6"/>
      <c r="F14" s="6"/>
      <c r="G14" s="6"/>
      <c r="H14" s="6"/>
      <c r="I14" s="6"/>
      <c r="J14" s="6"/>
      <c r="K14" s="6"/>
      <c r="L14" s="6"/>
      <c r="M14" s="6"/>
      <c r="N14" s="6"/>
      <c r="O14" s="6"/>
      <c r="P14" s="6"/>
      <c r="Q14" s="6"/>
    </row>
    <row r="15" spans="1:17" x14ac:dyDescent="0.2">
      <c r="A15" s="117" t="s">
        <v>797</v>
      </c>
      <c r="B15" s="117"/>
      <c r="C15" s="117"/>
      <c r="D15" s="117"/>
      <c r="E15" s="117"/>
      <c r="F15" s="117"/>
      <c r="G15" s="117"/>
      <c r="H15" s="117"/>
      <c r="I15" s="117"/>
      <c r="J15" s="117"/>
      <c r="K15" s="117"/>
      <c r="L15" s="117"/>
      <c r="M15" s="117"/>
      <c r="N15" s="117"/>
      <c r="O15" s="117"/>
      <c r="P15" s="117"/>
      <c r="Q15" s="117"/>
    </row>
    <row r="16" spans="1:17" x14ac:dyDescent="0.2">
      <c r="A16" s="23" t="s">
        <v>742</v>
      </c>
      <c r="B16" s="24"/>
      <c r="C16" s="23" t="s">
        <v>837</v>
      </c>
      <c r="D16" s="24"/>
      <c r="E16" s="24"/>
      <c r="F16" s="24"/>
      <c r="G16" s="24"/>
      <c r="H16" s="24"/>
      <c r="I16" s="24"/>
      <c r="J16" s="24"/>
      <c r="K16" s="24"/>
      <c r="L16" s="24"/>
      <c r="M16" s="24"/>
      <c r="N16" s="24"/>
      <c r="O16" s="24"/>
      <c r="P16" s="24"/>
      <c r="Q16" s="24"/>
    </row>
    <row r="17" spans="1:17" x14ac:dyDescent="0.2">
      <c r="A17" s="24" t="s">
        <v>743</v>
      </c>
      <c r="B17" s="24"/>
      <c r="C17" s="24" t="s">
        <v>838</v>
      </c>
      <c r="D17" s="24"/>
      <c r="E17" s="24"/>
      <c r="F17" s="24"/>
      <c r="G17" s="24"/>
      <c r="H17" s="24"/>
      <c r="I17" s="24"/>
      <c r="J17" s="24"/>
      <c r="K17" s="24"/>
      <c r="L17" s="24"/>
      <c r="M17" s="24"/>
      <c r="N17" s="24"/>
      <c r="O17" s="24"/>
      <c r="P17" s="24"/>
      <c r="Q17" s="24"/>
    </row>
    <row r="18" spans="1:17" x14ac:dyDescent="0.2">
      <c r="A18" s="24" t="s">
        <v>773</v>
      </c>
      <c r="B18" s="24"/>
      <c r="C18" s="24" t="s">
        <v>839</v>
      </c>
      <c r="D18" s="24"/>
      <c r="E18" s="24"/>
      <c r="F18" s="24"/>
      <c r="G18" s="24"/>
      <c r="H18" s="24"/>
      <c r="I18" s="24"/>
      <c r="J18" s="24"/>
      <c r="K18" s="24"/>
      <c r="L18" s="24"/>
      <c r="M18" s="24"/>
      <c r="N18" s="24"/>
      <c r="O18" s="24"/>
      <c r="P18" s="24"/>
      <c r="Q18" s="24"/>
    </row>
    <row r="19" spans="1:17" x14ac:dyDescent="0.2">
      <c r="A19" s="24" t="s">
        <v>919</v>
      </c>
      <c r="B19" s="24"/>
      <c r="C19" s="24"/>
      <c r="D19" s="24"/>
      <c r="E19" s="24"/>
      <c r="F19" s="24"/>
      <c r="G19" s="24"/>
      <c r="H19" s="24"/>
      <c r="I19" s="24"/>
      <c r="J19" s="24"/>
      <c r="K19" s="24"/>
      <c r="L19" s="24"/>
      <c r="M19" s="24"/>
      <c r="N19" s="24"/>
      <c r="O19" s="24"/>
      <c r="P19" s="24"/>
      <c r="Q19" s="24"/>
    </row>
    <row r="20" spans="1:17" x14ac:dyDescent="0.2">
      <c r="A20" s="24" t="s">
        <v>854</v>
      </c>
      <c r="B20" s="24"/>
      <c r="C20" s="24"/>
      <c r="D20" s="24"/>
      <c r="E20" s="24"/>
      <c r="F20" s="24"/>
      <c r="G20" s="24"/>
      <c r="H20" s="24"/>
      <c r="I20" s="24"/>
      <c r="J20" s="24"/>
      <c r="K20" s="24"/>
      <c r="L20" s="24"/>
      <c r="M20" s="24"/>
      <c r="N20" s="24"/>
      <c r="O20" s="24"/>
      <c r="P20" s="24"/>
      <c r="Q20" s="24"/>
    </row>
    <row r="21" spans="1:17" x14ac:dyDescent="0.2">
      <c r="A21" s="24"/>
      <c r="B21" s="24"/>
      <c r="C21" s="24"/>
      <c r="D21" s="24"/>
      <c r="E21" s="24"/>
      <c r="F21" s="24"/>
      <c r="G21" s="24"/>
      <c r="H21" s="24"/>
      <c r="I21" s="24"/>
      <c r="J21" s="24"/>
      <c r="K21" s="24"/>
      <c r="L21" s="24"/>
      <c r="M21" s="24"/>
      <c r="N21" s="24"/>
      <c r="O21" s="24"/>
      <c r="P21" s="24"/>
      <c r="Q21" s="24"/>
    </row>
    <row r="22" spans="1:17" s="6" customFormat="1" x14ac:dyDescent="0.2"/>
    <row r="23" spans="1:17" x14ac:dyDescent="0.2">
      <c r="A23" s="23" t="s">
        <v>774</v>
      </c>
      <c r="B23" s="24"/>
      <c r="C23" s="24"/>
      <c r="D23" s="23" t="s">
        <v>790</v>
      </c>
      <c r="E23" s="24"/>
      <c r="F23" s="24"/>
      <c r="G23" s="23" t="s">
        <v>793</v>
      </c>
      <c r="H23" s="24"/>
      <c r="I23" s="24"/>
      <c r="J23" s="24"/>
      <c r="K23" s="23" t="s">
        <v>794</v>
      </c>
      <c r="L23" s="24"/>
      <c r="M23" s="24"/>
      <c r="N23" s="23" t="s">
        <v>764</v>
      </c>
      <c r="O23" s="24"/>
      <c r="P23" s="24"/>
      <c r="Q23" s="23" t="s">
        <v>842</v>
      </c>
    </row>
    <row r="24" spans="1:17" x14ac:dyDescent="0.2">
      <c r="A24" s="24" t="s">
        <v>336</v>
      </c>
      <c r="B24" s="24"/>
      <c r="C24" s="24"/>
      <c r="D24" s="24" t="s">
        <v>791</v>
      </c>
      <c r="E24" s="24"/>
      <c r="F24" s="24"/>
      <c r="G24" s="24" t="s">
        <v>744</v>
      </c>
      <c r="H24" s="24"/>
      <c r="I24" s="24"/>
      <c r="J24" s="24"/>
      <c r="K24" s="24" t="s">
        <v>795</v>
      </c>
      <c r="L24" s="24"/>
      <c r="M24" s="24"/>
      <c r="N24" s="24" t="s">
        <v>765</v>
      </c>
      <c r="O24" s="24"/>
      <c r="P24" s="24"/>
      <c r="Q24" s="24" t="s">
        <v>843</v>
      </c>
    </row>
    <row r="25" spans="1:17" x14ac:dyDescent="0.2">
      <c r="A25" s="24" t="s">
        <v>610</v>
      </c>
      <c r="B25" s="24"/>
      <c r="C25" s="24"/>
      <c r="D25" s="24" t="s">
        <v>792</v>
      </c>
      <c r="E25" s="24"/>
      <c r="F25" s="24"/>
      <c r="G25" s="24" t="s">
        <v>745</v>
      </c>
      <c r="H25" s="24"/>
      <c r="I25" s="24"/>
      <c r="J25" s="24"/>
      <c r="K25" s="24" t="s">
        <v>796</v>
      </c>
      <c r="L25" s="24"/>
      <c r="M25" s="24"/>
      <c r="N25" s="24" t="s">
        <v>866</v>
      </c>
      <c r="O25" s="24"/>
      <c r="P25" s="24"/>
      <c r="Q25" s="24" t="s">
        <v>844</v>
      </c>
    </row>
    <row r="26" spans="1:17" x14ac:dyDescent="0.2">
      <c r="A26" s="24" t="s">
        <v>334</v>
      </c>
      <c r="B26" s="24"/>
      <c r="C26" s="24"/>
      <c r="D26" s="24" t="s">
        <v>740</v>
      </c>
      <c r="E26" s="24"/>
      <c r="F26" s="24"/>
      <c r="G26" s="24" t="s">
        <v>746</v>
      </c>
      <c r="H26" s="24"/>
      <c r="I26" s="24"/>
      <c r="J26" s="24"/>
      <c r="K26" s="24"/>
      <c r="L26" s="24"/>
      <c r="M26" s="24"/>
      <c r="N26" s="24" t="s">
        <v>768</v>
      </c>
      <c r="O26" s="24"/>
      <c r="P26" s="24"/>
      <c r="Q26" s="24" t="s">
        <v>846</v>
      </c>
    </row>
    <row r="27" spans="1:17" x14ac:dyDescent="0.2">
      <c r="A27" s="24" t="s">
        <v>775</v>
      </c>
      <c r="B27" s="24"/>
      <c r="C27" s="24"/>
      <c r="D27" s="24" t="s">
        <v>766</v>
      </c>
      <c r="E27" s="24"/>
      <c r="F27" s="24"/>
      <c r="G27" s="24" t="s">
        <v>747</v>
      </c>
      <c r="H27" s="24"/>
      <c r="I27" s="24"/>
      <c r="J27" s="24"/>
      <c r="K27" s="24"/>
      <c r="L27" s="24"/>
      <c r="M27" s="24"/>
      <c r="N27" s="24" t="s">
        <v>752</v>
      </c>
      <c r="O27" s="24"/>
      <c r="P27" s="24"/>
      <c r="Q27" s="24" t="s">
        <v>845</v>
      </c>
    </row>
    <row r="28" spans="1:17" x14ac:dyDescent="0.2">
      <c r="A28" s="24" t="s">
        <v>338</v>
      </c>
      <c r="B28" s="24"/>
      <c r="C28" s="24"/>
      <c r="D28" s="24" t="s">
        <v>841</v>
      </c>
      <c r="E28" s="24"/>
      <c r="F28" s="24"/>
      <c r="G28" s="24" t="s">
        <v>748</v>
      </c>
      <c r="H28" s="24"/>
      <c r="I28" s="24"/>
      <c r="J28" s="24"/>
      <c r="K28" s="24"/>
      <c r="L28" s="24"/>
      <c r="M28" s="24"/>
      <c r="N28" s="24"/>
      <c r="O28" s="24"/>
      <c r="P28" s="24"/>
      <c r="Q28" s="24" t="s">
        <v>378</v>
      </c>
    </row>
    <row r="29" spans="1:17" x14ac:dyDescent="0.2">
      <c r="A29" s="24" t="s">
        <v>776</v>
      </c>
      <c r="B29" s="24"/>
      <c r="C29" s="24"/>
      <c r="D29" s="24" t="s">
        <v>892</v>
      </c>
      <c r="E29" s="24"/>
      <c r="F29" s="24"/>
      <c r="G29" s="24" t="s">
        <v>749</v>
      </c>
      <c r="H29" s="24"/>
      <c r="I29" s="24"/>
      <c r="J29" s="24"/>
      <c r="K29" s="24"/>
      <c r="L29" s="24"/>
      <c r="M29" s="24"/>
      <c r="N29" s="24"/>
      <c r="O29" s="24"/>
      <c r="P29" s="24"/>
      <c r="Q29" s="24"/>
    </row>
    <row r="30" spans="1:17" x14ac:dyDescent="0.2">
      <c r="A30" s="24" t="s">
        <v>777</v>
      </c>
      <c r="B30" s="24"/>
      <c r="C30" s="24"/>
      <c r="D30" s="24" t="s">
        <v>767</v>
      </c>
      <c r="E30" s="24"/>
      <c r="F30" s="24"/>
      <c r="G30" s="24" t="s">
        <v>750</v>
      </c>
      <c r="H30" s="24"/>
      <c r="I30" s="24"/>
      <c r="J30" s="24"/>
      <c r="K30" s="24"/>
      <c r="L30" s="24"/>
      <c r="M30" s="24"/>
      <c r="N30" s="24"/>
      <c r="O30" s="24"/>
      <c r="P30" s="24"/>
      <c r="Q30" s="24"/>
    </row>
    <row r="31" spans="1:17" x14ac:dyDescent="0.2">
      <c r="A31" s="24" t="s">
        <v>778</v>
      </c>
      <c r="B31" s="24"/>
      <c r="C31" s="24"/>
      <c r="D31" s="24"/>
      <c r="E31" s="24"/>
      <c r="F31" s="24"/>
      <c r="G31" s="24" t="s">
        <v>751</v>
      </c>
      <c r="H31" s="24"/>
      <c r="I31" s="24"/>
      <c r="J31" s="24"/>
      <c r="K31" s="24"/>
      <c r="L31" s="24"/>
      <c r="M31" s="24"/>
      <c r="N31" s="24"/>
      <c r="O31" s="24"/>
      <c r="P31" s="24"/>
      <c r="Q31" s="24"/>
    </row>
    <row r="32" spans="1:17" x14ac:dyDescent="0.2">
      <c r="A32" s="24" t="s">
        <v>779</v>
      </c>
      <c r="B32" s="24"/>
      <c r="C32" s="24"/>
      <c r="D32" s="24"/>
      <c r="E32" s="24"/>
      <c r="F32" s="24"/>
      <c r="G32" s="24"/>
      <c r="H32" s="24"/>
      <c r="I32" s="24"/>
      <c r="J32" s="24"/>
      <c r="K32" s="24"/>
      <c r="L32" s="24"/>
      <c r="M32" s="24"/>
      <c r="N32" s="24"/>
      <c r="O32" s="24"/>
      <c r="P32" s="24"/>
      <c r="Q32" s="24"/>
    </row>
    <row r="33" spans="1:1" x14ac:dyDescent="0.2">
      <c r="A33" s="24" t="s">
        <v>780</v>
      </c>
    </row>
    <row r="34" spans="1:1" x14ac:dyDescent="0.2">
      <c r="A34" s="24" t="s">
        <v>343</v>
      </c>
    </row>
    <row r="35" spans="1:1" x14ac:dyDescent="0.2">
      <c r="A35" s="24" t="s">
        <v>620</v>
      </c>
    </row>
    <row r="36" spans="1:1" x14ac:dyDescent="0.2">
      <c r="A36" s="24" t="s">
        <v>340</v>
      </c>
    </row>
    <row r="37" spans="1:1" x14ac:dyDescent="0.2">
      <c r="A37" s="24" t="s">
        <v>339</v>
      </c>
    </row>
    <row r="38" spans="1:1" x14ac:dyDescent="0.2">
      <c r="A38" s="24" t="s">
        <v>565</v>
      </c>
    </row>
    <row r="39" spans="1:1" x14ac:dyDescent="0.2">
      <c r="A39" s="24" t="s">
        <v>781</v>
      </c>
    </row>
    <row r="40" spans="1:1" x14ac:dyDescent="0.2">
      <c r="A40" s="24" t="s">
        <v>625</v>
      </c>
    </row>
    <row r="41" spans="1:1" x14ac:dyDescent="0.2">
      <c r="A41" s="24" t="s">
        <v>782</v>
      </c>
    </row>
    <row r="42" spans="1:1" x14ac:dyDescent="0.2">
      <c r="A42" s="24" t="s">
        <v>783</v>
      </c>
    </row>
    <row r="43" spans="1:1" x14ac:dyDescent="0.2">
      <c r="A43" s="24" t="s">
        <v>784</v>
      </c>
    </row>
    <row r="44" spans="1:1" x14ac:dyDescent="0.2">
      <c r="A44" s="24" t="s">
        <v>785</v>
      </c>
    </row>
    <row r="45" spans="1:1" x14ac:dyDescent="0.2">
      <c r="A45" s="24" t="s">
        <v>786</v>
      </c>
    </row>
    <row r="46" spans="1:1" x14ac:dyDescent="0.2">
      <c r="A46" s="24" t="s">
        <v>787</v>
      </c>
    </row>
    <row r="47" spans="1:1" x14ac:dyDescent="0.2">
      <c r="A47" s="24" t="s">
        <v>788</v>
      </c>
    </row>
    <row r="48" spans="1:1" x14ac:dyDescent="0.2">
      <c r="A48" s="24" t="s">
        <v>789</v>
      </c>
    </row>
    <row r="49" spans="1:25" x14ac:dyDescent="0.2">
      <c r="A49" s="24" t="s">
        <v>604</v>
      </c>
      <c r="B49" s="24"/>
      <c r="C49" s="24"/>
      <c r="D49" s="24"/>
      <c r="E49" s="24"/>
      <c r="F49" s="24"/>
      <c r="G49" s="24"/>
      <c r="H49" s="24"/>
      <c r="I49" s="24"/>
      <c r="J49" s="24"/>
      <c r="K49" s="24"/>
      <c r="L49" s="24"/>
      <c r="M49" s="24"/>
      <c r="N49" s="24"/>
      <c r="O49" s="24"/>
      <c r="P49" s="24"/>
      <c r="Q49" s="24"/>
    </row>
    <row r="50" spans="1:25" x14ac:dyDescent="0.2">
      <c r="A50" s="24" t="s">
        <v>337</v>
      </c>
      <c r="B50" s="24"/>
      <c r="C50" s="24"/>
      <c r="D50" s="24"/>
      <c r="E50" s="24"/>
      <c r="F50" s="24"/>
      <c r="G50" s="24"/>
      <c r="H50" s="24"/>
      <c r="I50" s="24"/>
      <c r="J50" s="24"/>
      <c r="K50" s="24"/>
      <c r="L50" s="24"/>
      <c r="M50" s="24"/>
      <c r="N50" s="24"/>
      <c r="O50" s="24"/>
      <c r="P50" s="24"/>
      <c r="Q50" s="24"/>
    </row>
    <row r="51" spans="1:25" x14ac:dyDescent="0.2">
      <c r="A51" s="24" t="s">
        <v>521</v>
      </c>
      <c r="B51" s="24"/>
      <c r="C51" s="24"/>
      <c r="D51" s="24"/>
      <c r="E51" s="24"/>
      <c r="F51" s="24"/>
      <c r="G51" s="24"/>
      <c r="H51" s="24"/>
      <c r="I51" s="24"/>
      <c r="J51" s="24"/>
      <c r="K51" s="24"/>
      <c r="L51" s="24"/>
      <c r="M51" s="24"/>
      <c r="N51" s="24"/>
      <c r="O51" s="24"/>
      <c r="P51" s="24"/>
      <c r="Q51" s="24"/>
    </row>
    <row r="52" spans="1:25" x14ac:dyDescent="0.2">
      <c r="A52" s="24"/>
      <c r="B52" s="24"/>
      <c r="C52" s="24"/>
      <c r="D52" s="24"/>
      <c r="E52" s="24"/>
      <c r="F52" s="24"/>
      <c r="G52" s="24"/>
      <c r="H52" s="24"/>
      <c r="I52" s="24"/>
      <c r="J52" s="24"/>
      <c r="K52" s="24"/>
      <c r="L52" s="24"/>
      <c r="M52" s="24"/>
      <c r="N52" s="24"/>
      <c r="O52" s="24"/>
      <c r="P52" s="24"/>
      <c r="Q52" s="24"/>
    </row>
    <row r="53" spans="1:25" s="6" customFormat="1" x14ac:dyDescent="0.2"/>
    <row r="54" spans="1:25" x14ac:dyDescent="0.2">
      <c r="A54" s="23" t="s">
        <v>798</v>
      </c>
      <c r="B54" s="24"/>
      <c r="C54" s="24"/>
      <c r="D54" s="23" t="s">
        <v>815</v>
      </c>
      <c r="E54" s="24"/>
      <c r="F54" s="24"/>
      <c r="G54" s="23" t="s">
        <v>794</v>
      </c>
      <c r="H54" s="24"/>
      <c r="I54" s="24"/>
      <c r="J54" s="23" t="s">
        <v>764</v>
      </c>
      <c r="K54" s="23"/>
      <c r="L54" s="24"/>
      <c r="M54" s="24"/>
      <c r="N54" s="23" t="s">
        <v>1329</v>
      </c>
      <c r="O54" s="24"/>
      <c r="P54" s="24"/>
      <c r="Q54" s="24"/>
      <c r="S54" s="23" t="s">
        <v>889</v>
      </c>
      <c r="T54" s="24"/>
      <c r="U54" s="24"/>
      <c r="V54" s="23" t="s">
        <v>898</v>
      </c>
      <c r="W54" s="23"/>
      <c r="X54" s="24"/>
      <c r="Y54" s="23" t="s">
        <v>890</v>
      </c>
    </row>
    <row r="55" spans="1:25" x14ac:dyDescent="0.2">
      <c r="A55" s="24" t="s">
        <v>799</v>
      </c>
      <c r="B55" s="24"/>
      <c r="C55" s="24"/>
      <c r="D55" s="24" t="s">
        <v>1332</v>
      </c>
      <c r="E55" s="24"/>
      <c r="F55" s="24"/>
      <c r="G55" s="24" t="s">
        <v>795</v>
      </c>
      <c r="H55" s="24"/>
      <c r="I55" s="24"/>
      <c r="J55" s="24" t="s">
        <v>765</v>
      </c>
      <c r="K55" s="24"/>
      <c r="L55" s="24"/>
      <c r="M55" s="24"/>
      <c r="N55" s="24" t="s">
        <v>820</v>
      </c>
      <c r="O55" s="24"/>
      <c r="P55" s="24"/>
      <c r="Q55" s="24"/>
      <c r="S55" s="24" t="s">
        <v>336</v>
      </c>
      <c r="T55" s="24"/>
      <c r="U55" s="24"/>
      <c r="V55" s="24" t="s">
        <v>899</v>
      </c>
      <c r="W55" s="24"/>
      <c r="X55" s="24"/>
      <c r="Y55" s="24" t="s">
        <v>883</v>
      </c>
    </row>
    <row r="56" spans="1:25" x14ac:dyDescent="0.2">
      <c r="A56" s="24" t="s">
        <v>800</v>
      </c>
      <c r="B56" s="24"/>
      <c r="C56" s="24"/>
      <c r="D56" s="24" t="s">
        <v>816</v>
      </c>
      <c r="E56" s="24"/>
      <c r="F56" s="24"/>
      <c r="G56" s="24" t="s">
        <v>796</v>
      </c>
      <c r="H56" s="24"/>
      <c r="I56" s="24"/>
      <c r="J56" s="24" t="s">
        <v>866</v>
      </c>
      <c r="K56" s="24"/>
      <c r="L56" s="24"/>
      <c r="M56" s="24"/>
      <c r="N56" s="24" t="s">
        <v>1330</v>
      </c>
      <c r="O56" s="24"/>
      <c r="P56" s="24"/>
      <c r="Q56" s="24"/>
      <c r="S56" s="24" t="s">
        <v>608</v>
      </c>
      <c r="T56" s="24"/>
      <c r="U56" s="24"/>
      <c r="V56" s="24" t="s">
        <v>900</v>
      </c>
      <c r="W56" s="24"/>
      <c r="X56" s="24"/>
      <c r="Y56" s="24" t="s">
        <v>873</v>
      </c>
    </row>
    <row r="57" spans="1:25" x14ac:dyDescent="0.2">
      <c r="A57" s="24" t="s">
        <v>334</v>
      </c>
      <c r="B57" s="24"/>
      <c r="C57" s="24"/>
      <c r="D57" s="24" t="s">
        <v>1321</v>
      </c>
      <c r="E57" s="24"/>
      <c r="F57" s="24"/>
      <c r="G57" s="24"/>
      <c r="H57" s="24"/>
      <c r="I57" s="24"/>
      <c r="J57" s="24" t="s">
        <v>768</v>
      </c>
      <c r="K57" s="24"/>
      <c r="L57" s="24"/>
      <c r="M57" s="24"/>
      <c r="N57" s="24" t="s">
        <v>1331</v>
      </c>
      <c r="O57" s="24"/>
      <c r="P57" s="24"/>
      <c r="Q57" s="24"/>
      <c r="S57" s="24" t="s">
        <v>334</v>
      </c>
      <c r="T57" s="24"/>
      <c r="U57" s="24"/>
      <c r="V57" s="24" t="s">
        <v>901</v>
      </c>
      <c r="W57" s="24"/>
      <c r="X57" s="24"/>
      <c r="Y57" s="24" t="s">
        <v>872</v>
      </c>
    </row>
    <row r="58" spans="1:25" x14ac:dyDescent="0.2">
      <c r="A58" s="24" t="s">
        <v>775</v>
      </c>
      <c r="B58" s="24"/>
      <c r="C58" s="24"/>
      <c r="D58" s="24" t="s">
        <v>817</v>
      </c>
      <c r="E58" s="24"/>
      <c r="F58" s="24"/>
      <c r="G58" s="24"/>
      <c r="H58" s="24"/>
      <c r="I58" s="24"/>
      <c r="J58" s="24" t="s">
        <v>752</v>
      </c>
      <c r="K58" s="24"/>
      <c r="L58" s="24"/>
      <c r="M58" s="24"/>
      <c r="N58" s="24"/>
      <c r="O58" s="24"/>
      <c r="P58" s="24"/>
      <c r="Q58" s="24"/>
      <c r="S58" s="24" t="s">
        <v>775</v>
      </c>
      <c r="T58" s="24"/>
      <c r="U58" s="24"/>
      <c r="V58" s="24" t="s">
        <v>902</v>
      </c>
      <c r="W58" s="24"/>
      <c r="X58" s="24"/>
      <c r="Y58" s="24" t="s">
        <v>608</v>
      </c>
    </row>
    <row r="59" spans="1:25" x14ac:dyDescent="0.2">
      <c r="A59" s="24" t="s">
        <v>356</v>
      </c>
      <c r="B59" s="24"/>
      <c r="C59" s="24"/>
      <c r="D59" s="24" t="s">
        <v>818</v>
      </c>
      <c r="E59" s="24"/>
      <c r="F59" s="24"/>
      <c r="G59" s="24"/>
      <c r="H59" s="24"/>
      <c r="I59" s="24"/>
      <c r="J59" s="24"/>
      <c r="K59" s="24"/>
      <c r="L59" s="24"/>
      <c r="M59" s="24"/>
      <c r="N59" s="24"/>
      <c r="O59" s="24"/>
      <c r="P59" s="24"/>
      <c r="Q59" s="24"/>
      <c r="S59" s="24" t="s">
        <v>282</v>
      </c>
      <c r="T59" s="24"/>
      <c r="U59" s="24"/>
      <c r="V59" s="24" t="s">
        <v>903</v>
      </c>
      <c r="W59" s="24"/>
      <c r="X59" s="24"/>
      <c r="Y59" s="24" t="s">
        <v>279</v>
      </c>
    </row>
    <row r="60" spans="1:25" x14ac:dyDescent="0.2">
      <c r="A60" s="24" t="s">
        <v>801</v>
      </c>
      <c r="B60" s="24"/>
      <c r="C60" s="24"/>
      <c r="D60" s="24" t="s">
        <v>922</v>
      </c>
      <c r="E60" s="24"/>
      <c r="F60" s="24"/>
      <c r="G60" s="24"/>
      <c r="H60" s="24"/>
      <c r="I60" s="24"/>
      <c r="J60" s="24"/>
      <c r="K60" s="24"/>
      <c r="L60" s="24"/>
      <c r="M60" s="24"/>
      <c r="N60" s="24"/>
      <c r="O60" s="24"/>
      <c r="P60" s="24"/>
      <c r="Q60" s="24"/>
      <c r="S60" s="24" t="s">
        <v>802</v>
      </c>
      <c r="T60" s="24"/>
      <c r="U60" s="24"/>
      <c r="V60" s="24" t="s">
        <v>904</v>
      </c>
      <c r="W60" s="24"/>
      <c r="X60" s="24"/>
      <c r="Y60" s="24" t="s">
        <v>281</v>
      </c>
    </row>
    <row r="61" spans="1:25" x14ac:dyDescent="0.2">
      <c r="A61" s="24" t="s">
        <v>802</v>
      </c>
      <c r="B61" s="24"/>
      <c r="C61" s="24"/>
      <c r="D61" s="24" t="s">
        <v>819</v>
      </c>
      <c r="E61" s="24"/>
      <c r="F61" s="24"/>
      <c r="G61" s="24"/>
      <c r="H61" s="24"/>
      <c r="I61" s="24"/>
      <c r="J61" s="24"/>
      <c r="K61" s="24"/>
      <c r="L61" s="24"/>
      <c r="M61" s="24"/>
      <c r="N61" s="24"/>
      <c r="O61" s="24"/>
      <c r="P61" s="24"/>
      <c r="Q61" s="24"/>
      <c r="S61" s="24" t="s">
        <v>803</v>
      </c>
      <c r="T61" s="24"/>
      <c r="U61" s="24"/>
      <c r="V61" s="24" t="s">
        <v>905</v>
      </c>
      <c r="W61" s="24"/>
      <c r="X61" s="24"/>
      <c r="Y61" s="24" t="s">
        <v>282</v>
      </c>
    </row>
    <row r="62" spans="1:25" x14ac:dyDescent="0.2">
      <c r="A62" s="24" t="s">
        <v>803</v>
      </c>
      <c r="B62" s="24"/>
      <c r="C62" s="24"/>
      <c r="D62" s="24" t="s">
        <v>1322</v>
      </c>
      <c r="E62" s="24"/>
      <c r="F62" s="24"/>
      <c r="G62" s="24"/>
      <c r="H62" s="24"/>
      <c r="I62" s="24"/>
      <c r="J62" s="24"/>
      <c r="K62" s="24"/>
      <c r="L62" s="24"/>
      <c r="M62" s="24"/>
      <c r="N62" s="24"/>
      <c r="O62" s="24"/>
      <c r="P62" s="24"/>
      <c r="Q62" s="24"/>
      <c r="S62" s="24" t="s">
        <v>804</v>
      </c>
      <c r="T62" s="24"/>
      <c r="U62" s="24"/>
      <c r="V62" s="24" t="s">
        <v>906</v>
      </c>
      <c r="W62" s="24"/>
      <c r="X62" s="24"/>
      <c r="Y62" s="24" t="s">
        <v>639</v>
      </c>
    </row>
    <row r="63" spans="1:25" x14ac:dyDescent="0.2">
      <c r="A63" s="24" t="s">
        <v>804</v>
      </c>
      <c r="B63" s="24"/>
      <c r="C63" s="24"/>
      <c r="D63" s="24" t="s">
        <v>1323</v>
      </c>
      <c r="E63" s="24"/>
      <c r="F63" s="24"/>
      <c r="G63" s="24"/>
      <c r="H63" s="24"/>
      <c r="I63" s="24"/>
      <c r="J63" s="24"/>
      <c r="K63" s="24"/>
      <c r="L63" s="24"/>
      <c r="M63" s="24"/>
      <c r="N63" s="24"/>
      <c r="O63" s="24"/>
      <c r="P63" s="24"/>
      <c r="Q63" s="24"/>
      <c r="S63" s="24" t="s">
        <v>346</v>
      </c>
      <c r="T63" s="24"/>
      <c r="U63" s="24"/>
      <c r="V63" s="24" t="s">
        <v>907</v>
      </c>
      <c r="W63" s="24"/>
      <c r="X63" s="24"/>
      <c r="Y63" s="24" t="s">
        <v>877</v>
      </c>
    </row>
    <row r="64" spans="1:25" x14ac:dyDescent="0.2">
      <c r="A64" s="24" t="s">
        <v>346</v>
      </c>
      <c r="B64" s="24"/>
      <c r="C64" s="24"/>
      <c r="D64" s="24" t="s">
        <v>1328</v>
      </c>
      <c r="E64" s="24"/>
      <c r="F64" s="24"/>
      <c r="G64" s="24"/>
      <c r="H64" s="24"/>
      <c r="I64" s="24"/>
      <c r="J64" s="24"/>
      <c r="K64" s="24"/>
      <c r="L64" s="24"/>
      <c r="M64" s="24"/>
      <c r="N64" s="24"/>
      <c r="O64" s="24"/>
      <c r="P64" s="24"/>
      <c r="Q64" s="24"/>
      <c r="S64" s="24" t="s">
        <v>871</v>
      </c>
      <c r="T64" s="24"/>
      <c r="U64" s="24"/>
      <c r="V64" s="24"/>
      <c r="W64" s="24"/>
      <c r="X64" s="24"/>
      <c r="Y64" s="24" t="s">
        <v>876</v>
      </c>
    </row>
    <row r="65" spans="1:25" x14ac:dyDescent="0.2">
      <c r="A65" s="24" t="s">
        <v>805</v>
      </c>
      <c r="B65" s="24"/>
      <c r="C65" s="24"/>
      <c r="D65" s="24" t="s">
        <v>1324</v>
      </c>
      <c r="E65" s="24"/>
      <c r="F65" s="24"/>
      <c r="G65" s="24"/>
      <c r="H65" s="24"/>
      <c r="I65" s="24"/>
      <c r="J65" s="24"/>
      <c r="K65" s="24"/>
      <c r="L65" s="24"/>
      <c r="M65" s="24"/>
      <c r="N65" s="24"/>
      <c r="O65" s="24"/>
      <c r="P65" s="24"/>
      <c r="Q65" s="24"/>
      <c r="S65" s="24" t="s">
        <v>805</v>
      </c>
      <c r="T65" s="24"/>
      <c r="U65" s="24"/>
      <c r="V65" s="24"/>
      <c r="W65" s="24"/>
      <c r="X65" s="24"/>
      <c r="Y65" s="24" t="s">
        <v>887</v>
      </c>
    </row>
    <row r="66" spans="1:25" x14ac:dyDescent="0.2">
      <c r="A66" s="24" t="s">
        <v>333</v>
      </c>
      <c r="B66" s="24"/>
      <c r="C66" s="24"/>
      <c r="D66" s="24"/>
      <c r="E66" s="24"/>
      <c r="F66" s="24"/>
      <c r="G66" s="24"/>
      <c r="H66" s="24"/>
      <c r="I66" s="24"/>
      <c r="J66" s="24"/>
      <c r="K66" s="24"/>
      <c r="L66" s="24"/>
      <c r="M66" s="24"/>
      <c r="N66" s="24"/>
      <c r="O66" s="24"/>
      <c r="P66" s="24"/>
      <c r="Q66" s="24"/>
      <c r="S66" s="24" t="s">
        <v>333</v>
      </c>
      <c r="T66" s="24"/>
      <c r="U66" s="24"/>
      <c r="V66" s="24"/>
      <c r="W66" s="24"/>
      <c r="X66" s="24"/>
      <c r="Y66" s="24" t="s">
        <v>288</v>
      </c>
    </row>
    <row r="67" spans="1:25" x14ac:dyDescent="0.2">
      <c r="A67" s="24" t="s">
        <v>331</v>
      </c>
      <c r="B67" s="24"/>
      <c r="C67" s="24"/>
      <c r="D67" s="24"/>
      <c r="E67" s="24"/>
      <c r="F67" s="24"/>
      <c r="G67" s="24"/>
      <c r="H67" s="24"/>
      <c r="I67" s="24"/>
      <c r="J67" s="24"/>
      <c r="K67" s="24"/>
      <c r="L67" s="24"/>
      <c r="M67" s="24"/>
      <c r="N67" s="24"/>
      <c r="O67" s="24"/>
      <c r="P67" s="24"/>
      <c r="Q67" s="24"/>
      <c r="S67" s="24" t="s">
        <v>331</v>
      </c>
      <c r="T67" s="24"/>
      <c r="U67" s="24"/>
      <c r="V67" s="24"/>
      <c r="W67" s="24"/>
      <c r="X67" s="24"/>
      <c r="Y67" s="24" t="s">
        <v>283</v>
      </c>
    </row>
    <row r="68" spans="1:25" x14ac:dyDescent="0.2">
      <c r="A68" s="24" t="s">
        <v>343</v>
      </c>
      <c r="B68" s="24"/>
      <c r="C68" s="24"/>
      <c r="D68" s="24"/>
      <c r="E68" s="24"/>
      <c r="F68" s="24"/>
      <c r="G68" s="24"/>
      <c r="H68" s="24"/>
      <c r="I68" s="24"/>
      <c r="J68" s="24"/>
      <c r="K68" s="24"/>
      <c r="L68" s="24"/>
      <c r="M68" s="24"/>
      <c r="N68" s="24"/>
      <c r="O68" s="24"/>
      <c r="P68" s="24"/>
      <c r="Q68" s="24"/>
      <c r="S68" s="24" t="s">
        <v>343</v>
      </c>
      <c r="T68" s="24"/>
      <c r="U68" s="24"/>
      <c r="V68" s="24"/>
      <c r="W68" s="24"/>
      <c r="X68" s="24"/>
      <c r="Y68" s="24" t="s">
        <v>290</v>
      </c>
    </row>
    <row r="69" spans="1:25" x14ac:dyDescent="0.2">
      <c r="A69" s="24" t="s">
        <v>806</v>
      </c>
      <c r="B69" s="24"/>
      <c r="C69" s="24"/>
      <c r="D69" s="24"/>
      <c r="E69" s="24"/>
      <c r="F69" s="24"/>
      <c r="G69" s="24"/>
      <c r="H69" s="24"/>
      <c r="I69" s="24"/>
      <c r="J69" s="24"/>
      <c r="K69" s="24"/>
      <c r="L69" s="24"/>
      <c r="M69" s="24"/>
      <c r="N69" s="24"/>
      <c r="O69" s="24"/>
      <c r="P69" s="24"/>
      <c r="Q69" s="24"/>
      <c r="S69" s="24" t="s">
        <v>290</v>
      </c>
      <c r="T69" s="24"/>
      <c r="U69" s="24"/>
      <c r="V69" s="24"/>
      <c r="W69" s="24"/>
      <c r="X69" s="24"/>
      <c r="Y69" s="24" t="s">
        <v>611</v>
      </c>
    </row>
    <row r="70" spans="1:25" x14ac:dyDescent="0.2">
      <c r="A70" s="24" t="s">
        <v>807</v>
      </c>
      <c r="B70" s="24"/>
      <c r="C70" s="24"/>
      <c r="D70" s="24"/>
      <c r="E70" s="24"/>
      <c r="F70" s="24"/>
      <c r="G70" s="24"/>
      <c r="H70" s="24"/>
      <c r="I70" s="24"/>
      <c r="J70" s="24"/>
      <c r="K70" s="24"/>
      <c r="L70" s="24"/>
      <c r="M70" s="24"/>
      <c r="N70" s="24"/>
      <c r="O70" s="24"/>
      <c r="P70" s="24"/>
      <c r="Q70" s="24"/>
      <c r="S70" s="24" t="s">
        <v>807</v>
      </c>
      <c r="T70" s="24"/>
      <c r="U70" s="24"/>
      <c r="V70" s="24"/>
      <c r="W70" s="24"/>
      <c r="X70" s="24"/>
      <c r="Y70" s="24" t="s">
        <v>638</v>
      </c>
    </row>
    <row r="71" spans="1:25" x14ac:dyDescent="0.2">
      <c r="A71" s="24" t="s">
        <v>351</v>
      </c>
      <c r="B71" s="24"/>
      <c r="C71" s="24"/>
      <c r="D71" s="24"/>
      <c r="E71" s="24"/>
      <c r="F71" s="24"/>
      <c r="G71" s="24"/>
      <c r="H71" s="24"/>
      <c r="I71" s="24"/>
      <c r="J71" s="24"/>
      <c r="K71" s="24"/>
      <c r="L71" s="24"/>
      <c r="M71" s="24"/>
      <c r="N71" s="24"/>
      <c r="O71" s="24"/>
      <c r="P71" s="24"/>
      <c r="Q71" s="24"/>
      <c r="S71" s="24" t="s">
        <v>351</v>
      </c>
      <c r="T71" s="24"/>
      <c r="U71" s="24"/>
      <c r="V71" s="24"/>
      <c r="W71" s="24"/>
      <c r="X71" s="24"/>
      <c r="Y71" s="24" t="s">
        <v>292</v>
      </c>
    </row>
    <row r="72" spans="1:25" x14ac:dyDescent="0.2">
      <c r="A72" s="24" t="s">
        <v>642</v>
      </c>
      <c r="B72" s="24"/>
      <c r="C72" s="24"/>
      <c r="D72" s="24"/>
      <c r="E72" s="24"/>
      <c r="F72" s="24"/>
      <c r="G72" s="24"/>
      <c r="H72" s="24"/>
      <c r="I72" s="24"/>
      <c r="J72" s="24"/>
      <c r="K72" s="24"/>
      <c r="L72" s="24"/>
      <c r="M72" s="24"/>
      <c r="N72" s="24"/>
      <c r="O72" s="24"/>
      <c r="P72" s="24"/>
      <c r="Q72" s="24"/>
      <c r="S72" s="24" t="s">
        <v>642</v>
      </c>
      <c r="T72" s="24"/>
      <c r="U72" s="24"/>
      <c r="V72" s="24"/>
      <c r="W72" s="24"/>
      <c r="X72" s="24"/>
      <c r="Y72" s="24" t="s">
        <v>293</v>
      </c>
    </row>
    <row r="73" spans="1:25" x14ac:dyDescent="0.2">
      <c r="A73" s="24" t="s">
        <v>342</v>
      </c>
      <c r="B73" s="24"/>
      <c r="C73" s="24"/>
      <c r="D73" s="24"/>
      <c r="E73" s="24"/>
      <c r="F73" s="24"/>
      <c r="G73" s="24"/>
      <c r="H73" s="24"/>
      <c r="I73" s="24"/>
      <c r="J73" s="24"/>
      <c r="K73" s="24"/>
      <c r="L73" s="24"/>
      <c r="M73" s="24"/>
      <c r="N73" s="24"/>
      <c r="O73" s="24"/>
      <c r="P73" s="24"/>
      <c r="Q73" s="24"/>
      <c r="S73" s="24" t="s">
        <v>342</v>
      </c>
      <c r="T73" s="24"/>
      <c r="U73" s="24"/>
      <c r="V73" s="24"/>
      <c r="W73" s="24"/>
      <c r="X73" s="24"/>
      <c r="Y73" s="24" t="s">
        <v>880</v>
      </c>
    </row>
    <row r="74" spans="1:25" x14ac:dyDescent="0.2">
      <c r="A74" s="24" t="s">
        <v>339</v>
      </c>
      <c r="B74" s="24"/>
      <c r="C74" s="24"/>
      <c r="D74" s="24"/>
      <c r="E74" s="24"/>
      <c r="F74" s="24"/>
      <c r="G74" s="24"/>
      <c r="H74" s="24"/>
      <c r="I74" s="24"/>
      <c r="J74" s="24"/>
      <c r="K74" s="24"/>
      <c r="L74" s="24"/>
      <c r="M74" s="24"/>
      <c r="N74" s="24"/>
      <c r="O74" s="24"/>
      <c r="P74" s="24"/>
      <c r="Q74" s="24"/>
      <c r="S74" s="24" t="s">
        <v>339</v>
      </c>
      <c r="T74" s="24"/>
      <c r="U74" s="24"/>
      <c r="V74" s="24"/>
      <c r="W74" s="24"/>
      <c r="X74" s="24"/>
      <c r="Y74" s="24" t="s">
        <v>882</v>
      </c>
    </row>
    <row r="75" spans="1:25" x14ac:dyDescent="0.2">
      <c r="A75" s="24" t="s">
        <v>565</v>
      </c>
      <c r="B75" s="24"/>
      <c r="C75" s="24"/>
      <c r="D75" s="24"/>
      <c r="E75" s="24"/>
      <c r="F75" s="24"/>
      <c r="G75" s="24"/>
      <c r="H75" s="24"/>
      <c r="I75" s="24"/>
      <c r="J75" s="24"/>
      <c r="K75" s="24"/>
      <c r="L75" s="24"/>
      <c r="M75" s="24"/>
      <c r="N75" s="24"/>
      <c r="O75" s="24"/>
      <c r="P75" s="24"/>
      <c r="Q75" s="24"/>
      <c r="S75" s="24" t="s">
        <v>565</v>
      </c>
      <c r="T75" s="24"/>
      <c r="U75" s="24"/>
      <c r="V75" s="24"/>
      <c r="W75" s="24"/>
      <c r="X75" s="24"/>
      <c r="Y75" s="24" t="s">
        <v>881</v>
      </c>
    </row>
    <row r="76" spans="1:25" x14ac:dyDescent="0.2">
      <c r="A76" s="24" t="s">
        <v>808</v>
      </c>
      <c r="B76" s="24"/>
      <c r="C76" s="24"/>
      <c r="D76" s="24"/>
      <c r="E76" s="24"/>
      <c r="F76" s="24"/>
      <c r="G76" s="24"/>
      <c r="H76" s="24"/>
      <c r="I76" s="24"/>
      <c r="J76" s="24"/>
      <c r="K76" s="24"/>
      <c r="L76" s="24"/>
      <c r="M76" s="24"/>
      <c r="N76" s="24"/>
      <c r="O76" s="24"/>
      <c r="P76" s="24"/>
      <c r="Q76" s="24"/>
      <c r="S76" s="24" t="s">
        <v>808</v>
      </c>
      <c r="T76" s="24"/>
      <c r="U76" s="24"/>
      <c r="V76" s="24"/>
      <c r="W76" s="24"/>
      <c r="X76" s="24"/>
      <c r="Y76" s="24" t="s">
        <v>879</v>
      </c>
    </row>
    <row r="77" spans="1:25" x14ac:dyDescent="0.2">
      <c r="A77" s="24" t="s">
        <v>625</v>
      </c>
      <c r="B77" s="24"/>
      <c r="C77" s="24"/>
      <c r="D77" s="24"/>
      <c r="E77" s="24"/>
      <c r="F77" s="24"/>
      <c r="G77" s="24"/>
      <c r="H77" s="24"/>
      <c r="I77" s="24"/>
      <c r="J77" s="24"/>
      <c r="K77" s="24"/>
      <c r="L77" s="24"/>
      <c r="M77" s="24"/>
      <c r="N77" s="24"/>
      <c r="O77" s="24"/>
      <c r="P77" s="24"/>
      <c r="Q77" s="24"/>
      <c r="S77" s="24" t="s">
        <v>625</v>
      </c>
      <c r="T77" s="24"/>
      <c r="U77" s="24"/>
      <c r="V77" s="24"/>
      <c r="W77" s="24"/>
      <c r="X77" s="24"/>
      <c r="Y77" s="24" t="s">
        <v>874</v>
      </c>
    </row>
    <row r="78" spans="1:25" x14ac:dyDescent="0.2">
      <c r="A78" s="24" t="s">
        <v>335</v>
      </c>
      <c r="B78" s="24"/>
      <c r="C78" s="24"/>
      <c r="D78" s="24"/>
      <c r="E78" s="24"/>
      <c r="F78" s="24"/>
      <c r="G78" s="24"/>
      <c r="H78" s="24"/>
      <c r="I78" s="24"/>
      <c r="J78" s="24"/>
      <c r="K78" s="24"/>
      <c r="L78" s="24"/>
      <c r="M78" s="24"/>
      <c r="N78" s="24"/>
      <c r="O78" s="24"/>
      <c r="P78" s="24"/>
      <c r="Q78" s="24"/>
      <c r="S78" s="24" t="s">
        <v>782</v>
      </c>
      <c r="T78" s="24"/>
      <c r="U78" s="24"/>
      <c r="V78" s="24"/>
      <c r="W78" s="24"/>
      <c r="X78" s="24"/>
      <c r="Y78" s="24" t="s">
        <v>874</v>
      </c>
    </row>
    <row r="79" spans="1:25" x14ac:dyDescent="0.2">
      <c r="A79" s="24" t="s">
        <v>782</v>
      </c>
      <c r="B79" s="24"/>
      <c r="C79" s="24"/>
      <c r="D79" s="24"/>
      <c r="E79" s="24"/>
      <c r="F79" s="24"/>
      <c r="G79" s="24"/>
      <c r="H79" s="24"/>
      <c r="I79" s="24"/>
      <c r="J79" s="24"/>
      <c r="K79" s="24"/>
      <c r="L79" s="24"/>
      <c r="M79" s="24"/>
      <c r="N79" s="24"/>
      <c r="O79" s="24"/>
      <c r="P79" s="24"/>
      <c r="Q79" s="24"/>
      <c r="S79" s="24" t="s">
        <v>332</v>
      </c>
      <c r="T79" s="24"/>
      <c r="U79" s="24"/>
      <c r="V79" s="24"/>
      <c r="W79" s="24"/>
      <c r="X79" s="24"/>
      <c r="Y79" s="24" t="s">
        <v>884</v>
      </c>
    </row>
    <row r="80" spans="1:25" x14ac:dyDescent="0.2">
      <c r="A80" s="24" t="s">
        <v>332</v>
      </c>
      <c r="B80" s="24"/>
      <c r="C80" s="24"/>
      <c r="D80" s="24"/>
      <c r="E80" s="24"/>
      <c r="F80" s="24"/>
      <c r="G80" s="24"/>
      <c r="H80" s="24"/>
      <c r="I80" s="24"/>
      <c r="J80" s="24"/>
      <c r="K80" s="24"/>
      <c r="L80" s="24"/>
      <c r="M80" s="24"/>
      <c r="N80" s="24"/>
      <c r="O80" s="24"/>
      <c r="P80" s="24"/>
      <c r="Q80" s="24"/>
      <c r="S80" s="24" t="s">
        <v>867</v>
      </c>
      <c r="T80" s="24"/>
      <c r="U80" s="24"/>
      <c r="V80" s="24"/>
      <c r="W80" s="24"/>
      <c r="X80" s="24"/>
      <c r="Y80" s="24" t="s">
        <v>787</v>
      </c>
    </row>
    <row r="81" spans="1:25" x14ac:dyDescent="0.2">
      <c r="A81" s="24" t="s">
        <v>785</v>
      </c>
      <c r="B81" s="24"/>
      <c r="C81" s="24"/>
      <c r="D81" s="24"/>
      <c r="E81" s="24"/>
      <c r="F81" s="24"/>
      <c r="G81" s="24"/>
      <c r="H81" s="24"/>
      <c r="I81" s="24"/>
      <c r="J81" s="24"/>
      <c r="K81" s="24"/>
      <c r="L81" s="24"/>
      <c r="M81" s="24"/>
      <c r="N81" s="24"/>
      <c r="O81" s="24"/>
      <c r="P81" s="24"/>
      <c r="Q81" s="24"/>
      <c r="S81" s="24" t="s">
        <v>785</v>
      </c>
      <c r="T81" s="24"/>
      <c r="U81" s="24"/>
      <c r="V81" s="24"/>
      <c r="W81" s="24"/>
      <c r="X81" s="24"/>
      <c r="Y81" s="24" t="s">
        <v>886</v>
      </c>
    </row>
    <row r="82" spans="1:25" x14ac:dyDescent="0.2">
      <c r="A82" s="24" t="s">
        <v>809</v>
      </c>
      <c r="B82" s="24"/>
      <c r="C82" s="24"/>
      <c r="D82" s="24"/>
      <c r="E82" s="24"/>
      <c r="F82" s="24"/>
      <c r="G82" s="24"/>
      <c r="H82" s="24"/>
      <c r="I82" s="24"/>
      <c r="J82" s="24"/>
      <c r="K82" s="24"/>
      <c r="L82" s="24"/>
      <c r="M82" s="24"/>
      <c r="N82" s="24"/>
      <c r="O82" s="24"/>
      <c r="P82" s="24"/>
      <c r="Q82" s="24"/>
      <c r="S82" s="24" t="s">
        <v>869</v>
      </c>
      <c r="T82" s="24"/>
      <c r="U82" s="24"/>
      <c r="V82" s="24"/>
      <c r="W82" s="24"/>
      <c r="X82" s="24"/>
      <c r="Y82" s="24" t="s">
        <v>885</v>
      </c>
    </row>
    <row r="83" spans="1:25" x14ac:dyDescent="0.2">
      <c r="A83" s="24" t="s">
        <v>810</v>
      </c>
      <c r="B83" s="24"/>
      <c r="C83" s="24"/>
      <c r="D83" s="24"/>
      <c r="E83" s="24"/>
      <c r="F83" s="24"/>
      <c r="G83" s="24"/>
      <c r="H83" s="24"/>
      <c r="I83" s="24"/>
      <c r="J83" s="24"/>
      <c r="K83" s="24"/>
      <c r="L83" s="24"/>
      <c r="M83" s="24"/>
      <c r="N83" s="24"/>
      <c r="O83" s="24"/>
      <c r="P83" s="24"/>
      <c r="Q83" s="24"/>
      <c r="S83" s="24" t="s">
        <v>810</v>
      </c>
      <c r="T83" s="24"/>
      <c r="U83" s="24"/>
      <c r="V83" s="24"/>
      <c r="W83" s="24"/>
      <c r="X83" s="24"/>
      <c r="Y83" s="24" t="s">
        <v>885</v>
      </c>
    </row>
    <row r="84" spans="1:25" x14ac:dyDescent="0.2">
      <c r="A84" s="24" t="s">
        <v>811</v>
      </c>
      <c r="B84" s="24"/>
      <c r="C84" s="24"/>
      <c r="D84" s="24"/>
      <c r="E84" s="24"/>
      <c r="F84" s="24"/>
      <c r="G84" s="24"/>
      <c r="H84" s="24"/>
      <c r="I84" s="24"/>
      <c r="J84" s="24"/>
      <c r="K84" s="24"/>
      <c r="L84" s="24"/>
      <c r="M84" s="24"/>
      <c r="N84" s="24"/>
      <c r="O84" s="24"/>
      <c r="P84" s="24"/>
      <c r="Q84" s="24"/>
      <c r="S84" s="24" t="s">
        <v>868</v>
      </c>
      <c r="T84" s="24"/>
      <c r="U84" s="24"/>
      <c r="V84" s="24"/>
      <c r="W84" s="24"/>
      <c r="X84" s="24"/>
      <c r="Y84" s="24" t="s">
        <v>875</v>
      </c>
    </row>
    <row r="85" spans="1:25" x14ac:dyDescent="0.2">
      <c r="A85" s="24" t="s">
        <v>812</v>
      </c>
      <c r="B85" s="24"/>
      <c r="C85" s="24"/>
      <c r="D85" s="24"/>
      <c r="E85" s="24"/>
      <c r="F85" s="24"/>
      <c r="G85" s="24"/>
      <c r="H85" s="24"/>
      <c r="I85" s="24"/>
      <c r="J85" s="24"/>
      <c r="K85" s="24"/>
      <c r="L85" s="24"/>
      <c r="M85" s="24"/>
      <c r="N85" s="24"/>
      <c r="O85" s="24"/>
      <c r="P85" s="24"/>
      <c r="Q85" s="24"/>
      <c r="S85" s="24" t="s">
        <v>870</v>
      </c>
      <c r="T85" s="24"/>
      <c r="U85" s="24"/>
      <c r="V85" s="24"/>
      <c r="W85" s="24"/>
      <c r="X85" s="24"/>
      <c r="Y85" s="24" t="s">
        <v>888</v>
      </c>
    </row>
    <row r="86" spans="1:25" x14ac:dyDescent="0.2">
      <c r="A86" s="24" t="s">
        <v>345</v>
      </c>
      <c r="B86" s="24"/>
      <c r="C86" s="24"/>
      <c r="D86" s="24"/>
      <c r="E86" s="24"/>
      <c r="F86" s="24"/>
      <c r="G86" s="24"/>
      <c r="H86" s="24"/>
      <c r="I86" s="24"/>
      <c r="J86" s="24"/>
      <c r="K86" s="24"/>
      <c r="L86" s="24"/>
      <c r="M86" s="24"/>
      <c r="N86" s="24"/>
      <c r="O86" s="24"/>
      <c r="P86" s="24"/>
      <c r="Q86" s="24"/>
      <c r="S86" s="24" t="s">
        <v>604</v>
      </c>
      <c r="T86" s="24"/>
      <c r="U86" s="24"/>
      <c r="V86" s="24"/>
      <c r="W86" s="24"/>
      <c r="X86" s="24"/>
      <c r="Y86" s="24" t="s">
        <v>601</v>
      </c>
    </row>
    <row r="87" spans="1:25" x14ac:dyDescent="0.2">
      <c r="A87" s="24" t="s">
        <v>604</v>
      </c>
      <c r="B87" s="24"/>
      <c r="C87" s="24"/>
      <c r="D87" s="24"/>
      <c r="E87" s="24"/>
      <c r="F87" s="24"/>
      <c r="G87" s="24"/>
      <c r="H87" s="24"/>
      <c r="I87" s="24"/>
      <c r="J87" s="24"/>
      <c r="K87" s="24"/>
      <c r="L87" s="24"/>
      <c r="M87" s="24"/>
      <c r="N87" s="24"/>
      <c r="O87" s="24"/>
      <c r="P87" s="24"/>
      <c r="Q87" s="24"/>
      <c r="S87" s="24" t="s">
        <v>813</v>
      </c>
      <c r="T87" s="24"/>
      <c r="U87" s="24"/>
      <c r="V87" s="24"/>
      <c r="W87" s="24"/>
      <c r="X87" s="24"/>
      <c r="Y87" s="24" t="s">
        <v>878</v>
      </c>
    </row>
    <row r="88" spans="1:25" x14ac:dyDescent="0.2">
      <c r="A88" s="24" t="s">
        <v>813</v>
      </c>
      <c r="B88" s="24"/>
      <c r="C88" s="24"/>
      <c r="D88" s="24"/>
      <c r="E88" s="24"/>
      <c r="F88" s="24"/>
      <c r="G88" s="24"/>
      <c r="H88" s="24"/>
      <c r="I88" s="24"/>
      <c r="J88" s="24"/>
      <c r="K88" s="24"/>
      <c r="L88" s="24"/>
      <c r="M88" s="24"/>
      <c r="N88" s="24"/>
      <c r="O88" s="24"/>
      <c r="P88" s="24"/>
      <c r="Q88" s="24"/>
      <c r="S88" s="24" t="s">
        <v>360</v>
      </c>
      <c r="T88" s="24"/>
      <c r="U88" s="24"/>
      <c r="V88" s="24"/>
      <c r="W88" s="24"/>
      <c r="X88" s="24"/>
      <c r="Y88" s="24" t="s">
        <v>337</v>
      </c>
    </row>
    <row r="89" spans="1:25" x14ac:dyDescent="0.2">
      <c r="A89" s="24" t="s">
        <v>360</v>
      </c>
      <c r="B89" s="24"/>
      <c r="C89" s="24"/>
      <c r="D89" s="24"/>
      <c r="E89" s="24"/>
      <c r="F89" s="24"/>
      <c r="G89" s="24"/>
      <c r="H89" s="24"/>
      <c r="I89" s="24"/>
      <c r="J89" s="24"/>
      <c r="K89" s="24"/>
      <c r="L89" s="24"/>
      <c r="M89" s="24"/>
      <c r="N89" s="24"/>
      <c r="O89" s="24"/>
      <c r="P89" s="24"/>
      <c r="Q89" s="24"/>
      <c r="S89" s="24" t="s">
        <v>814</v>
      </c>
      <c r="T89" s="24"/>
      <c r="U89" s="24"/>
      <c r="V89" s="24"/>
      <c r="W89" s="24"/>
      <c r="X89" s="24"/>
      <c r="Y89" s="24"/>
    </row>
    <row r="90" spans="1:25" x14ac:dyDescent="0.2">
      <c r="A90" s="24" t="s">
        <v>363</v>
      </c>
      <c r="B90" s="24"/>
      <c r="C90" s="24"/>
      <c r="D90" s="24"/>
      <c r="E90" s="24"/>
      <c r="F90" s="24"/>
      <c r="G90" s="24"/>
      <c r="H90" s="24"/>
      <c r="I90" s="24"/>
      <c r="J90" s="24"/>
      <c r="K90" s="24"/>
      <c r="L90" s="24"/>
      <c r="M90" s="24"/>
      <c r="N90" s="24"/>
      <c r="O90" s="24"/>
      <c r="P90" s="24"/>
      <c r="Q90" s="24"/>
    </row>
    <row r="91" spans="1:25" x14ac:dyDescent="0.2">
      <c r="A91" s="24" t="s">
        <v>354</v>
      </c>
      <c r="B91" s="24"/>
      <c r="C91" s="24"/>
      <c r="D91" s="24"/>
      <c r="E91" s="24"/>
      <c r="F91" s="24"/>
      <c r="G91" s="24"/>
      <c r="H91" s="24"/>
      <c r="I91" s="24"/>
      <c r="J91" s="24"/>
      <c r="K91" s="24"/>
      <c r="L91" s="24"/>
      <c r="M91" s="24"/>
      <c r="N91" s="24"/>
      <c r="O91" s="24"/>
      <c r="P91" s="24"/>
      <c r="Q91" s="24"/>
    </row>
    <row r="92" spans="1:25" x14ac:dyDescent="0.2">
      <c r="A92" s="24" t="s">
        <v>606</v>
      </c>
      <c r="B92" s="24"/>
      <c r="C92" s="24"/>
      <c r="D92" s="24"/>
      <c r="E92" s="24"/>
      <c r="F92" s="24"/>
      <c r="G92" s="24"/>
      <c r="H92" s="24"/>
      <c r="I92" s="24"/>
      <c r="J92" s="24"/>
      <c r="K92" s="24"/>
      <c r="L92" s="24"/>
      <c r="M92" s="24"/>
      <c r="N92" s="24"/>
      <c r="O92" s="24"/>
      <c r="P92" s="24"/>
      <c r="Q92" s="24"/>
    </row>
    <row r="93" spans="1:25" x14ac:dyDescent="0.2">
      <c r="A93" s="24" t="s">
        <v>814</v>
      </c>
      <c r="B93" s="24"/>
      <c r="C93" s="24"/>
      <c r="D93" s="24"/>
      <c r="E93" s="24"/>
      <c r="F93" s="24"/>
      <c r="G93" s="24"/>
      <c r="H93" s="24"/>
      <c r="I93" s="24"/>
      <c r="J93" s="24"/>
      <c r="K93" s="24"/>
      <c r="L93" s="24"/>
      <c r="M93" s="24"/>
      <c r="N93" s="24"/>
      <c r="O93" s="24"/>
      <c r="P93" s="24"/>
      <c r="Q93" s="24"/>
    </row>
    <row r="94" spans="1:25" x14ac:dyDescent="0.2">
      <c r="A94" s="24" t="s">
        <v>619</v>
      </c>
      <c r="B94" s="24"/>
      <c r="C94" s="24"/>
      <c r="D94" s="24"/>
      <c r="E94" s="24"/>
      <c r="F94" s="24"/>
      <c r="G94" s="24"/>
      <c r="H94" s="24"/>
      <c r="I94" s="24"/>
      <c r="J94" s="24"/>
      <c r="K94" s="24"/>
      <c r="L94" s="24"/>
      <c r="M94" s="24"/>
      <c r="N94" s="24"/>
      <c r="O94" s="24"/>
      <c r="P94" s="24"/>
      <c r="Q94" s="24"/>
    </row>
  </sheetData>
  <mergeCells count="2">
    <mergeCell ref="A1:Q1"/>
    <mergeCell ref="A15:Q15"/>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2889E"/>
  </sheetPr>
  <dimension ref="A1:B215"/>
  <sheetViews>
    <sheetView workbookViewId="0">
      <selection activeCell="S29" sqref="S29"/>
    </sheetView>
  </sheetViews>
  <sheetFormatPr baseColWidth="10" defaultColWidth="8.83203125" defaultRowHeight="15" x14ac:dyDescent="0.2"/>
  <cols>
    <col min="1" max="1" width="15.83203125" customWidth="1"/>
    <col min="2" max="2" width="25.83203125" customWidth="1"/>
  </cols>
  <sheetData>
    <row r="1" spans="1:2" x14ac:dyDescent="0.2">
      <c r="A1" s="22" t="s">
        <v>948</v>
      </c>
      <c r="B1" s="22" t="s">
        <v>0</v>
      </c>
    </row>
    <row r="2" spans="1:2" x14ac:dyDescent="0.2">
      <c r="A2" t="s">
        <v>1092</v>
      </c>
      <c r="B2" t="s">
        <v>1093</v>
      </c>
    </row>
    <row r="3" spans="1:2" x14ac:dyDescent="0.2">
      <c r="A3" t="s">
        <v>1032</v>
      </c>
      <c r="B3" t="s">
        <v>1033</v>
      </c>
    </row>
    <row r="4" spans="1:2" x14ac:dyDescent="0.2">
      <c r="A4" t="s">
        <v>1134</v>
      </c>
      <c r="B4" t="s">
        <v>1135</v>
      </c>
    </row>
    <row r="5" spans="1:2" x14ac:dyDescent="0.2">
      <c r="A5" t="s">
        <v>989</v>
      </c>
      <c r="B5" t="s">
        <v>990</v>
      </c>
    </row>
    <row r="6" spans="1:2" x14ac:dyDescent="0.2">
      <c r="A6" t="s">
        <v>344</v>
      </c>
      <c r="B6" t="s">
        <v>1236</v>
      </c>
    </row>
    <row r="7" spans="1:2" x14ac:dyDescent="0.2">
      <c r="A7" t="s">
        <v>364</v>
      </c>
      <c r="B7" t="s">
        <v>274</v>
      </c>
    </row>
    <row r="8" spans="1:2" x14ac:dyDescent="0.2">
      <c r="A8" t="s">
        <v>1004</v>
      </c>
      <c r="B8" t="s">
        <v>1005</v>
      </c>
    </row>
    <row r="9" spans="1:2" x14ac:dyDescent="0.2">
      <c r="A9" t="s">
        <v>950</v>
      </c>
      <c r="B9" t="s">
        <v>951</v>
      </c>
    </row>
    <row r="10" spans="1:2" x14ac:dyDescent="0.2">
      <c r="A10" t="s">
        <v>1090</v>
      </c>
      <c r="B10" t="s">
        <v>1091</v>
      </c>
    </row>
    <row r="11" spans="1:2" x14ac:dyDescent="0.2">
      <c r="A11" t="s">
        <v>336</v>
      </c>
      <c r="B11" t="s">
        <v>276</v>
      </c>
    </row>
    <row r="12" spans="1:2" x14ac:dyDescent="0.2">
      <c r="A12" t="s">
        <v>341</v>
      </c>
      <c r="B12" t="s">
        <v>275</v>
      </c>
    </row>
    <row r="13" spans="1:2" x14ac:dyDescent="0.2">
      <c r="A13" t="s">
        <v>647</v>
      </c>
      <c r="B13" t="s">
        <v>648</v>
      </c>
    </row>
    <row r="14" spans="1:2" x14ac:dyDescent="0.2">
      <c r="A14" t="s">
        <v>1182</v>
      </c>
      <c r="B14" t="s">
        <v>1183</v>
      </c>
    </row>
    <row r="15" spans="1:2" x14ac:dyDescent="0.2">
      <c r="A15" t="s">
        <v>349</v>
      </c>
      <c r="B15" t="s">
        <v>277</v>
      </c>
    </row>
    <row r="16" spans="1:2" x14ac:dyDescent="0.2">
      <c r="A16" t="s">
        <v>1136</v>
      </c>
      <c r="B16" t="s">
        <v>1137</v>
      </c>
    </row>
    <row r="17" spans="1:2" x14ac:dyDescent="0.2">
      <c r="A17" t="s">
        <v>1180</v>
      </c>
      <c r="B17" t="s">
        <v>1181</v>
      </c>
    </row>
    <row r="18" spans="1:2" x14ac:dyDescent="0.2">
      <c r="A18" t="s">
        <v>1022</v>
      </c>
      <c r="B18" t="s">
        <v>1023</v>
      </c>
    </row>
    <row r="19" spans="1:2" x14ac:dyDescent="0.2">
      <c r="A19" t="s">
        <v>623</v>
      </c>
      <c r="B19" t="s">
        <v>614</v>
      </c>
    </row>
    <row r="20" spans="1:2" x14ac:dyDescent="0.2">
      <c r="A20" t="s">
        <v>1228</v>
      </c>
      <c r="B20" t="s">
        <v>1229</v>
      </c>
    </row>
    <row r="21" spans="1:2" x14ac:dyDescent="0.2">
      <c r="A21" t="s">
        <v>1094</v>
      </c>
      <c r="B21" t="s">
        <v>1095</v>
      </c>
    </row>
    <row r="22" spans="1:2" x14ac:dyDescent="0.2">
      <c r="A22" t="s">
        <v>628</v>
      </c>
      <c r="B22" t="s">
        <v>627</v>
      </c>
    </row>
    <row r="23" spans="1:2" x14ac:dyDescent="0.2">
      <c r="A23" t="s">
        <v>629</v>
      </c>
      <c r="B23" t="s">
        <v>616</v>
      </c>
    </row>
    <row r="24" spans="1:2" x14ac:dyDescent="0.2">
      <c r="A24" t="s">
        <v>1098</v>
      </c>
      <c r="B24" t="s">
        <v>1099</v>
      </c>
    </row>
    <row r="25" spans="1:2" x14ac:dyDescent="0.2">
      <c r="A25" t="s">
        <v>1100</v>
      </c>
      <c r="B25" t="s">
        <v>1101</v>
      </c>
    </row>
    <row r="26" spans="1:2" x14ac:dyDescent="0.2">
      <c r="A26" t="s">
        <v>353</v>
      </c>
      <c r="B26" t="s">
        <v>278</v>
      </c>
    </row>
    <row r="27" spans="1:2" x14ac:dyDescent="0.2">
      <c r="A27" t="s">
        <v>610</v>
      </c>
      <c r="B27" t="s">
        <v>608</v>
      </c>
    </row>
    <row r="28" spans="1:2" x14ac:dyDescent="0.2">
      <c r="A28" t="s">
        <v>1096</v>
      </c>
      <c r="B28" t="s">
        <v>1097</v>
      </c>
    </row>
    <row r="29" spans="1:2" x14ac:dyDescent="0.2">
      <c r="A29" t="s">
        <v>1016</v>
      </c>
      <c r="B29" t="s">
        <v>1017</v>
      </c>
    </row>
    <row r="30" spans="1:2" x14ac:dyDescent="0.2">
      <c r="A30" t="s">
        <v>1034</v>
      </c>
      <c r="B30" t="s">
        <v>1035</v>
      </c>
    </row>
    <row r="31" spans="1:2" x14ac:dyDescent="0.2">
      <c r="A31" t="s">
        <v>1138</v>
      </c>
      <c r="B31" t="s">
        <v>1139</v>
      </c>
    </row>
    <row r="32" spans="1:2" x14ac:dyDescent="0.2">
      <c r="A32" t="s">
        <v>1186</v>
      </c>
      <c r="B32" t="s">
        <v>1187</v>
      </c>
    </row>
    <row r="33" spans="1:2" x14ac:dyDescent="0.2">
      <c r="A33" t="s">
        <v>334</v>
      </c>
      <c r="B33" t="s">
        <v>279</v>
      </c>
    </row>
    <row r="34" spans="1:2" x14ac:dyDescent="0.2">
      <c r="A34" t="s">
        <v>356</v>
      </c>
      <c r="B34" t="s">
        <v>280</v>
      </c>
    </row>
    <row r="35" spans="1:2" x14ac:dyDescent="0.2">
      <c r="A35" t="s">
        <v>361</v>
      </c>
      <c r="B35" t="s">
        <v>281</v>
      </c>
    </row>
    <row r="36" spans="1:2" x14ac:dyDescent="0.2">
      <c r="A36" t="s">
        <v>338</v>
      </c>
      <c r="B36" t="s">
        <v>1014</v>
      </c>
    </row>
    <row r="37" spans="1:2" x14ac:dyDescent="0.2">
      <c r="A37" t="s">
        <v>1144</v>
      </c>
      <c r="B37" t="s">
        <v>1145</v>
      </c>
    </row>
    <row r="38" spans="1:2" x14ac:dyDescent="0.2">
      <c r="A38" t="s">
        <v>1140</v>
      </c>
      <c r="B38" t="s">
        <v>1141</v>
      </c>
    </row>
    <row r="39" spans="1:2" x14ac:dyDescent="0.2">
      <c r="A39" t="s">
        <v>1146</v>
      </c>
      <c r="B39" t="s">
        <v>1147</v>
      </c>
    </row>
    <row r="40" spans="1:2" x14ac:dyDescent="0.2">
      <c r="A40" t="s">
        <v>1142</v>
      </c>
      <c r="B40" t="s">
        <v>1143</v>
      </c>
    </row>
    <row r="41" spans="1:2" x14ac:dyDescent="0.2">
      <c r="A41" t="s">
        <v>352</v>
      </c>
      <c r="B41" t="s">
        <v>1038</v>
      </c>
    </row>
    <row r="42" spans="1:2" x14ac:dyDescent="0.2">
      <c r="A42" t="s">
        <v>641</v>
      </c>
      <c r="B42" t="s">
        <v>639</v>
      </c>
    </row>
    <row r="43" spans="1:2" x14ac:dyDescent="0.2">
      <c r="A43" t="s">
        <v>1190</v>
      </c>
      <c r="B43" t="s">
        <v>1191</v>
      </c>
    </row>
    <row r="44" spans="1:2" x14ac:dyDescent="0.2">
      <c r="A44" t="s">
        <v>1184</v>
      </c>
      <c r="B44" t="s">
        <v>1185</v>
      </c>
    </row>
    <row r="45" spans="1:2" x14ac:dyDescent="0.2">
      <c r="A45" t="s">
        <v>698</v>
      </c>
      <c r="B45" t="s">
        <v>1063</v>
      </c>
    </row>
    <row r="46" spans="1:2" x14ac:dyDescent="0.2">
      <c r="A46" t="s">
        <v>1064</v>
      </c>
      <c r="B46" t="s">
        <v>1065</v>
      </c>
    </row>
    <row r="47" spans="1:2" x14ac:dyDescent="0.2">
      <c r="A47" t="s">
        <v>1078</v>
      </c>
      <c r="B47" t="s">
        <v>1079</v>
      </c>
    </row>
    <row r="48" spans="1:2" x14ac:dyDescent="0.2">
      <c r="A48" t="s">
        <v>1104</v>
      </c>
      <c r="B48" t="s">
        <v>1105</v>
      </c>
    </row>
    <row r="49" spans="1:2" x14ac:dyDescent="0.2">
      <c r="A49" t="s">
        <v>983</v>
      </c>
      <c r="B49" t="s">
        <v>984</v>
      </c>
    </row>
    <row r="50" spans="1:2" x14ac:dyDescent="0.2">
      <c r="A50" t="s">
        <v>968</v>
      </c>
      <c r="B50" t="s">
        <v>969</v>
      </c>
    </row>
    <row r="51" spans="1:2" x14ac:dyDescent="0.2">
      <c r="A51" t="s">
        <v>804</v>
      </c>
      <c r="B51" t="s">
        <v>283</v>
      </c>
    </row>
    <row r="52" spans="1:2" x14ac:dyDescent="0.2">
      <c r="A52" t="s">
        <v>1192</v>
      </c>
      <c r="B52" t="s">
        <v>1193</v>
      </c>
    </row>
    <row r="53" spans="1:2" x14ac:dyDescent="0.2">
      <c r="A53" t="s">
        <v>1106</v>
      </c>
      <c r="B53" t="s">
        <v>1107</v>
      </c>
    </row>
    <row r="54" spans="1:2" x14ac:dyDescent="0.2">
      <c r="A54" t="s">
        <v>346</v>
      </c>
      <c r="B54" t="s">
        <v>284</v>
      </c>
    </row>
    <row r="55" spans="1:2" x14ac:dyDescent="0.2">
      <c r="A55" t="s">
        <v>1066</v>
      </c>
      <c r="B55" t="s">
        <v>1067</v>
      </c>
    </row>
    <row r="56" spans="1:2" x14ac:dyDescent="0.2">
      <c r="A56" t="s">
        <v>605</v>
      </c>
      <c r="B56" t="s">
        <v>602</v>
      </c>
    </row>
    <row r="57" spans="1:2" x14ac:dyDescent="0.2">
      <c r="A57" t="s">
        <v>1068</v>
      </c>
      <c r="B57" t="s">
        <v>1069</v>
      </c>
    </row>
    <row r="58" spans="1:2" x14ac:dyDescent="0.2">
      <c r="A58" t="s">
        <v>603</v>
      </c>
      <c r="B58" t="s">
        <v>599</v>
      </c>
    </row>
    <row r="59" spans="1:2" x14ac:dyDescent="0.2">
      <c r="A59" t="s">
        <v>1148</v>
      </c>
      <c r="B59" t="s">
        <v>1149</v>
      </c>
    </row>
    <row r="60" spans="1:2" x14ac:dyDescent="0.2">
      <c r="A60" t="s">
        <v>980</v>
      </c>
      <c r="B60" t="s">
        <v>286</v>
      </c>
    </row>
    <row r="61" spans="1:2" x14ac:dyDescent="0.2">
      <c r="A61" t="s">
        <v>357</v>
      </c>
      <c r="B61" t="s">
        <v>285</v>
      </c>
    </row>
    <row r="62" spans="1:2" x14ac:dyDescent="0.2">
      <c r="A62" t="s">
        <v>1150</v>
      </c>
      <c r="B62" t="s">
        <v>1151</v>
      </c>
    </row>
    <row r="63" spans="1:2" x14ac:dyDescent="0.2">
      <c r="A63" t="s">
        <v>333</v>
      </c>
      <c r="B63" t="s">
        <v>287</v>
      </c>
    </row>
    <row r="64" spans="1:2" x14ac:dyDescent="0.2">
      <c r="A64" t="s">
        <v>1041</v>
      </c>
      <c r="B64" t="s">
        <v>1042</v>
      </c>
    </row>
    <row r="65" spans="1:2" x14ac:dyDescent="0.2">
      <c r="A65" t="s">
        <v>1108</v>
      </c>
      <c r="B65" t="s">
        <v>1109</v>
      </c>
    </row>
    <row r="66" spans="1:2" x14ac:dyDescent="0.2">
      <c r="A66" t="s">
        <v>331</v>
      </c>
      <c r="B66" t="s">
        <v>288</v>
      </c>
    </row>
    <row r="67" spans="1:2" x14ac:dyDescent="0.2">
      <c r="A67" t="s">
        <v>1152</v>
      </c>
      <c r="B67" t="s">
        <v>1153</v>
      </c>
    </row>
    <row r="68" spans="1:2" x14ac:dyDescent="0.2">
      <c r="A68" t="s">
        <v>343</v>
      </c>
      <c r="B68" t="s">
        <v>967</v>
      </c>
    </row>
    <row r="69" spans="1:2" x14ac:dyDescent="0.2">
      <c r="A69" t="s">
        <v>1006</v>
      </c>
      <c r="B69" t="s">
        <v>1007</v>
      </c>
    </row>
    <row r="70" spans="1:2" x14ac:dyDescent="0.2">
      <c r="A70" t="s">
        <v>1154</v>
      </c>
      <c r="B70" t="s">
        <v>1155</v>
      </c>
    </row>
    <row r="71" spans="1:2" x14ac:dyDescent="0.2">
      <c r="A71" t="s">
        <v>993</v>
      </c>
      <c r="B71" t="s">
        <v>994</v>
      </c>
    </row>
    <row r="72" spans="1:2" x14ac:dyDescent="0.2">
      <c r="A72" t="s">
        <v>1198</v>
      </c>
      <c r="B72" t="s">
        <v>1199</v>
      </c>
    </row>
    <row r="73" spans="1:2" x14ac:dyDescent="0.2">
      <c r="A73" t="s">
        <v>1114</v>
      </c>
      <c r="B73" t="s">
        <v>1115</v>
      </c>
    </row>
    <row r="74" spans="1:2" x14ac:dyDescent="0.2">
      <c r="A74" t="s">
        <v>1196</v>
      </c>
      <c r="B74" t="s">
        <v>1197</v>
      </c>
    </row>
    <row r="75" spans="1:2" x14ac:dyDescent="0.2">
      <c r="A75" t="s">
        <v>1200</v>
      </c>
      <c r="B75" t="s">
        <v>1201</v>
      </c>
    </row>
    <row r="76" spans="1:2" x14ac:dyDescent="0.2">
      <c r="A76" t="s">
        <v>1194</v>
      </c>
      <c r="B76" t="s">
        <v>1195</v>
      </c>
    </row>
    <row r="77" spans="1:2" x14ac:dyDescent="0.2">
      <c r="A77" t="s">
        <v>355</v>
      </c>
      <c r="B77" t="s">
        <v>289</v>
      </c>
    </row>
    <row r="78" spans="1:2" x14ac:dyDescent="0.2">
      <c r="A78" t="s">
        <v>1112</v>
      </c>
      <c r="B78" t="s">
        <v>1113</v>
      </c>
    </row>
    <row r="79" spans="1:2" x14ac:dyDescent="0.2">
      <c r="A79" t="s">
        <v>658</v>
      </c>
      <c r="B79" t="s">
        <v>651</v>
      </c>
    </row>
    <row r="80" spans="1:2" x14ac:dyDescent="0.2">
      <c r="A80" t="s">
        <v>1110</v>
      </c>
      <c r="B80" t="s">
        <v>1111</v>
      </c>
    </row>
    <row r="81" spans="1:2" x14ac:dyDescent="0.2">
      <c r="A81" t="s">
        <v>952</v>
      </c>
      <c r="B81" t="s">
        <v>953</v>
      </c>
    </row>
    <row r="82" spans="1:2" x14ac:dyDescent="0.2">
      <c r="A82" t="s">
        <v>1116</v>
      </c>
      <c r="B82" t="s">
        <v>1117</v>
      </c>
    </row>
    <row r="83" spans="1:2" x14ac:dyDescent="0.2">
      <c r="A83" t="s">
        <v>1012</v>
      </c>
      <c r="B83" t="s">
        <v>1013</v>
      </c>
    </row>
    <row r="84" spans="1:2" x14ac:dyDescent="0.2">
      <c r="A84" t="s">
        <v>1074</v>
      </c>
      <c r="B84" t="s">
        <v>1075</v>
      </c>
    </row>
    <row r="85" spans="1:2" x14ac:dyDescent="0.2">
      <c r="A85" t="s">
        <v>981</v>
      </c>
      <c r="B85" t="s">
        <v>982</v>
      </c>
    </row>
    <row r="86" spans="1:2" x14ac:dyDescent="0.2">
      <c r="A86" t="s">
        <v>1072</v>
      </c>
      <c r="B86" t="s">
        <v>1073</v>
      </c>
    </row>
    <row r="87" spans="1:2" x14ac:dyDescent="0.2">
      <c r="A87" t="s">
        <v>970</v>
      </c>
      <c r="B87" t="s">
        <v>971</v>
      </c>
    </row>
    <row r="88" spans="1:2" x14ac:dyDescent="0.2">
      <c r="A88" t="s">
        <v>620</v>
      </c>
      <c r="B88" t="s">
        <v>611</v>
      </c>
    </row>
    <row r="89" spans="1:2" x14ac:dyDescent="0.2">
      <c r="A89" t="s">
        <v>340</v>
      </c>
      <c r="B89" t="s">
        <v>290</v>
      </c>
    </row>
    <row r="90" spans="1:2" x14ac:dyDescent="0.2">
      <c r="A90" t="s">
        <v>972</v>
      </c>
      <c r="B90" t="s">
        <v>973</v>
      </c>
    </row>
    <row r="91" spans="1:2" x14ac:dyDescent="0.2">
      <c r="A91" t="s">
        <v>553</v>
      </c>
      <c r="B91" t="s">
        <v>554</v>
      </c>
    </row>
    <row r="92" spans="1:2" x14ac:dyDescent="0.2">
      <c r="A92" t="s">
        <v>626</v>
      </c>
      <c r="B92" t="s">
        <v>617</v>
      </c>
    </row>
    <row r="93" spans="1:2" x14ac:dyDescent="0.2">
      <c r="A93" t="s">
        <v>351</v>
      </c>
      <c r="B93" t="s">
        <v>291</v>
      </c>
    </row>
    <row r="94" spans="1:2" x14ac:dyDescent="0.2">
      <c r="A94" t="s">
        <v>642</v>
      </c>
      <c r="B94" t="s">
        <v>638</v>
      </c>
    </row>
    <row r="95" spans="1:2" x14ac:dyDescent="0.2">
      <c r="A95" t="s">
        <v>342</v>
      </c>
      <c r="B95" t="s">
        <v>292</v>
      </c>
    </row>
    <row r="96" spans="1:2" x14ac:dyDescent="0.2">
      <c r="A96" t="s">
        <v>1076</v>
      </c>
      <c r="B96" t="s">
        <v>1077</v>
      </c>
    </row>
    <row r="97" spans="1:2" x14ac:dyDescent="0.2">
      <c r="A97" t="s">
        <v>1230</v>
      </c>
      <c r="B97" t="s">
        <v>1231</v>
      </c>
    </row>
    <row r="98" spans="1:2" x14ac:dyDescent="0.2">
      <c r="A98" t="s">
        <v>339</v>
      </c>
      <c r="B98" t="s">
        <v>293</v>
      </c>
    </row>
    <row r="99" spans="1:2" x14ac:dyDescent="0.2">
      <c r="A99" t="s">
        <v>1002</v>
      </c>
      <c r="B99" t="s">
        <v>1003</v>
      </c>
    </row>
    <row r="100" spans="1:2" x14ac:dyDescent="0.2">
      <c r="A100" t="s">
        <v>1156</v>
      </c>
      <c r="B100" t="s">
        <v>1157</v>
      </c>
    </row>
    <row r="101" spans="1:2" x14ac:dyDescent="0.2">
      <c r="A101" t="s">
        <v>1008</v>
      </c>
      <c r="B101" t="s">
        <v>1009</v>
      </c>
    </row>
    <row r="102" spans="1:2" x14ac:dyDescent="0.2">
      <c r="A102" t="s">
        <v>1018</v>
      </c>
      <c r="B102" t="s">
        <v>1019</v>
      </c>
    </row>
    <row r="103" spans="1:2" x14ac:dyDescent="0.2">
      <c r="A103" t="s">
        <v>1045</v>
      </c>
      <c r="B103" t="s">
        <v>1046</v>
      </c>
    </row>
    <row r="104" spans="1:2" x14ac:dyDescent="0.2">
      <c r="A104" t="s">
        <v>1122</v>
      </c>
      <c r="B104" t="s">
        <v>1123</v>
      </c>
    </row>
    <row r="105" spans="1:2" x14ac:dyDescent="0.2">
      <c r="A105" t="s">
        <v>565</v>
      </c>
      <c r="B105" t="s">
        <v>880</v>
      </c>
    </row>
    <row r="106" spans="1:2" x14ac:dyDescent="0.2">
      <c r="A106" t="s">
        <v>1232</v>
      </c>
      <c r="B106" t="s">
        <v>1233</v>
      </c>
    </row>
    <row r="107" spans="1:2" x14ac:dyDescent="0.2">
      <c r="A107" t="s">
        <v>1020</v>
      </c>
      <c r="B107" t="s">
        <v>1021</v>
      </c>
    </row>
    <row r="108" spans="1:2" x14ac:dyDescent="0.2">
      <c r="A108" t="s">
        <v>358</v>
      </c>
      <c r="B108" t="s">
        <v>294</v>
      </c>
    </row>
    <row r="109" spans="1:2" x14ac:dyDescent="0.2">
      <c r="A109" t="s">
        <v>1204</v>
      </c>
      <c r="B109" t="s">
        <v>1205</v>
      </c>
    </row>
    <row r="110" spans="1:2" x14ac:dyDescent="0.2">
      <c r="A110" t="s">
        <v>634</v>
      </c>
      <c r="B110" t="s">
        <v>633</v>
      </c>
    </row>
    <row r="111" spans="1:2" x14ac:dyDescent="0.2">
      <c r="A111" t="s">
        <v>1124</v>
      </c>
      <c r="B111" t="s">
        <v>1125</v>
      </c>
    </row>
    <row r="112" spans="1:2" x14ac:dyDescent="0.2">
      <c r="A112" t="s">
        <v>653</v>
      </c>
      <c r="B112" t="s">
        <v>650</v>
      </c>
    </row>
    <row r="113" spans="1:2" x14ac:dyDescent="0.2">
      <c r="A113" t="s">
        <v>1202</v>
      </c>
      <c r="B113" t="s">
        <v>1203</v>
      </c>
    </row>
    <row r="114" spans="1:2" x14ac:dyDescent="0.2">
      <c r="A114" t="s">
        <v>622</v>
      </c>
      <c r="B114" t="s">
        <v>613</v>
      </c>
    </row>
    <row r="115" spans="1:2" x14ac:dyDescent="0.2">
      <c r="A115" t="s">
        <v>974</v>
      </c>
      <c r="B115" t="s">
        <v>975</v>
      </c>
    </row>
    <row r="116" spans="1:2" x14ac:dyDescent="0.2">
      <c r="A116" t="s">
        <v>985</v>
      </c>
      <c r="B116" t="s">
        <v>986</v>
      </c>
    </row>
    <row r="117" spans="1:2" x14ac:dyDescent="0.2">
      <c r="A117" t="s">
        <v>1036</v>
      </c>
      <c r="B117" t="s">
        <v>1037</v>
      </c>
    </row>
    <row r="118" spans="1:2" x14ac:dyDescent="0.2">
      <c r="A118" t="s">
        <v>655</v>
      </c>
      <c r="B118" t="s">
        <v>654</v>
      </c>
    </row>
    <row r="119" spans="1:2" x14ac:dyDescent="0.2">
      <c r="A119" t="s">
        <v>961</v>
      </c>
      <c r="B119" t="s">
        <v>962</v>
      </c>
    </row>
    <row r="120" spans="1:2" x14ac:dyDescent="0.2">
      <c r="A120" t="s">
        <v>630</v>
      </c>
      <c r="B120" t="s">
        <v>996</v>
      </c>
    </row>
    <row r="121" spans="1:2" x14ac:dyDescent="0.2">
      <c r="A121" t="s">
        <v>1206</v>
      </c>
      <c r="B121" t="s">
        <v>1207</v>
      </c>
    </row>
    <row r="122" spans="1:2" x14ac:dyDescent="0.2">
      <c r="A122" t="s">
        <v>1047</v>
      </c>
      <c r="B122" t="s">
        <v>1048</v>
      </c>
    </row>
    <row r="123" spans="1:2" x14ac:dyDescent="0.2">
      <c r="A123" t="s">
        <v>625</v>
      </c>
      <c r="B123" t="s">
        <v>882</v>
      </c>
    </row>
    <row r="124" spans="1:2" x14ac:dyDescent="0.2">
      <c r="A124" t="s">
        <v>991</v>
      </c>
      <c r="B124" t="s">
        <v>992</v>
      </c>
    </row>
    <row r="125" spans="1:2" x14ac:dyDescent="0.2">
      <c r="A125" t="s">
        <v>1210</v>
      </c>
      <c r="B125" t="s">
        <v>1211</v>
      </c>
    </row>
    <row r="126" spans="1:2" x14ac:dyDescent="0.2">
      <c r="A126" t="s">
        <v>987</v>
      </c>
      <c r="B126" t="s">
        <v>988</v>
      </c>
    </row>
    <row r="127" spans="1:2" x14ac:dyDescent="0.2">
      <c r="A127" t="s">
        <v>609</v>
      </c>
      <c r="B127" t="s">
        <v>607</v>
      </c>
    </row>
    <row r="128" spans="1:2" x14ac:dyDescent="0.2">
      <c r="A128" t="s">
        <v>997</v>
      </c>
      <c r="B128" t="s">
        <v>998</v>
      </c>
    </row>
    <row r="129" spans="1:2" x14ac:dyDescent="0.2">
      <c r="A129" t="s">
        <v>1028</v>
      </c>
      <c r="B129" t="s">
        <v>1029</v>
      </c>
    </row>
    <row r="130" spans="1:2" x14ac:dyDescent="0.2">
      <c r="A130" t="s">
        <v>954</v>
      </c>
      <c r="B130" t="s">
        <v>955</v>
      </c>
    </row>
    <row r="131" spans="1:2" x14ac:dyDescent="0.2">
      <c r="A131" t="s">
        <v>1160</v>
      </c>
      <c r="B131" t="s">
        <v>1161</v>
      </c>
    </row>
    <row r="132" spans="1:2" x14ac:dyDescent="0.2">
      <c r="A132" t="s">
        <v>1212</v>
      </c>
      <c r="B132" t="s">
        <v>1213</v>
      </c>
    </row>
    <row r="133" spans="1:2" x14ac:dyDescent="0.2">
      <c r="A133" t="s">
        <v>1120</v>
      </c>
      <c r="B133" t="s">
        <v>1121</v>
      </c>
    </row>
    <row r="134" spans="1:2" x14ac:dyDescent="0.2">
      <c r="A134" t="s">
        <v>1118</v>
      </c>
      <c r="B134" t="s">
        <v>1119</v>
      </c>
    </row>
    <row r="135" spans="1:2" x14ac:dyDescent="0.2">
      <c r="A135" t="s">
        <v>1158</v>
      </c>
      <c r="B135" t="s">
        <v>1159</v>
      </c>
    </row>
    <row r="136" spans="1:2" x14ac:dyDescent="0.2">
      <c r="A136" t="s">
        <v>1208</v>
      </c>
      <c r="B136" t="s">
        <v>1209</v>
      </c>
    </row>
    <row r="137" spans="1:2" x14ac:dyDescent="0.2">
      <c r="A137" t="s">
        <v>335</v>
      </c>
      <c r="B137" t="s">
        <v>295</v>
      </c>
    </row>
    <row r="138" spans="1:2" x14ac:dyDescent="0.2">
      <c r="A138" t="s">
        <v>1162</v>
      </c>
      <c r="B138" t="s">
        <v>1163</v>
      </c>
    </row>
    <row r="139" spans="1:2" x14ac:dyDescent="0.2">
      <c r="A139" t="s">
        <v>1049</v>
      </c>
      <c r="B139" t="s">
        <v>1050</v>
      </c>
    </row>
    <row r="140" spans="1:2" x14ac:dyDescent="0.2">
      <c r="A140" t="s">
        <v>1164</v>
      </c>
      <c r="B140" t="s">
        <v>1165</v>
      </c>
    </row>
    <row r="141" spans="1:2" x14ac:dyDescent="0.2">
      <c r="A141" t="s">
        <v>645</v>
      </c>
      <c r="B141" t="s">
        <v>637</v>
      </c>
    </row>
    <row r="142" spans="1:2" x14ac:dyDescent="0.2">
      <c r="A142" t="s">
        <v>1080</v>
      </c>
      <c r="B142" t="s">
        <v>1081</v>
      </c>
    </row>
    <row r="143" spans="1:2" x14ac:dyDescent="0.2">
      <c r="A143" t="s">
        <v>347</v>
      </c>
      <c r="B143" t="s">
        <v>976</v>
      </c>
    </row>
    <row r="144" spans="1:2" x14ac:dyDescent="0.2">
      <c r="A144" t="s">
        <v>332</v>
      </c>
      <c r="B144" t="s">
        <v>296</v>
      </c>
    </row>
    <row r="145" spans="1:2" x14ac:dyDescent="0.2">
      <c r="A145" t="s">
        <v>1030</v>
      </c>
      <c r="B145" t="s">
        <v>1031</v>
      </c>
    </row>
    <row r="146" spans="1:2" x14ac:dyDescent="0.2">
      <c r="A146" t="s">
        <v>350</v>
      </c>
      <c r="B146" t="s">
        <v>960</v>
      </c>
    </row>
    <row r="147" spans="1:2" x14ac:dyDescent="0.2">
      <c r="A147" t="s">
        <v>434</v>
      </c>
      <c r="B147" t="s">
        <v>433</v>
      </c>
    </row>
    <row r="148" spans="1:2" x14ac:dyDescent="0.2">
      <c r="A148" t="s">
        <v>643</v>
      </c>
      <c r="B148" t="s">
        <v>635</v>
      </c>
    </row>
    <row r="149" spans="1:2" x14ac:dyDescent="0.2">
      <c r="A149" t="s">
        <v>1082</v>
      </c>
      <c r="B149" t="s">
        <v>1083</v>
      </c>
    </row>
    <row r="150" spans="1:2" x14ac:dyDescent="0.2">
      <c r="A150" t="s">
        <v>652</v>
      </c>
      <c r="B150" t="s">
        <v>649</v>
      </c>
    </row>
    <row r="151" spans="1:2" x14ac:dyDescent="0.2">
      <c r="A151" t="s">
        <v>345</v>
      </c>
      <c r="B151" t="s">
        <v>1015</v>
      </c>
    </row>
    <row r="152" spans="1:2" x14ac:dyDescent="0.2">
      <c r="A152" t="s">
        <v>1051</v>
      </c>
      <c r="B152" t="s">
        <v>1052</v>
      </c>
    </row>
    <row r="153" spans="1:2" x14ac:dyDescent="0.2">
      <c r="A153" t="s">
        <v>1053</v>
      </c>
      <c r="B153" t="s">
        <v>1054</v>
      </c>
    </row>
    <row r="154" spans="1:2" x14ac:dyDescent="0.2">
      <c r="A154" t="s">
        <v>362</v>
      </c>
      <c r="B154" t="s">
        <v>297</v>
      </c>
    </row>
    <row r="155" spans="1:2" x14ac:dyDescent="0.2">
      <c r="A155" t="s">
        <v>956</v>
      </c>
      <c r="B155" t="s">
        <v>957</v>
      </c>
    </row>
    <row r="156" spans="1:2" x14ac:dyDescent="0.2">
      <c r="A156" t="s">
        <v>1026</v>
      </c>
      <c r="B156" t="s">
        <v>1027</v>
      </c>
    </row>
    <row r="157" spans="1:2" x14ac:dyDescent="0.2">
      <c r="A157" t="s">
        <v>977</v>
      </c>
      <c r="B157" t="s">
        <v>298</v>
      </c>
    </row>
    <row r="158" spans="1:2" x14ac:dyDescent="0.2">
      <c r="A158" t="s">
        <v>348</v>
      </c>
      <c r="B158" t="s">
        <v>299</v>
      </c>
    </row>
    <row r="159" spans="1:2" x14ac:dyDescent="0.2">
      <c r="A159" t="s">
        <v>1043</v>
      </c>
      <c r="B159" t="s">
        <v>1044</v>
      </c>
    </row>
    <row r="160" spans="1:2" x14ac:dyDescent="0.2">
      <c r="A160" t="s">
        <v>657</v>
      </c>
      <c r="B160" t="s">
        <v>656</v>
      </c>
    </row>
    <row r="161" spans="1:2" x14ac:dyDescent="0.2">
      <c r="A161" t="s">
        <v>1214</v>
      </c>
      <c r="B161" t="s">
        <v>1215</v>
      </c>
    </row>
    <row r="162" spans="1:2" x14ac:dyDescent="0.2">
      <c r="A162" t="s">
        <v>632</v>
      </c>
      <c r="B162" t="s">
        <v>631</v>
      </c>
    </row>
    <row r="163" spans="1:2" x14ac:dyDescent="0.2">
      <c r="A163" t="s">
        <v>604</v>
      </c>
      <c r="B163" t="s">
        <v>1001</v>
      </c>
    </row>
    <row r="164" spans="1:2" x14ac:dyDescent="0.2">
      <c r="A164" t="s">
        <v>1216</v>
      </c>
      <c r="B164" t="s">
        <v>1217</v>
      </c>
    </row>
    <row r="165" spans="1:2" x14ac:dyDescent="0.2">
      <c r="A165" t="s">
        <v>624</v>
      </c>
      <c r="B165" t="s">
        <v>615</v>
      </c>
    </row>
    <row r="166" spans="1:2" x14ac:dyDescent="0.2">
      <c r="A166" t="s">
        <v>1168</v>
      </c>
      <c r="B166" t="s">
        <v>1169</v>
      </c>
    </row>
    <row r="167" spans="1:2" x14ac:dyDescent="0.2">
      <c r="A167" t="s">
        <v>1166</v>
      </c>
      <c r="B167" t="s">
        <v>1167</v>
      </c>
    </row>
    <row r="168" spans="1:2" x14ac:dyDescent="0.2">
      <c r="A168" t="s">
        <v>359</v>
      </c>
      <c r="B168" t="s">
        <v>301</v>
      </c>
    </row>
    <row r="169" spans="1:2" x14ac:dyDescent="0.2">
      <c r="A169" t="s">
        <v>1057</v>
      </c>
      <c r="B169" t="s">
        <v>1058</v>
      </c>
    </row>
    <row r="170" spans="1:2" x14ac:dyDescent="0.2">
      <c r="A170" t="s">
        <v>1222</v>
      </c>
      <c r="B170" t="s">
        <v>1223</v>
      </c>
    </row>
    <row r="171" spans="1:2" x14ac:dyDescent="0.2">
      <c r="A171" t="s">
        <v>1070</v>
      </c>
      <c r="B171" t="s">
        <v>1071</v>
      </c>
    </row>
    <row r="172" spans="1:2" x14ac:dyDescent="0.2">
      <c r="A172" t="s">
        <v>965</v>
      </c>
      <c r="B172" t="s">
        <v>966</v>
      </c>
    </row>
    <row r="173" spans="1:2" x14ac:dyDescent="0.2">
      <c r="A173" t="s">
        <v>1224</v>
      </c>
      <c r="B173" t="s">
        <v>1225</v>
      </c>
    </row>
    <row r="174" spans="1:2" x14ac:dyDescent="0.2">
      <c r="A174" t="s">
        <v>1126</v>
      </c>
      <c r="B174" t="s">
        <v>1127</v>
      </c>
    </row>
    <row r="175" spans="1:2" x14ac:dyDescent="0.2">
      <c r="A175" t="s">
        <v>999</v>
      </c>
      <c r="B175" t="s">
        <v>1000</v>
      </c>
    </row>
    <row r="176" spans="1:2" x14ac:dyDescent="0.2">
      <c r="A176" t="s">
        <v>1170</v>
      </c>
      <c r="B176" t="s">
        <v>1171</v>
      </c>
    </row>
    <row r="177" spans="1:2" x14ac:dyDescent="0.2">
      <c r="A177" t="s">
        <v>1218</v>
      </c>
      <c r="B177" t="s">
        <v>1219</v>
      </c>
    </row>
    <row r="178" spans="1:2" x14ac:dyDescent="0.2">
      <c r="A178" t="s">
        <v>1084</v>
      </c>
      <c r="B178" t="s">
        <v>1085</v>
      </c>
    </row>
    <row r="179" spans="1:2" x14ac:dyDescent="0.2">
      <c r="A179" t="s">
        <v>978</v>
      </c>
      <c r="B179" t="s">
        <v>979</v>
      </c>
    </row>
    <row r="180" spans="1:2" x14ac:dyDescent="0.2">
      <c r="A180" t="s">
        <v>858</v>
      </c>
      <c r="B180" t="s">
        <v>857</v>
      </c>
    </row>
    <row r="181" spans="1:2" x14ac:dyDescent="0.2">
      <c r="A181" t="s">
        <v>360</v>
      </c>
      <c r="B181" t="s">
        <v>300</v>
      </c>
    </row>
    <row r="182" spans="1:2" x14ac:dyDescent="0.2">
      <c r="A182" t="s">
        <v>1226</v>
      </c>
      <c r="B182" t="s">
        <v>1227</v>
      </c>
    </row>
    <row r="183" spans="1:2" x14ac:dyDescent="0.2">
      <c r="A183" t="s">
        <v>1220</v>
      </c>
      <c r="B183" t="s">
        <v>1221</v>
      </c>
    </row>
    <row r="184" spans="1:2" x14ac:dyDescent="0.2">
      <c r="A184" t="s">
        <v>1234</v>
      </c>
      <c r="B184" t="s">
        <v>1235</v>
      </c>
    </row>
    <row r="185" spans="1:2" x14ac:dyDescent="0.2">
      <c r="A185" t="s">
        <v>1130</v>
      </c>
      <c r="B185" t="s">
        <v>1131</v>
      </c>
    </row>
    <row r="186" spans="1:2" x14ac:dyDescent="0.2">
      <c r="A186" t="s">
        <v>1188</v>
      </c>
      <c r="B186" t="s">
        <v>1189</v>
      </c>
    </row>
    <row r="187" spans="1:2" x14ac:dyDescent="0.2">
      <c r="A187" t="s">
        <v>1172</v>
      </c>
      <c r="B187" t="s">
        <v>1173</v>
      </c>
    </row>
    <row r="188" spans="1:2" x14ac:dyDescent="0.2">
      <c r="A188" t="s">
        <v>363</v>
      </c>
      <c r="B188" t="s">
        <v>302</v>
      </c>
    </row>
    <row r="189" spans="1:2" x14ac:dyDescent="0.2">
      <c r="A189" t="s">
        <v>1010</v>
      </c>
      <c r="B189" t="s">
        <v>1011</v>
      </c>
    </row>
    <row r="190" spans="1:2" x14ac:dyDescent="0.2">
      <c r="A190" t="s">
        <v>646</v>
      </c>
      <c r="B190" t="s">
        <v>636</v>
      </c>
    </row>
    <row r="191" spans="1:2" x14ac:dyDescent="0.2">
      <c r="A191" t="s">
        <v>1039</v>
      </c>
      <c r="B191" t="s">
        <v>1040</v>
      </c>
    </row>
    <row r="192" spans="1:2" x14ac:dyDescent="0.2">
      <c r="A192" t="s">
        <v>1059</v>
      </c>
      <c r="B192" t="s">
        <v>1060</v>
      </c>
    </row>
    <row r="193" spans="1:2" x14ac:dyDescent="0.2">
      <c r="A193" t="s">
        <v>1086</v>
      </c>
      <c r="B193" t="s">
        <v>1087</v>
      </c>
    </row>
    <row r="194" spans="1:2" x14ac:dyDescent="0.2">
      <c r="A194" t="s">
        <v>1132</v>
      </c>
      <c r="B194" t="s">
        <v>1133</v>
      </c>
    </row>
    <row r="195" spans="1:2" x14ac:dyDescent="0.2">
      <c r="A195" t="s">
        <v>354</v>
      </c>
      <c r="B195" t="s">
        <v>303</v>
      </c>
    </row>
    <row r="196" spans="1:2" x14ac:dyDescent="0.2">
      <c r="A196" t="s">
        <v>1024</v>
      </c>
      <c r="B196" t="s">
        <v>1025</v>
      </c>
    </row>
    <row r="197" spans="1:2" x14ac:dyDescent="0.2">
      <c r="A197" t="s">
        <v>1174</v>
      </c>
      <c r="B197" t="s">
        <v>1175</v>
      </c>
    </row>
    <row r="198" spans="1:2" x14ac:dyDescent="0.2">
      <c r="A198" t="s">
        <v>644</v>
      </c>
      <c r="B198" t="s">
        <v>640</v>
      </c>
    </row>
    <row r="199" spans="1:2" x14ac:dyDescent="0.2">
      <c r="A199" t="s">
        <v>606</v>
      </c>
      <c r="B199" t="s">
        <v>600</v>
      </c>
    </row>
    <row r="200" spans="1:2" x14ac:dyDescent="0.2">
      <c r="A200" t="s">
        <v>848</v>
      </c>
      <c r="B200" t="s">
        <v>847</v>
      </c>
    </row>
    <row r="201" spans="1:2" x14ac:dyDescent="0.2">
      <c r="A201" t="s">
        <v>337</v>
      </c>
      <c r="B201" t="s">
        <v>949</v>
      </c>
    </row>
    <row r="202" spans="1:2" x14ac:dyDescent="0.2">
      <c r="A202" t="s">
        <v>621</v>
      </c>
      <c r="B202" t="s">
        <v>612</v>
      </c>
    </row>
    <row r="203" spans="1:2" x14ac:dyDescent="0.2">
      <c r="A203" t="s">
        <v>963</v>
      </c>
      <c r="B203" t="s">
        <v>964</v>
      </c>
    </row>
    <row r="204" spans="1:2" x14ac:dyDescent="0.2">
      <c r="A204" t="s">
        <v>1128</v>
      </c>
      <c r="B204" t="s">
        <v>1129</v>
      </c>
    </row>
    <row r="205" spans="1:2" x14ac:dyDescent="0.2">
      <c r="A205" t="s">
        <v>1088</v>
      </c>
      <c r="B205" t="s">
        <v>1089</v>
      </c>
    </row>
    <row r="206" spans="1:2" x14ac:dyDescent="0.2">
      <c r="A206" t="s">
        <v>1102</v>
      </c>
      <c r="B206" t="s">
        <v>1103</v>
      </c>
    </row>
    <row r="207" spans="1:2" x14ac:dyDescent="0.2">
      <c r="A207" t="s">
        <v>958</v>
      </c>
      <c r="B207" t="s">
        <v>959</v>
      </c>
    </row>
    <row r="208" spans="1:2" x14ac:dyDescent="0.2">
      <c r="A208" t="s">
        <v>619</v>
      </c>
      <c r="B208" t="s">
        <v>618</v>
      </c>
    </row>
    <row r="209" spans="1:2" x14ac:dyDescent="0.2">
      <c r="A209" t="s">
        <v>1061</v>
      </c>
      <c r="B209" t="s">
        <v>1062</v>
      </c>
    </row>
    <row r="210" spans="1:2" x14ac:dyDescent="0.2">
      <c r="A210" t="s">
        <v>1055</v>
      </c>
      <c r="B210" t="s">
        <v>1056</v>
      </c>
    </row>
    <row r="211" spans="1:2" x14ac:dyDescent="0.2">
      <c r="A211" t="s">
        <v>856</v>
      </c>
      <c r="B211" t="s">
        <v>995</v>
      </c>
    </row>
    <row r="212" spans="1:2" x14ac:dyDescent="0.2">
      <c r="A212" t="s">
        <v>1237</v>
      </c>
      <c r="B212" t="s">
        <v>1238</v>
      </c>
    </row>
    <row r="213" spans="1:2" x14ac:dyDescent="0.2">
      <c r="A213" t="s">
        <v>521</v>
      </c>
      <c r="B213" t="s">
        <v>601</v>
      </c>
    </row>
    <row r="214" spans="1:2" x14ac:dyDescent="0.2">
      <c r="A214" t="s">
        <v>1176</v>
      </c>
      <c r="B214" t="s">
        <v>1177</v>
      </c>
    </row>
    <row r="215" spans="1:2" x14ac:dyDescent="0.2">
      <c r="A215" t="s">
        <v>1178</v>
      </c>
      <c r="B215" t="s">
        <v>1179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B60EF-5690-44EE-B5AF-888C39B37152}">
  <sheetPr>
    <tabColor rgb="FF004BFF"/>
  </sheetPr>
  <dimension ref="A1:XET103"/>
  <sheetViews>
    <sheetView zoomScaleNormal="100" zoomScalePageLayoutView="80" workbookViewId="0">
      <pane xSplit="1" ySplit="2" topLeftCell="B3" activePane="bottomRight" state="frozen"/>
      <selection pane="topRight" activeCell="B1" sqref="B1"/>
      <selection pane="bottomLeft" activeCell="A3" sqref="A3"/>
      <selection pane="bottomRight" activeCell="E12" sqref="E12"/>
    </sheetView>
  </sheetViews>
  <sheetFormatPr baseColWidth="10" defaultColWidth="0" defaultRowHeight="18.75" customHeight="1" x14ac:dyDescent="0.2"/>
  <cols>
    <col min="1" max="1" width="14.33203125" style="2" bestFit="1" customWidth="1"/>
    <col min="2" max="2" width="123.33203125" style="2" customWidth="1"/>
    <col min="3" max="3" width="14.6640625" style="2" bestFit="1" customWidth="1"/>
    <col min="4" max="4" width="11.33203125" style="2" bestFit="1" customWidth="1"/>
    <col min="5" max="5" width="205.5" style="2" customWidth="1"/>
    <col min="6" max="6" width="10.1640625" style="2" hidden="1"/>
    <col min="7" max="16374" width="0" style="2" hidden="1"/>
    <col min="16375" max="16384" width="10.1640625" style="2" hidden="1"/>
  </cols>
  <sheetData>
    <row r="1" spans="1:5" s="4" customFormat="1" ht="33" customHeight="1" x14ac:dyDescent="0.2">
      <c r="A1" s="73" t="s">
        <v>3</v>
      </c>
      <c r="B1" s="4" t="s">
        <v>3889</v>
      </c>
    </row>
    <row r="2" spans="1:5" s="7" customFormat="1" ht="33" customHeight="1" x14ac:dyDescent="0.2">
      <c r="A2" s="72" t="s">
        <v>4</v>
      </c>
      <c r="B2" s="72" t="s">
        <v>5</v>
      </c>
      <c r="C2" s="72" t="s">
        <v>3931</v>
      </c>
      <c r="D2" s="72" t="s">
        <v>3932</v>
      </c>
      <c r="E2" s="72" t="s">
        <v>3887</v>
      </c>
    </row>
    <row r="3" spans="1:5" s="1" customFormat="1" ht="18" customHeight="1" x14ac:dyDescent="0.2">
      <c r="A3" s="1">
        <v>1</v>
      </c>
      <c r="B3" s="1" t="s">
        <v>1354</v>
      </c>
      <c r="C3" s="82">
        <v>44239</v>
      </c>
      <c r="D3" s="82">
        <v>45496</v>
      </c>
    </row>
    <row r="4" spans="1:5" s="1" customFormat="1" ht="18" customHeight="1" x14ac:dyDescent="0.2">
      <c r="A4" s="1">
        <v>2</v>
      </c>
      <c r="B4" s="1" t="s">
        <v>3852</v>
      </c>
      <c r="C4" s="82">
        <v>44462</v>
      </c>
      <c r="D4" s="82">
        <v>45496</v>
      </c>
    </row>
    <row r="5" spans="1:5" s="1" customFormat="1" ht="18" customHeight="1" x14ac:dyDescent="0.2">
      <c r="A5" s="1">
        <v>3</v>
      </c>
      <c r="B5" s="1" t="s">
        <v>3853</v>
      </c>
      <c r="C5" s="82">
        <v>44410</v>
      </c>
      <c r="D5" s="82">
        <v>45496</v>
      </c>
      <c r="E5" s="1" t="s">
        <v>3855</v>
      </c>
    </row>
    <row r="6" spans="1:5" s="1" customFormat="1" ht="18" customHeight="1" x14ac:dyDescent="0.2">
      <c r="A6" s="8">
        <v>4</v>
      </c>
      <c r="B6" s="1" t="s">
        <v>3853</v>
      </c>
      <c r="C6" s="82">
        <v>44410</v>
      </c>
      <c r="D6" s="82">
        <v>45496</v>
      </c>
      <c r="E6" s="1" t="s">
        <v>3856</v>
      </c>
    </row>
    <row r="7" spans="1:5" s="1" customFormat="1" ht="18" customHeight="1" x14ac:dyDescent="0.2">
      <c r="A7" s="1">
        <v>5</v>
      </c>
      <c r="B7" s="1" t="s">
        <v>451</v>
      </c>
      <c r="C7" s="82">
        <v>43746</v>
      </c>
      <c r="D7" s="82">
        <v>45496</v>
      </c>
      <c r="E7" s="1" t="s">
        <v>3858</v>
      </c>
    </row>
    <row r="8" spans="1:5" s="1" customFormat="1" ht="18" customHeight="1" x14ac:dyDescent="0.2">
      <c r="A8" s="1">
        <v>6</v>
      </c>
      <c r="B8" s="1" t="s">
        <v>1247</v>
      </c>
      <c r="C8" s="82">
        <v>44152</v>
      </c>
      <c r="D8" s="82">
        <v>45496</v>
      </c>
      <c r="E8" s="1" t="s">
        <v>3858</v>
      </c>
    </row>
    <row r="9" spans="1:5" s="1" customFormat="1" ht="18" customHeight="1" x14ac:dyDescent="0.2">
      <c r="A9" s="1">
        <v>7</v>
      </c>
      <c r="B9" s="1" t="s">
        <v>3860</v>
      </c>
      <c r="C9" s="82">
        <v>44455</v>
      </c>
      <c r="D9" s="82">
        <v>45496</v>
      </c>
      <c r="E9" s="1" t="s">
        <v>4059</v>
      </c>
    </row>
    <row r="10" spans="1:5" s="1" customFormat="1" ht="18" customHeight="1" x14ac:dyDescent="0.2">
      <c r="A10" s="8">
        <v>8</v>
      </c>
      <c r="B10" s="1" t="s">
        <v>3853</v>
      </c>
      <c r="C10" s="82">
        <v>44410</v>
      </c>
      <c r="D10" s="82">
        <v>45496</v>
      </c>
      <c r="E10" s="1" t="s">
        <v>3866</v>
      </c>
    </row>
    <row r="11" spans="1:5" s="1" customFormat="1" ht="18" customHeight="1" x14ac:dyDescent="0.2">
      <c r="A11" s="1">
        <v>9</v>
      </c>
      <c r="B11" s="1" t="s">
        <v>3204</v>
      </c>
      <c r="C11" s="82">
        <v>44343</v>
      </c>
      <c r="D11" s="82">
        <v>45496</v>
      </c>
      <c r="E11" s="1" t="s">
        <v>3862</v>
      </c>
    </row>
    <row r="12" spans="1:5" ht="18.75" customHeight="1" x14ac:dyDescent="0.2">
      <c r="A12" s="1">
        <v>10</v>
      </c>
      <c r="B12" s="1" t="s">
        <v>3853</v>
      </c>
      <c r="C12" s="82">
        <v>44410</v>
      </c>
      <c r="D12" s="82">
        <v>45496</v>
      </c>
      <c r="E12" s="1" t="s">
        <v>3863</v>
      </c>
    </row>
    <row r="13" spans="1:5" s="1" customFormat="1" ht="18" customHeight="1" x14ac:dyDescent="0.2">
      <c r="A13" s="1">
        <v>11</v>
      </c>
      <c r="B13" s="1" t="s">
        <v>1401</v>
      </c>
      <c r="C13" s="82">
        <v>44272</v>
      </c>
      <c r="D13" s="82">
        <v>45496</v>
      </c>
      <c r="E13" s="1" t="s">
        <v>3867</v>
      </c>
    </row>
    <row r="14" spans="1:5" s="1" customFormat="1" ht="18" customHeight="1" x14ac:dyDescent="0.2">
      <c r="A14" s="8">
        <v>12</v>
      </c>
      <c r="B14" s="1" t="s">
        <v>453</v>
      </c>
      <c r="C14" s="82">
        <v>43888</v>
      </c>
      <c r="D14" s="82">
        <v>45496</v>
      </c>
      <c r="E14" s="1" t="s">
        <v>3908</v>
      </c>
    </row>
    <row r="15" spans="1:5" ht="18.75" customHeight="1" x14ac:dyDescent="0.2">
      <c r="A15" s="1">
        <v>13</v>
      </c>
      <c r="B15" s="2" t="s">
        <v>3869</v>
      </c>
      <c r="C15" s="83">
        <v>44465</v>
      </c>
      <c r="D15" s="82">
        <v>45496</v>
      </c>
      <c r="E15" s="2" t="s">
        <v>3870</v>
      </c>
    </row>
    <row r="16" spans="1:5" ht="18.75" customHeight="1" x14ac:dyDescent="0.2">
      <c r="A16" s="1">
        <v>14</v>
      </c>
      <c r="B16" s="103" t="s">
        <v>3872</v>
      </c>
      <c r="C16" s="84">
        <v>44384</v>
      </c>
      <c r="D16" s="82">
        <v>45496</v>
      </c>
      <c r="E16" s="3" t="s">
        <v>3873</v>
      </c>
    </row>
    <row r="17" spans="1:5" ht="18.75" customHeight="1" x14ac:dyDescent="0.2">
      <c r="A17" s="1">
        <v>15</v>
      </c>
      <c r="B17" s="103" t="s">
        <v>3199</v>
      </c>
      <c r="C17" s="84">
        <v>44341</v>
      </c>
      <c r="D17" s="82">
        <v>45496</v>
      </c>
      <c r="E17" s="3" t="s">
        <v>3875</v>
      </c>
    </row>
    <row r="18" spans="1:5" ht="18.75" customHeight="1" x14ac:dyDescent="0.2">
      <c r="A18" s="8">
        <v>16</v>
      </c>
      <c r="B18" s="2" t="s">
        <v>3877</v>
      </c>
      <c r="C18" s="83">
        <v>44467</v>
      </c>
      <c r="D18" s="82">
        <v>45496</v>
      </c>
      <c r="E18" s="2" t="s">
        <v>3878</v>
      </c>
    </row>
    <row r="19" spans="1:5" ht="18.75" customHeight="1" x14ac:dyDescent="0.2">
      <c r="A19" s="1">
        <v>17</v>
      </c>
      <c r="B19" s="2" t="s">
        <v>2864</v>
      </c>
      <c r="C19" s="83">
        <v>44282</v>
      </c>
      <c r="D19" s="82">
        <v>45496</v>
      </c>
      <c r="E19" s="2" t="s">
        <v>3880</v>
      </c>
    </row>
    <row r="20" spans="1:5" ht="18.75" customHeight="1" x14ac:dyDescent="0.2">
      <c r="A20" s="1">
        <v>18</v>
      </c>
      <c r="B20" s="2" t="s">
        <v>1326</v>
      </c>
      <c r="C20" s="83">
        <v>44250</v>
      </c>
      <c r="D20" s="82">
        <v>45496</v>
      </c>
      <c r="E20" s="2" t="s">
        <v>3882</v>
      </c>
    </row>
    <row r="21" spans="1:5" ht="18.75" customHeight="1" x14ac:dyDescent="0.2">
      <c r="A21" s="1">
        <v>19</v>
      </c>
      <c r="B21" s="2" t="s">
        <v>3884</v>
      </c>
      <c r="C21" s="83">
        <v>44377</v>
      </c>
      <c r="D21" s="82">
        <v>45496</v>
      </c>
      <c r="E21" s="2" t="s">
        <v>3886</v>
      </c>
    </row>
    <row r="22" spans="1:5" ht="18.75" customHeight="1" x14ac:dyDescent="0.2">
      <c r="A22" s="8">
        <v>20</v>
      </c>
      <c r="B22" s="2" t="s">
        <v>3891</v>
      </c>
      <c r="C22" s="83">
        <v>44350</v>
      </c>
      <c r="D22" s="82">
        <v>45496</v>
      </c>
      <c r="E22" s="2" t="s">
        <v>3933</v>
      </c>
    </row>
    <row r="23" spans="1:5" ht="18.75" customHeight="1" x14ac:dyDescent="0.2">
      <c r="A23" s="1">
        <v>21</v>
      </c>
      <c r="B23" s="2" t="s">
        <v>3892</v>
      </c>
      <c r="C23" s="83">
        <v>44330</v>
      </c>
      <c r="D23" s="82">
        <v>45496</v>
      </c>
      <c r="E23" s="2" t="s">
        <v>3893</v>
      </c>
    </row>
    <row r="24" spans="1:5" ht="18.75" customHeight="1" x14ac:dyDescent="0.2">
      <c r="A24" s="1">
        <v>22</v>
      </c>
      <c r="B24" s="2" t="s">
        <v>3853</v>
      </c>
      <c r="C24" s="82">
        <v>44410</v>
      </c>
      <c r="D24" s="82">
        <v>45496</v>
      </c>
    </row>
    <row r="25" spans="1:5" ht="18.75" customHeight="1" x14ac:dyDescent="0.2">
      <c r="A25" s="1">
        <v>23</v>
      </c>
      <c r="B25" s="2" t="s">
        <v>3897</v>
      </c>
      <c r="C25" s="83">
        <v>44260</v>
      </c>
      <c r="D25" s="82">
        <v>45496</v>
      </c>
      <c r="E25" s="2" t="s">
        <v>3896</v>
      </c>
    </row>
    <row r="26" spans="1:5" ht="18.75" customHeight="1" x14ac:dyDescent="0.2">
      <c r="A26" s="8">
        <v>24</v>
      </c>
      <c r="B26" s="2" t="s">
        <v>3902</v>
      </c>
      <c r="C26" s="83">
        <v>44401</v>
      </c>
      <c r="D26" s="82">
        <v>45496</v>
      </c>
      <c r="E26" s="2" t="s">
        <v>3903</v>
      </c>
    </row>
    <row r="27" spans="1:5" ht="18.75" customHeight="1" x14ac:dyDescent="0.2">
      <c r="A27" s="1">
        <v>25</v>
      </c>
      <c r="B27" s="2" t="s">
        <v>3904</v>
      </c>
      <c r="C27" s="83">
        <v>44398</v>
      </c>
      <c r="D27" s="82">
        <v>45496</v>
      </c>
      <c r="E27" s="2" t="s">
        <v>3905</v>
      </c>
    </row>
    <row r="28" spans="1:5" ht="18.75" customHeight="1" x14ac:dyDescent="0.2">
      <c r="A28" s="1">
        <v>26</v>
      </c>
      <c r="B28" s="2" t="s">
        <v>3906</v>
      </c>
      <c r="C28" s="83" t="s">
        <v>3934</v>
      </c>
      <c r="D28" s="82">
        <v>45496</v>
      </c>
      <c r="E28" s="2" t="s">
        <v>3907</v>
      </c>
    </row>
    <row r="29" spans="1:5" ht="18.75" customHeight="1" x14ac:dyDescent="0.2">
      <c r="A29" s="1">
        <v>27</v>
      </c>
      <c r="B29" s="2" t="s">
        <v>3911</v>
      </c>
      <c r="C29" s="83">
        <v>44438</v>
      </c>
      <c r="D29" s="82">
        <v>45496</v>
      </c>
      <c r="E29" s="2" t="s">
        <v>3925</v>
      </c>
    </row>
    <row r="30" spans="1:5" ht="18.75" customHeight="1" x14ac:dyDescent="0.2">
      <c r="A30" s="8">
        <v>28</v>
      </c>
      <c r="B30" s="2" t="s">
        <v>3913</v>
      </c>
      <c r="C30" s="83">
        <v>44361</v>
      </c>
      <c r="D30" s="82">
        <v>45496</v>
      </c>
      <c r="E30" s="2" t="s">
        <v>3916</v>
      </c>
    </row>
    <row r="31" spans="1:5" ht="18.75" customHeight="1" x14ac:dyDescent="0.2">
      <c r="A31" s="1">
        <v>29</v>
      </c>
      <c r="B31" s="2" t="s">
        <v>3914</v>
      </c>
      <c r="C31" s="83">
        <v>43958</v>
      </c>
      <c r="D31" s="82">
        <v>45496</v>
      </c>
    </row>
    <row r="32" spans="1:5" ht="18.75" customHeight="1" x14ac:dyDescent="0.2">
      <c r="A32" s="1">
        <v>30</v>
      </c>
      <c r="B32" s="2" t="s">
        <v>3918</v>
      </c>
      <c r="C32" s="83">
        <v>43974</v>
      </c>
      <c r="D32" s="82">
        <v>45496</v>
      </c>
    </row>
    <row r="33" spans="1:5" ht="18.75" customHeight="1" x14ac:dyDescent="0.2">
      <c r="A33" s="1">
        <v>31</v>
      </c>
      <c r="B33" s="2" t="s">
        <v>3920</v>
      </c>
      <c r="C33" s="83">
        <v>44309</v>
      </c>
      <c r="D33" s="82">
        <v>45496</v>
      </c>
      <c r="E33" s="2" t="s">
        <v>3923</v>
      </c>
    </row>
    <row r="34" spans="1:5" ht="18.75" customHeight="1" x14ac:dyDescent="0.2">
      <c r="A34" s="8">
        <v>32</v>
      </c>
      <c r="B34" s="2" t="s">
        <v>3921</v>
      </c>
      <c r="C34" s="83">
        <v>44328</v>
      </c>
      <c r="D34" s="82">
        <v>45496</v>
      </c>
      <c r="E34" s="2" t="s">
        <v>3922</v>
      </c>
    </row>
    <row r="35" spans="1:5" ht="18.75" customHeight="1" x14ac:dyDescent="0.2">
      <c r="A35" s="1">
        <v>33</v>
      </c>
      <c r="B35" s="2" t="s">
        <v>834</v>
      </c>
      <c r="C35" s="83">
        <v>44042</v>
      </c>
      <c r="D35" s="82">
        <v>45496</v>
      </c>
    </row>
    <row r="36" spans="1:5" ht="18.75" customHeight="1" x14ac:dyDescent="0.2">
      <c r="A36" s="1">
        <v>34</v>
      </c>
      <c r="B36" s="2" t="s">
        <v>566</v>
      </c>
      <c r="C36" s="83">
        <v>43951</v>
      </c>
      <c r="D36" s="82">
        <v>45496</v>
      </c>
    </row>
    <row r="37" spans="1:5" ht="18.75" customHeight="1" x14ac:dyDescent="0.2">
      <c r="A37" s="1">
        <v>35</v>
      </c>
      <c r="B37" s="2" t="s">
        <v>3929</v>
      </c>
      <c r="C37" s="83">
        <v>44459</v>
      </c>
      <c r="D37" s="83">
        <v>45497</v>
      </c>
      <c r="E37" s="2" t="s">
        <v>3928</v>
      </c>
    </row>
    <row r="38" spans="1:5" ht="18.75" customHeight="1" x14ac:dyDescent="0.2">
      <c r="A38" s="8">
        <v>36</v>
      </c>
      <c r="B38" s="2" t="s">
        <v>3930</v>
      </c>
      <c r="C38" s="83">
        <v>44396</v>
      </c>
      <c r="D38" s="83">
        <v>45497</v>
      </c>
      <c r="E38" s="2" t="s">
        <v>3936</v>
      </c>
    </row>
    <row r="39" spans="1:5" ht="18.75" customHeight="1" x14ac:dyDescent="0.2">
      <c r="A39" s="1">
        <v>37</v>
      </c>
      <c r="B39" s="2" t="s">
        <v>3937</v>
      </c>
      <c r="C39" s="2" t="s">
        <v>3938</v>
      </c>
      <c r="D39" s="83">
        <v>45497</v>
      </c>
      <c r="E39" s="2" t="s">
        <v>3935</v>
      </c>
    </row>
    <row r="40" spans="1:5" ht="18.75" customHeight="1" x14ac:dyDescent="0.2">
      <c r="A40" s="1">
        <v>38</v>
      </c>
      <c r="B40" s="2" t="s">
        <v>3941</v>
      </c>
      <c r="C40" s="2" t="s">
        <v>3945</v>
      </c>
      <c r="D40" s="83">
        <v>45497</v>
      </c>
      <c r="E40" s="2" t="s">
        <v>3946</v>
      </c>
    </row>
    <row r="41" spans="1:5" ht="18.75" customHeight="1" x14ac:dyDescent="0.2">
      <c r="A41" s="1">
        <v>39</v>
      </c>
      <c r="B41" s="2" t="s">
        <v>3947</v>
      </c>
      <c r="C41" s="83">
        <v>44286</v>
      </c>
      <c r="D41" s="83">
        <v>45497</v>
      </c>
      <c r="E41" s="2" t="s">
        <v>3950</v>
      </c>
    </row>
    <row r="42" spans="1:5" ht="18.75" customHeight="1" x14ac:dyDescent="0.2">
      <c r="A42" s="8">
        <v>40</v>
      </c>
      <c r="B42" s="2" t="s">
        <v>933</v>
      </c>
      <c r="C42" s="83" t="s">
        <v>3949</v>
      </c>
      <c r="D42" s="83">
        <v>45497</v>
      </c>
      <c r="E42" s="49" t="s">
        <v>3951</v>
      </c>
    </row>
    <row r="43" spans="1:5" ht="18.75" customHeight="1" x14ac:dyDescent="0.2">
      <c r="A43" s="1">
        <v>41</v>
      </c>
      <c r="B43" s="2" t="s">
        <v>3954</v>
      </c>
      <c r="C43" s="83" t="s">
        <v>3934</v>
      </c>
      <c r="D43" s="83">
        <v>45497</v>
      </c>
      <c r="E43" s="2" t="s">
        <v>3957</v>
      </c>
    </row>
    <row r="44" spans="1:5" ht="18.75" customHeight="1" x14ac:dyDescent="0.2">
      <c r="A44" s="1">
        <v>42</v>
      </c>
      <c r="B44" s="3" t="s">
        <v>3955</v>
      </c>
      <c r="C44" s="84">
        <v>44489</v>
      </c>
      <c r="D44" s="83">
        <v>45497</v>
      </c>
      <c r="E44" s="3" t="s">
        <v>3956</v>
      </c>
    </row>
    <row r="45" spans="1:5" ht="18.75" customHeight="1" x14ac:dyDescent="0.2">
      <c r="A45" s="1">
        <v>43</v>
      </c>
      <c r="B45" s="2" t="s">
        <v>3959</v>
      </c>
      <c r="C45" s="83">
        <v>44255</v>
      </c>
      <c r="D45" s="83">
        <v>45497</v>
      </c>
      <c r="E45" s="2" t="s">
        <v>3960</v>
      </c>
    </row>
    <row r="46" spans="1:5" ht="18.75" customHeight="1" x14ac:dyDescent="0.2">
      <c r="A46" s="8">
        <v>44</v>
      </c>
      <c r="B46" s="5" t="s">
        <v>3963</v>
      </c>
      <c r="C46" s="85">
        <v>44466</v>
      </c>
      <c r="D46" s="83">
        <v>45497</v>
      </c>
      <c r="E46" s="5" t="s">
        <v>3962</v>
      </c>
    </row>
    <row r="47" spans="1:5" ht="18.75" customHeight="1" x14ac:dyDescent="0.2">
      <c r="A47" s="1">
        <v>45</v>
      </c>
      <c r="B47" s="86" t="s">
        <v>3965</v>
      </c>
      <c r="C47" s="85">
        <v>44419</v>
      </c>
      <c r="D47" s="83">
        <v>45497</v>
      </c>
      <c r="E47" s="5" t="s">
        <v>3966</v>
      </c>
    </row>
    <row r="48" spans="1:5" ht="18.75" customHeight="1" x14ac:dyDescent="0.2">
      <c r="A48" s="1">
        <v>46</v>
      </c>
      <c r="B48" s="5" t="s">
        <v>3967</v>
      </c>
      <c r="C48" s="85">
        <v>44409</v>
      </c>
      <c r="D48" s="83">
        <v>45497</v>
      </c>
      <c r="E48" s="5" t="s">
        <v>3968</v>
      </c>
    </row>
    <row r="49" spans="1:5" ht="18.75" customHeight="1" x14ac:dyDescent="0.2">
      <c r="A49" s="1">
        <v>47</v>
      </c>
      <c r="B49" s="5" t="s">
        <v>3492</v>
      </c>
      <c r="C49" s="85">
        <v>44426</v>
      </c>
      <c r="D49" s="83">
        <v>45497</v>
      </c>
      <c r="E49" s="5" t="s">
        <v>3970</v>
      </c>
    </row>
    <row r="50" spans="1:5" ht="18.75" customHeight="1" x14ac:dyDescent="0.2">
      <c r="A50" s="8">
        <v>48</v>
      </c>
      <c r="B50" s="5" t="s">
        <v>3971</v>
      </c>
      <c r="C50" s="85">
        <v>44466</v>
      </c>
      <c r="D50" s="83">
        <v>45497</v>
      </c>
      <c r="E50" s="5" t="s">
        <v>3973</v>
      </c>
    </row>
    <row r="51" spans="1:5" ht="18.75" customHeight="1" x14ac:dyDescent="0.2">
      <c r="A51" s="1">
        <v>49</v>
      </c>
      <c r="B51" s="5" t="s">
        <v>3975</v>
      </c>
      <c r="C51" s="85">
        <v>44762</v>
      </c>
      <c r="D51" s="83">
        <v>45497</v>
      </c>
      <c r="E51" s="5" t="s">
        <v>3974</v>
      </c>
    </row>
    <row r="52" spans="1:5" ht="18.75" customHeight="1" x14ac:dyDescent="0.2">
      <c r="A52" s="1">
        <v>50</v>
      </c>
      <c r="B52" s="5" t="s">
        <v>3976</v>
      </c>
      <c r="C52" s="85">
        <v>43718</v>
      </c>
      <c r="D52" s="83">
        <v>45497</v>
      </c>
      <c r="E52" s="83" t="s">
        <v>3977</v>
      </c>
    </row>
    <row r="53" spans="1:5" ht="18.75" customHeight="1" x14ac:dyDescent="0.2">
      <c r="A53" s="1">
        <v>51</v>
      </c>
      <c r="B53" s="3" t="s">
        <v>3978</v>
      </c>
      <c r="C53" s="84">
        <v>44292</v>
      </c>
      <c r="D53" s="83">
        <v>45497</v>
      </c>
      <c r="E53" s="3" t="s">
        <v>3991</v>
      </c>
    </row>
    <row r="54" spans="1:5" ht="18.75" customHeight="1" x14ac:dyDescent="0.2">
      <c r="A54" s="8">
        <v>52</v>
      </c>
      <c r="B54" s="3" t="s">
        <v>3980</v>
      </c>
      <c r="C54" s="84">
        <v>44390</v>
      </c>
      <c r="D54" s="83">
        <v>45497</v>
      </c>
      <c r="E54" s="3" t="s">
        <v>3981</v>
      </c>
    </row>
    <row r="55" spans="1:5" ht="18.75" customHeight="1" x14ac:dyDescent="0.2">
      <c r="A55" s="1">
        <v>53</v>
      </c>
      <c r="B55" s="3" t="s">
        <v>3983</v>
      </c>
      <c r="C55" s="84">
        <v>44391</v>
      </c>
      <c r="D55" s="83">
        <v>45497</v>
      </c>
      <c r="E55" s="3" t="s">
        <v>3985</v>
      </c>
    </row>
    <row r="56" spans="1:5" ht="18.75" customHeight="1" x14ac:dyDescent="0.2">
      <c r="A56" s="1">
        <v>54</v>
      </c>
      <c r="B56" s="3" t="s">
        <v>3986</v>
      </c>
      <c r="C56" s="84">
        <v>44499</v>
      </c>
      <c r="D56" s="83">
        <v>45497</v>
      </c>
      <c r="E56" s="3" t="s">
        <v>3989</v>
      </c>
    </row>
    <row r="57" spans="1:5" ht="18.75" customHeight="1" x14ac:dyDescent="0.2">
      <c r="A57" s="1">
        <v>55</v>
      </c>
      <c r="B57" s="3" t="s">
        <v>3194</v>
      </c>
      <c r="C57" s="84">
        <v>44337</v>
      </c>
      <c r="D57" s="83">
        <v>45497</v>
      </c>
      <c r="E57" s="3" t="s">
        <v>3990</v>
      </c>
    </row>
    <row r="58" spans="1:5" ht="18.75" customHeight="1" x14ac:dyDescent="0.2">
      <c r="A58" s="8">
        <v>56</v>
      </c>
      <c r="B58" s="3" t="s">
        <v>597</v>
      </c>
      <c r="C58" s="84">
        <v>44357</v>
      </c>
      <c r="D58" s="83">
        <v>45497</v>
      </c>
      <c r="E58" s="3"/>
    </row>
    <row r="59" spans="1:5" ht="18.75" customHeight="1" x14ac:dyDescent="0.2">
      <c r="A59" s="1">
        <v>57</v>
      </c>
      <c r="B59" s="3" t="s">
        <v>3994</v>
      </c>
      <c r="C59" s="84">
        <v>44208</v>
      </c>
      <c r="D59" s="83">
        <v>45497</v>
      </c>
      <c r="E59" s="3" t="s">
        <v>3997</v>
      </c>
    </row>
    <row r="60" spans="1:5" ht="18.75" customHeight="1" x14ac:dyDescent="0.2">
      <c r="A60" s="1">
        <v>58</v>
      </c>
      <c r="B60" s="3" t="s">
        <v>1301</v>
      </c>
      <c r="C60" s="84">
        <v>44224</v>
      </c>
      <c r="D60" s="83">
        <v>45497</v>
      </c>
      <c r="E60" s="3" t="s">
        <v>3996</v>
      </c>
    </row>
    <row r="61" spans="1:5" ht="18.75" customHeight="1" x14ac:dyDescent="0.2">
      <c r="A61" s="1">
        <v>59</v>
      </c>
      <c r="B61" s="2" t="s">
        <v>3998</v>
      </c>
      <c r="C61" s="83">
        <v>44405</v>
      </c>
      <c r="D61" s="83">
        <v>45497</v>
      </c>
      <c r="E61" s="2" t="s">
        <v>3997</v>
      </c>
    </row>
    <row r="62" spans="1:5" ht="18.75" customHeight="1" x14ac:dyDescent="0.2">
      <c r="A62" s="8">
        <v>60</v>
      </c>
      <c r="B62" s="2" t="s">
        <v>4001</v>
      </c>
      <c r="C62" s="83">
        <v>43985</v>
      </c>
      <c r="D62" s="83">
        <v>45497</v>
      </c>
    </row>
    <row r="63" spans="1:5" ht="18.75" customHeight="1" x14ac:dyDescent="0.2">
      <c r="A63" s="1">
        <v>61</v>
      </c>
      <c r="B63" s="2" t="s">
        <v>4003</v>
      </c>
      <c r="C63" s="83">
        <v>44141</v>
      </c>
      <c r="D63" s="83">
        <v>45497</v>
      </c>
      <c r="E63" s="2" t="s">
        <v>4004</v>
      </c>
    </row>
    <row r="64" spans="1:5" ht="18.75" customHeight="1" x14ac:dyDescent="0.2">
      <c r="A64" s="1">
        <v>62</v>
      </c>
      <c r="B64" s="2" t="s">
        <v>4006</v>
      </c>
      <c r="C64" s="83">
        <v>44111</v>
      </c>
      <c r="D64" s="83">
        <v>45497</v>
      </c>
      <c r="E64" s="2" t="s">
        <v>4007</v>
      </c>
    </row>
    <row r="65" spans="1:5" ht="18.75" customHeight="1" x14ac:dyDescent="0.2">
      <c r="A65" s="1">
        <v>63</v>
      </c>
      <c r="B65" s="2" t="s">
        <v>4008</v>
      </c>
      <c r="C65" s="83">
        <v>44357</v>
      </c>
      <c r="D65" s="83">
        <v>45497</v>
      </c>
    </row>
    <row r="66" spans="1:5" ht="18.75" customHeight="1" x14ac:dyDescent="0.2">
      <c r="A66" s="8">
        <v>64</v>
      </c>
      <c r="B66" s="2" t="s">
        <v>4009</v>
      </c>
      <c r="C66" s="83">
        <v>44489</v>
      </c>
      <c r="D66" s="83">
        <v>45497</v>
      </c>
      <c r="E66" s="2" t="s">
        <v>4010</v>
      </c>
    </row>
    <row r="67" spans="1:5" ht="18.75" customHeight="1" x14ac:dyDescent="0.2">
      <c r="A67" s="1">
        <v>65</v>
      </c>
      <c r="B67" s="2" t="s">
        <v>4012</v>
      </c>
      <c r="C67" s="83">
        <v>44285</v>
      </c>
      <c r="D67" s="83">
        <v>45497</v>
      </c>
      <c r="E67" s="2" t="s">
        <v>4013</v>
      </c>
    </row>
    <row r="68" spans="1:5" ht="18.75" customHeight="1" x14ac:dyDescent="0.2">
      <c r="A68" s="1">
        <v>66</v>
      </c>
      <c r="B68" s="3" t="s">
        <v>4015</v>
      </c>
      <c r="C68" s="84">
        <v>44274</v>
      </c>
      <c r="D68" s="83">
        <v>45497</v>
      </c>
      <c r="E68" s="3"/>
    </row>
    <row r="69" spans="1:5" ht="18.75" customHeight="1" x14ac:dyDescent="0.2">
      <c r="A69" s="1">
        <v>67</v>
      </c>
      <c r="B69" s="2" t="s">
        <v>4016</v>
      </c>
      <c r="C69" s="83">
        <v>44274</v>
      </c>
      <c r="D69" s="83">
        <v>45497</v>
      </c>
      <c r="E69" s="2" t="s">
        <v>4017</v>
      </c>
    </row>
    <row r="70" spans="1:5" ht="18.75" customHeight="1" x14ac:dyDescent="0.2">
      <c r="A70" s="8">
        <v>68</v>
      </c>
      <c r="B70" s="2" t="s">
        <v>1280</v>
      </c>
      <c r="C70" s="83">
        <v>44209</v>
      </c>
      <c r="D70" s="83">
        <v>45497</v>
      </c>
    </row>
    <row r="71" spans="1:5" ht="18.75" customHeight="1" x14ac:dyDescent="0.2">
      <c r="A71" s="1">
        <v>69</v>
      </c>
      <c r="B71" s="2" t="s">
        <v>4021</v>
      </c>
      <c r="C71" s="83">
        <v>44314</v>
      </c>
      <c r="D71" s="83">
        <v>45497</v>
      </c>
      <c r="E71" s="2" t="s">
        <v>4022</v>
      </c>
    </row>
    <row r="72" spans="1:5" ht="18.75" customHeight="1" x14ac:dyDescent="0.2">
      <c r="A72" s="1">
        <v>70</v>
      </c>
      <c r="B72" s="2" t="s">
        <v>4024</v>
      </c>
      <c r="C72" s="83">
        <v>44340</v>
      </c>
      <c r="D72" s="83">
        <v>45497</v>
      </c>
      <c r="E72" s="2" t="s">
        <v>4025</v>
      </c>
    </row>
    <row r="73" spans="1:5" ht="18.75" customHeight="1" x14ac:dyDescent="0.2">
      <c r="A73" s="1">
        <v>71</v>
      </c>
      <c r="B73" s="3" t="s">
        <v>4027</v>
      </c>
      <c r="C73" s="84">
        <v>44349</v>
      </c>
      <c r="D73" s="83">
        <v>45497</v>
      </c>
      <c r="E73" s="3"/>
    </row>
    <row r="74" spans="1:5" ht="18.75" customHeight="1" x14ac:dyDescent="0.2">
      <c r="A74" s="8">
        <v>72</v>
      </c>
      <c r="B74" s="2" t="s">
        <v>4028</v>
      </c>
      <c r="C74" s="83">
        <v>44270</v>
      </c>
      <c r="D74" s="83">
        <v>45497</v>
      </c>
      <c r="E74" s="2" t="s">
        <v>4029</v>
      </c>
    </row>
    <row r="75" spans="1:5" ht="18.75" customHeight="1" x14ac:dyDescent="0.2">
      <c r="A75" s="1">
        <v>73</v>
      </c>
      <c r="B75" s="2" t="s">
        <v>4031</v>
      </c>
      <c r="C75" s="83">
        <v>44419</v>
      </c>
      <c r="D75" s="83">
        <v>45497</v>
      </c>
      <c r="E75" s="2" t="s">
        <v>4032</v>
      </c>
    </row>
    <row r="76" spans="1:5" ht="18.75" customHeight="1" x14ac:dyDescent="0.2">
      <c r="A76" s="1">
        <v>74</v>
      </c>
      <c r="B76" s="2" t="s">
        <v>4034</v>
      </c>
      <c r="C76" s="83">
        <v>44132</v>
      </c>
      <c r="D76" s="83">
        <v>45497</v>
      </c>
      <c r="E76" s="2" t="s">
        <v>4035</v>
      </c>
    </row>
    <row r="77" spans="1:5" ht="18.75" customHeight="1" x14ac:dyDescent="0.2">
      <c r="A77" s="1">
        <v>75</v>
      </c>
      <c r="B77" s="2" t="s">
        <v>4036</v>
      </c>
      <c r="C77" s="83">
        <v>43993</v>
      </c>
      <c r="D77" s="83">
        <v>45498</v>
      </c>
      <c r="E77" s="2" t="s">
        <v>4037</v>
      </c>
    </row>
    <row r="78" spans="1:5" ht="18.75" customHeight="1" x14ac:dyDescent="0.2">
      <c r="A78" s="8">
        <v>76</v>
      </c>
      <c r="B78" s="2" t="s">
        <v>4038</v>
      </c>
      <c r="C78" s="83">
        <v>43381</v>
      </c>
      <c r="D78" s="83">
        <v>45498</v>
      </c>
      <c r="E78" s="2" t="s">
        <v>4039</v>
      </c>
    </row>
    <row r="79" spans="1:5" ht="18.75" customHeight="1" x14ac:dyDescent="0.2">
      <c r="A79" s="1">
        <v>77</v>
      </c>
      <c r="B79" s="2" t="s">
        <v>4041</v>
      </c>
      <c r="C79" s="83">
        <v>43507</v>
      </c>
      <c r="D79" s="83">
        <v>45498</v>
      </c>
      <c r="E79" s="2" t="s">
        <v>4042</v>
      </c>
    </row>
    <row r="80" spans="1:5" ht="18.75" customHeight="1" x14ac:dyDescent="0.2">
      <c r="A80" s="1">
        <v>78</v>
      </c>
      <c r="B80" s="2" t="s">
        <v>1262</v>
      </c>
      <c r="C80" s="83">
        <v>44162</v>
      </c>
      <c r="D80" s="83">
        <v>45498</v>
      </c>
      <c r="E80" s="2" t="s">
        <v>4043</v>
      </c>
    </row>
    <row r="81" spans="1:5" ht="18.75" customHeight="1" x14ac:dyDescent="0.2">
      <c r="A81" s="1">
        <v>79</v>
      </c>
      <c r="B81" s="2" t="s">
        <v>4045</v>
      </c>
      <c r="C81" s="83">
        <v>44245</v>
      </c>
      <c r="D81" s="83">
        <v>45498</v>
      </c>
      <c r="E81" s="2" t="s">
        <v>4046</v>
      </c>
    </row>
    <row r="82" spans="1:5" ht="18.75" customHeight="1" x14ac:dyDescent="0.2">
      <c r="A82" s="8">
        <v>80</v>
      </c>
      <c r="B82" s="2" t="s">
        <v>2834</v>
      </c>
      <c r="C82" s="83" t="s">
        <v>4048</v>
      </c>
      <c r="D82" s="83">
        <v>45498</v>
      </c>
      <c r="E82" s="49" t="s">
        <v>4049</v>
      </c>
    </row>
    <row r="83" spans="1:5" ht="18.75" customHeight="1" x14ac:dyDescent="0.2">
      <c r="A83" s="1">
        <v>81</v>
      </c>
      <c r="B83" s="2" t="s">
        <v>896</v>
      </c>
      <c r="C83" s="83">
        <v>44134</v>
      </c>
      <c r="D83" s="83">
        <v>45498</v>
      </c>
    </row>
    <row r="84" spans="1:5" ht="18.75" customHeight="1" x14ac:dyDescent="0.2">
      <c r="A84" s="1">
        <v>82</v>
      </c>
      <c r="B84" s="2" t="s">
        <v>4052</v>
      </c>
      <c r="C84" s="83" t="s">
        <v>4053</v>
      </c>
      <c r="D84" s="83">
        <v>45498</v>
      </c>
      <c r="E84" s="2" t="s">
        <v>4054</v>
      </c>
    </row>
    <row r="85" spans="1:5" ht="18.75" customHeight="1" x14ac:dyDescent="0.2">
      <c r="A85" s="1">
        <v>83</v>
      </c>
      <c r="B85" s="2" t="s">
        <v>691</v>
      </c>
      <c r="C85" s="83">
        <v>44017</v>
      </c>
      <c r="D85" s="83">
        <v>45498</v>
      </c>
      <c r="E85" s="2" t="s">
        <v>4056</v>
      </c>
    </row>
    <row r="86" spans="1:5" ht="18.75" customHeight="1" x14ac:dyDescent="0.2">
      <c r="A86" s="8">
        <v>84</v>
      </c>
      <c r="B86" s="103" t="s">
        <v>4060</v>
      </c>
      <c r="C86" s="83">
        <v>44256</v>
      </c>
      <c r="D86" s="83">
        <v>45498</v>
      </c>
      <c r="E86" s="2" t="s">
        <v>4076</v>
      </c>
    </row>
    <row r="87" spans="1:5" ht="18.75" customHeight="1" x14ac:dyDescent="0.2">
      <c r="A87" s="1">
        <v>85</v>
      </c>
      <c r="B87" s="2" t="s">
        <v>4062</v>
      </c>
      <c r="C87" s="83">
        <v>43902</v>
      </c>
      <c r="D87" s="83">
        <v>45499</v>
      </c>
      <c r="E87" s="2" t="s">
        <v>4063</v>
      </c>
    </row>
    <row r="88" spans="1:5" ht="18.75" customHeight="1" x14ac:dyDescent="0.2">
      <c r="A88" s="1">
        <v>86</v>
      </c>
      <c r="B88" s="2" t="s">
        <v>3400</v>
      </c>
      <c r="C88" s="83">
        <v>44371</v>
      </c>
      <c r="D88" s="83">
        <v>45499</v>
      </c>
    </row>
    <row r="89" spans="1:5" ht="18.75" customHeight="1" x14ac:dyDescent="0.2">
      <c r="A89" s="1">
        <v>87</v>
      </c>
      <c r="B89" s="2" t="s">
        <v>4066</v>
      </c>
      <c r="C89" s="83" t="s">
        <v>3934</v>
      </c>
      <c r="D89" s="83">
        <v>45499</v>
      </c>
      <c r="E89" s="2" t="s">
        <v>4067</v>
      </c>
    </row>
    <row r="90" spans="1:5" ht="18.75" customHeight="1" x14ac:dyDescent="0.2">
      <c r="A90" s="8">
        <v>88</v>
      </c>
      <c r="B90" s="2" t="s">
        <v>4069</v>
      </c>
      <c r="C90" s="83">
        <v>44368</v>
      </c>
      <c r="D90" s="83">
        <v>45499</v>
      </c>
      <c r="E90" s="2" t="s">
        <v>4070</v>
      </c>
    </row>
    <row r="91" spans="1:5" ht="18.75" customHeight="1" x14ac:dyDescent="0.2">
      <c r="A91" s="1">
        <v>89</v>
      </c>
      <c r="B91" s="2" t="s">
        <v>4072</v>
      </c>
      <c r="C91" s="83">
        <v>44448</v>
      </c>
      <c r="D91" s="83">
        <v>45499</v>
      </c>
      <c r="E91" s="2" t="s">
        <v>4073</v>
      </c>
    </row>
    <row r="92" spans="1:5" ht="18.75" customHeight="1" x14ac:dyDescent="0.2">
      <c r="A92" s="1">
        <v>90</v>
      </c>
      <c r="B92" s="2" t="s">
        <v>1340</v>
      </c>
      <c r="C92" s="83">
        <v>44036</v>
      </c>
      <c r="D92" s="83">
        <v>45513</v>
      </c>
      <c r="E92" s="2" t="s">
        <v>4077</v>
      </c>
    </row>
    <row r="93" spans="1:5" ht="18.75" customHeight="1" x14ac:dyDescent="0.2">
      <c r="A93" s="1">
        <v>91</v>
      </c>
      <c r="B93" s="1" t="s">
        <v>4079</v>
      </c>
      <c r="C93" s="82">
        <v>44412</v>
      </c>
      <c r="D93" s="83">
        <v>45499</v>
      </c>
      <c r="E93" s="2" t="s">
        <v>4080</v>
      </c>
    </row>
    <row r="94" spans="1:5" ht="18.75" customHeight="1" x14ac:dyDescent="0.2">
      <c r="A94" s="8">
        <v>92</v>
      </c>
      <c r="B94" s="2" t="s">
        <v>4084</v>
      </c>
      <c r="C94" s="83">
        <v>44175</v>
      </c>
      <c r="D94" s="83">
        <v>45513</v>
      </c>
      <c r="E94" s="2" t="s">
        <v>4083</v>
      </c>
    </row>
    <row r="95" spans="1:5" ht="18.75" customHeight="1" x14ac:dyDescent="0.2">
      <c r="A95" s="1">
        <v>93</v>
      </c>
      <c r="B95" s="8" t="s">
        <v>4086</v>
      </c>
      <c r="C95" s="88">
        <v>44483</v>
      </c>
      <c r="D95" s="83">
        <v>45499</v>
      </c>
      <c r="E95" s="89" t="s">
        <v>4087</v>
      </c>
    </row>
    <row r="96" spans="1:5" ht="18.75" customHeight="1" x14ac:dyDescent="0.2">
      <c r="A96" s="1">
        <v>94</v>
      </c>
      <c r="B96" s="1" t="s">
        <v>4089</v>
      </c>
      <c r="C96" s="82">
        <v>43993</v>
      </c>
      <c r="D96" s="88">
        <v>45499</v>
      </c>
      <c r="E96" s="88" t="s">
        <v>4090</v>
      </c>
    </row>
    <row r="97" spans="1:5" ht="18.75" customHeight="1" x14ac:dyDescent="0.2">
      <c r="A97" s="1">
        <v>95</v>
      </c>
      <c r="B97" s="89" t="s">
        <v>4092</v>
      </c>
      <c r="C97" s="90">
        <v>44148</v>
      </c>
      <c r="D97" s="83">
        <v>45513</v>
      </c>
      <c r="E97" s="13"/>
    </row>
    <row r="98" spans="1:5" ht="18.75" customHeight="1" x14ac:dyDescent="0.2">
      <c r="A98" s="8">
        <v>96</v>
      </c>
      <c r="B98" s="1" t="s">
        <v>4094</v>
      </c>
      <c r="C98" s="82">
        <v>44119</v>
      </c>
      <c r="D98" s="83">
        <v>45499</v>
      </c>
      <c r="E98" s="2" t="s">
        <v>4095</v>
      </c>
    </row>
    <row r="99" spans="1:5" ht="18.75" customHeight="1" x14ac:dyDescent="0.2">
      <c r="A99" s="1">
        <v>97</v>
      </c>
      <c r="B99" s="2" t="s">
        <v>4097</v>
      </c>
      <c r="C99" s="83">
        <v>44386</v>
      </c>
      <c r="D99" s="83">
        <v>45513</v>
      </c>
      <c r="E99" s="2" t="s">
        <v>4098</v>
      </c>
    </row>
    <row r="100" spans="1:5" ht="18.75" customHeight="1" x14ac:dyDescent="0.2">
      <c r="A100" s="1">
        <v>98</v>
      </c>
      <c r="B100" s="2" t="s">
        <v>4100</v>
      </c>
      <c r="C100" s="83">
        <v>43869</v>
      </c>
      <c r="D100" s="83">
        <v>45513</v>
      </c>
    </row>
    <row r="101" spans="1:5" ht="18.75" customHeight="1" x14ac:dyDescent="0.2">
      <c r="A101" s="1">
        <v>99</v>
      </c>
      <c r="B101" s="89" t="s">
        <v>4102</v>
      </c>
      <c r="C101" s="90">
        <v>44279</v>
      </c>
      <c r="D101" s="83">
        <v>45513</v>
      </c>
      <c r="E101" s="89" t="s">
        <v>4103</v>
      </c>
    </row>
    <row r="102" spans="1:5" ht="18.75" customHeight="1" x14ac:dyDescent="0.2">
      <c r="A102" s="8">
        <v>100</v>
      </c>
      <c r="B102" s="2" t="s">
        <v>4105</v>
      </c>
      <c r="C102" s="83">
        <v>44361</v>
      </c>
      <c r="D102" s="83">
        <v>45573</v>
      </c>
      <c r="E102" s="2" t="s">
        <v>4106</v>
      </c>
    </row>
    <row r="103" spans="1:5" ht="18.75" customHeight="1" x14ac:dyDescent="0.2">
      <c r="A103" s="1">
        <v>101</v>
      </c>
      <c r="B103" s="2" t="s">
        <v>4108</v>
      </c>
      <c r="C103" s="83">
        <v>44306</v>
      </c>
      <c r="D103" s="83">
        <v>45573</v>
      </c>
      <c r="E103" s="2" t="s">
        <v>4109</v>
      </c>
    </row>
  </sheetData>
  <hyperlinks>
    <hyperlink ref="B86" r:id="rId1" xr:uid="{149F66EE-4D5A-47CC-BCEA-E72612D64266}"/>
    <hyperlink ref="B17" r:id="rId2" xr:uid="{08789F02-3D8A-4AA4-9B37-C4CD9047BD07}"/>
    <hyperlink ref="B16" r:id="rId3" xr:uid="{D41080F1-9772-4E19-A742-ECA117AE3321}"/>
  </hyperlinks>
  <pageMargins left="0.7" right="0.7" top="0.75" bottom="0.75" header="0.3" footer="0.3"/>
  <pageSetup paperSize="9"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kument" ma:contentTypeID="0x0101005BCB9ECB3B0DFE42A61CA68338208089" ma:contentTypeVersion="10" ma:contentTypeDescription="Ein neues Dokument erstellen." ma:contentTypeScope="" ma:versionID="32c5804f83d42255678497615c7cdf27">
  <xsd:schema xmlns:xsd="http://www.w3.org/2001/XMLSchema" xmlns:xs="http://www.w3.org/2001/XMLSchema" xmlns:p="http://schemas.microsoft.com/office/2006/metadata/properties" xmlns:ns2="938da60d-4642-413d-85aa-e98b25a009ac" xmlns:ns3="9baeeacb-e513-4050-b326-d2145e9eb1ca" targetNamespace="http://schemas.microsoft.com/office/2006/metadata/properties" ma:root="true" ma:fieldsID="275f817f2ad96d0554193fb5d0e68d48" ns2:_="" ns3:_="">
    <xsd:import namespace="938da60d-4642-413d-85aa-e98b25a009ac"/>
    <xsd:import namespace="9baeeacb-e513-4050-b326-d2145e9eb1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8da60d-4642-413d-85aa-e98b25a009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1a14e36f-e084-4b04-bba6-548b1473dca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aeeacb-e513-4050-b326-d2145e9eb1c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96d2ee-de58-4e75-a6ca-1ac75aeec518}" ma:internalName="TaxCatchAll" ma:showField="CatchAllData" ma:web="9baeeacb-e513-4050-b326-d2145e9eb1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9baeeacb-e513-4050-b326-d2145e9eb1ca" xsi:nil="true"/>
    <lcf76f155ced4ddcb4097134ff3c332f xmlns="938da60d-4642-413d-85aa-e98b25a009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767EE7F-0B04-4A37-B597-252238AC722E}">
  <ds:schemaRefs>
    <ds:schemaRef ds:uri="http://schemas.microsoft.com/DataMashup"/>
  </ds:schemaRefs>
</ds:datastoreItem>
</file>

<file path=customXml/itemProps2.xml><?xml version="1.0" encoding="utf-8"?>
<ds:datastoreItem xmlns:ds="http://schemas.openxmlformats.org/officeDocument/2006/customXml" ds:itemID="{4175B452-16C7-4471-BA2E-B76FA6758E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a60d-4642-413d-85aa-e98b25a009ac"/>
    <ds:schemaRef ds:uri="9baeeacb-e513-4050-b326-d2145e9eb1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2B3D9F5-F898-448E-B04E-25AAC6AD394C}">
  <ds:schemaRefs>
    <ds:schemaRef ds:uri="http://schemas.microsoft.com/sharepoint/v3/contenttype/forms"/>
  </ds:schemaRefs>
</ds:datastoreItem>
</file>

<file path=customXml/itemProps4.xml><?xml version="1.0" encoding="utf-8"?>
<ds:datastoreItem xmlns:ds="http://schemas.openxmlformats.org/officeDocument/2006/customXml" ds:itemID="{E9741AFF-A668-4F78-96AE-3581FE7F7CAF}">
  <ds:schemaRefs>
    <ds:schemaRef ds:uri="http://schemas.microsoft.com/office/2006/metadata/properties"/>
    <ds:schemaRef ds:uri="http://schemas.microsoft.com/office/infopath/2007/PartnerControls"/>
    <ds:schemaRef ds:uri="9baeeacb-e513-4050-b326-d2145e9eb1ca"/>
    <ds:schemaRef ds:uri="938da60d-4642-413d-85aa-e98b25a009ac"/>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Notes</vt:lpstr>
      <vt:lpstr>Definitions and assumptions</vt:lpstr>
      <vt:lpstr>Projects</vt:lpstr>
      <vt:lpstr>References</vt:lpstr>
      <vt:lpstr>Lists</vt:lpstr>
      <vt:lpstr>Countries</vt:lpstr>
      <vt:lpstr>References (quality check)</vt:lpstr>
      <vt:lpstr>ElectrolysisConvF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2019-06-13T14:26:11Z</dcterms:created>
  <dcterms:modified xsi:type="dcterms:W3CDTF">2026-09-16T08:43:01Z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0x0101005BCB9ECB3B0DFE42A61CA68338208089</vt:lpwstr>
  </property>
  <property fmtid="{D5CDD505-2E9C-101B-9397-08002B2CF9AE}" pid="3" name="MediaServiceImageTags">
    <vt:lpwstr/>
  </property>
  <property fmtid="{D5CDD505-2E9C-101B-9397-08002B2CF9AE}" pid="4" name="MSIP_Label_83303d7c-e5a3-4cc8-90eb-69bfd7570ac4_Enabled">
    <vt:lpwstr>true</vt:lpwstr>
  </property>
  <property fmtid="{D5CDD505-2E9C-101B-9397-08002B2CF9AE}" pid="5" name="MSIP_Label_83303d7c-e5a3-4cc8-90eb-69bfd7570ac4_SetDate">
    <vt:lpwstr>2026-09-16T08:42:36Z</vt:lpwstr>
  </property>
  <property fmtid="{D5CDD505-2E9C-101B-9397-08002B2CF9AE}" pid="6" name="MSIP_Label_83303d7c-e5a3-4cc8-90eb-69bfd7570ac4_Method">
    <vt:lpwstr>Standard</vt:lpwstr>
  </property>
  <property fmtid="{D5CDD505-2E9C-101B-9397-08002B2CF9AE}" pid="7" name="MSIP_Label_83303d7c-e5a3-4cc8-90eb-69bfd7570ac4_Name">
    <vt:lpwstr>Client Confidential Information-SLV1</vt:lpwstr>
  </property>
  <property fmtid="{D5CDD505-2E9C-101B-9397-08002B2CF9AE}" pid="8" name="MSIP_Label_83303d7c-e5a3-4cc8-90eb-69bfd7570ac4_SiteId">
    <vt:lpwstr>cc8936bc-9382-4fff-87cb-6f55999549e7</vt:lpwstr>
  </property>
  <property fmtid="{D5CDD505-2E9C-101B-9397-08002B2CF9AE}" pid="9" name="MSIP_Label_83303d7c-e5a3-4cc8-90eb-69bfd7570ac4_ActionId">
    <vt:lpwstr>8c35a8f1-44e8-4e1c-a1c3-7bf1b3554108</vt:lpwstr>
  </property>
  <property fmtid="{D5CDD505-2E9C-101B-9397-08002B2CF9AE}" pid="10" name="MSIP_Label_83303d7c-e5a3-4cc8-90eb-69bfd7570ac4_ContentBits">
    <vt:lpwstr>0</vt:lpwstr>
  </property>
  <property fmtid="{D5CDD505-2E9C-101B-9397-08002B2CF9AE}" pid="11" name="MSIP_Label_83303d7c-e5a3-4cc8-90eb-69bfd7570ac4_Tag">
    <vt:lpwstr>50, 3, 0, 1</vt:lpwstr>
  </property>
</Properties>
</file>