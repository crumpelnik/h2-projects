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u.sharepoint.com/sites/MasterThesis_hkmy77/Freigegebene Dokumente/General/03_Data/04_Variable Selection/Variables prepped/"/>
    </mc:Choice>
  </mc:AlternateContent>
  <xr:revisionPtr revIDLastSave="0" documentId="8_{F61E9726-962D-434E-80CA-6ACE2F6080AB}" xr6:coauthVersionLast="47" xr6:coauthVersionMax="47" xr10:uidLastSave="{00000000-0000-0000-0000-000000000000}"/>
  <bookViews>
    <workbookView xWindow="-120" yWindow="-18120" windowWidth="29040" windowHeight="17520" activeTab="1" xr2:uid="{2397E036-AEFE-42DC-AB92-00F852FBC80D}"/>
  </bookViews>
  <sheets>
    <sheet name="Output&gt;&gt;" sheetId="5" r:id="rId1"/>
    <sheet name="Output" sheetId="6" r:id="rId2"/>
    <sheet name="Transformed&gt;&gt;" sheetId="3" r:id="rId3"/>
    <sheet name="Ed_CCR" sheetId="4" r:id="rId4"/>
    <sheet name="Raw&gt;&gt;" sheetId="2" r:id="rId5"/>
    <sheet name="Country Complexity Rankings 202" sheetId="1" r:id="rId6"/>
  </sheets>
  <calcPr calcId="0"/>
</workbook>
</file>

<file path=xl/calcChain.xml><?xml version="1.0" encoding="utf-8"?>
<calcChain xmlns="http://schemas.openxmlformats.org/spreadsheetml/2006/main">
  <c r="D97" i="6" l="1"/>
  <c r="D34" i="6"/>
  <c r="D44" i="6"/>
  <c r="D54" i="6"/>
  <c r="D107" i="6"/>
  <c r="D90" i="6"/>
  <c r="D86" i="6"/>
  <c r="D81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G112" i="6" s="1"/>
  <c r="D22" i="6"/>
  <c r="D23" i="6"/>
  <c r="D24" i="6"/>
  <c r="D25" i="6"/>
  <c r="D26" i="6"/>
  <c r="D27" i="6"/>
  <c r="D28" i="6"/>
  <c r="D29" i="6"/>
  <c r="D30" i="6"/>
  <c r="D31" i="6"/>
  <c r="D32" i="6"/>
  <c r="D33" i="6"/>
  <c r="D35" i="6"/>
  <c r="D36" i="6"/>
  <c r="D37" i="6"/>
  <c r="D38" i="6"/>
  <c r="D39" i="6"/>
  <c r="D40" i="6"/>
  <c r="D41" i="6"/>
  <c r="D42" i="6"/>
  <c r="D43" i="6"/>
  <c r="D45" i="6"/>
  <c r="D46" i="6"/>
  <c r="D47" i="6"/>
  <c r="D48" i="6"/>
  <c r="D49" i="6"/>
  <c r="D50" i="6"/>
  <c r="D51" i="6"/>
  <c r="D52" i="6"/>
  <c r="D53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2" i="6"/>
  <c r="D83" i="6"/>
  <c r="D84" i="6"/>
  <c r="D85" i="6"/>
  <c r="D87" i="6"/>
  <c r="D88" i="6"/>
  <c r="D89" i="6"/>
  <c r="D91" i="6"/>
  <c r="D92" i="6"/>
  <c r="D93" i="6"/>
  <c r="D94" i="6"/>
  <c r="D95" i="6"/>
  <c r="D96" i="6"/>
  <c r="D98" i="6"/>
  <c r="D99" i="6"/>
  <c r="D100" i="6"/>
  <c r="D101" i="6"/>
  <c r="D102" i="6"/>
  <c r="D103" i="6"/>
  <c r="D104" i="6"/>
  <c r="D105" i="6"/>
  <c r="D106" i="6"/>
  <c r="D7" i="6"/>
  <c r="F112" i="6"/>
  <c r="G111" i="6"/>
  <c r="F111" i="6"/>
  <c r="H110" i="6"/>
  <c r="G110" i="6"/>
  <c r="F110" i="6"/>
  <c r="H109" i="6"/>
  <c r="G109" i="6"/>
  <c r="G108" i="6"/>
  <c r="F108" i="6"/>
  <c r="D109" i="6" l="1"/>
  <c r="D108" i="6"/>
  <c r="D111" i="6"/>
  <c r="D112" i="6"/>
  <c r="D110" i="6"/>
</calcChain>
</file>

<file path=xl/sharedStrings.xml><?xml version="1.0" encoding="utf-8"?>
<sst xmlns="http://schemas.openxmlformats.org/spreadsheetml/2006/main" count="527" uniqueCount="422">
  <si>
    <t>ECI Rank,"Year","Country","ECI","Change Over 5 Years"</t>
  </si>
  <si>
    <t>1,"2024","Japan","1.6889353","0"</t>
  </si>
  <si>
    <t>2,"2024","Switzerland","1.5791347","1"</t>
  </si>
  <si>
    <t>3,"2024","Taiwan","1.5736563","1"</t>
  </si>
  <si>
    <t>4,"2024","South Korea","1.5620726","-2"</t>
  </si>
  <si>
    <t>5,"2024","Singapore","1.4509376","0"</t>
  </si>
  <si>
    <t>6,"2024","Germany","1.3551035","0"</t>
  </si>
  <si>
    <t>7,"2024","Czechia","1.3334634","0"</t>
  </si>
  <si>
    <t>8,"2024","Israel","1.3201844","11"</t>
  </si>
  <si>
    <t>9,"2024","Slovenia","1.2816952","1"</t>
  </si>
  <si>
    <t>10,"2024","China","1.2594001","3"</t>
  </si>
  <si>
    <t>11,"2024","Austria","1.2525077","-2"</t>
  </si>
  <si>
    <t>12,"2024","United Kingdom","1.2450106","0"</t>
  </si>
  <si>
    <t>13,"2024","Sweden","1.2342117","-5"</t>
  </si>
  <si>
    <t>14,"2024","Ireland","1.1835933","2"</t>
  </si>
  <si>
    <t>15,"2024","Hungary","1.164888","0"</t>
  </si>
  <si>
    <t>16,"2024","Finland","1.1517107","-5"</t>
  </si>
  <si>
    <t>17,"2024","Slovakia","1.1279026","0"</t>
  </si>
  <si>
    <t>18,"2024","Italy","1.1183401","2"</t>
  </si>
  <si>
    <t>19,"2024","Hong Kong","1.1119052","3"</t>
  </si>
  <si>
    <t>20,"2024","United States of America","1.1067898","-6"</t>
  </si>
  <si>
    <t>21,"2024","France","1.0865098","-3"</t>
  </si>
  <si>
    <t>22,"2024","Denmark","1.0182459","2"</t>
  </si>
  <si>
    <t>23,"2024","Romania","1.0010595","3"</t>
  </si>
  <si>
    <t>24,"2024","Belgium","0.99210274","-3"</t>
  </si>
  <si>
    <t>25,"2024","Poland","0.9900604","-2"</t>
  </si>
  <si>
    <t>26,"2024","Netherlands","0.94748455","2"</t>
  </si>
  <si>
    <t>27,"2024","Mexico","0.93636703","3"</t>
  </si>
  <si>
    <t>28,"2024","Estonia","0.88679475","-3"</t>
  </si>
  <si>
    <t>29,"2024","Lithuania","0.85617","2"</t>
  </si>
  <si>
    <t>30,"2024","Croatia","0.8321356","5"</t>
  </si>
  <si>
    <t>31,"2024","Spain","0.8229609","5"</t>
  </si>
  <si>
    <t>32,"2024","Malaysia","0.81823766","-5"</t>
  </si>
  <si>
    <t>33,"2024","Bulgaria","0.7989831","8"</t>
  </si>
  <si>
    <t>34,"2024","Thailand","0.7891638","-2"</t>
  </si>
  <si>
    <t>35,"2024","Canada","0.7871624","-2"</t>
  </si>
  <si>
    <t>36,"2024","Belarus","0.78560585","-2"</t>
  </si>
  <si>
    <t>37,"2024","Serbia","0.772765","7"</t>
  </si>
  <si>
    <t>38,"2024","Latvia","0.7616722","-1"</t>
  </si>
  <si>
    <t>39,"2024","Norway","0.7417068","-10"</t>
  </si>
  <si>
    <t>40,"2024","Portugal","0.72070694","-1"</t>
  </si>
  <si>
    <t>41,"2024","India","0.71645314","1"</t>
  </si>
  <si>
    <t>42,"2024","Turkiye","0.70451224","8"</t>
  </si>
  <si>
    <t>43,"2024","Philippines","0.6883129","-3"</t>
  </si>
  <si>
    <t>44,"2024","Bosnia and Herzegovina","0.6754455","7"</t>
  </si>
  <si>
    <t>45,"2024","Vietnam","0.62897235","10"</t>
  </si>
  <si>
    <t>46,"2024","Armenia","0.58100635","23"</t>
  </si>
  <si>
    <t>47,"2024","Tunisia","0.54655373","9"</t>
  </si>
  <si>
    <t>48,"2024","Greece","0.52144676","11"</t>
  </si>
  <si>
    <t>49,"2024","New Zealand","0.51546836","4"</t>
  </si>
  <si>
    <t>50,"2024","Saudi Arabia","0.49866855","-4"</t>
  </si>
  <si>
    <t>51,"2024","Cyprus","0.47239968","-2"</t>
  </si>
  <si>
    <t>52,"2024","North Macedonia","0.42283884","13"</t>
  </si>
  <si>
    <t>53,"2024","Ukraine","0.40039277","-5"</t>
  </si>
  <si>
    <t>54,"2024","Lebanon","0.39053303","3"</t>
  </si>
  <si>
    <t>55,"2024","Kazakhstan","0.37895516","27"</t>
  </si>
  <si>
    <t>56,"2024","Brazil","0.36996418","-4"</t>
  </si>
  <si>
    <t>57,"2024","United Arab Emirates","0.3694089","-12"</t>
  </si>
  <si>
    <t>58,"2024","South Africa","0.36877212","-4"</t>
  </si>
  <si>
    <t>59,"2024","El Salvador","0.35544133","14"</t>
  </si>
  <si>
    <t>60,"2024","Panama","0.35527837","-17"</t>
  </si>
  <si>
    <t>61,"2024","Costa Rica","0.338835","-1"</t>
  </si>
  <si>
    <t>62,"2024","Eswatini","0.30447593","0"</t>
  </si>
  <si>
    <t>63,"2024","Georgia","0.2973472","-2"</t>
  </si>
  <si>
    <t>64,"2024","Mauritius","0.29317433","4"</t>
  </si>
  <si>
    <t>65,"2024","Bahrain","0.26701742","-18"</t>
  </si>
  <si>
    <t>66,"2024","Kuwait","0.26412883","-3"</t>
  </si>
  <si>
    <t>67,"2024","Russia","0.24730694","-29"</t>
  </si>
  <si>
    <t>68,"2024","Colombia","0.24485011","-2"</t>
  </si>
  <si>
    <t>69,"2024","Indonesia","0.23433408","-11"</t>
  </si>
  <si>
    <t>70,"2024","Uzbekistan","0.22132325","23"</t>
  </si>
  <si>
    <t>71,"2024","Moldova","0.21007992","4"</t>
  </si>
  <si>
    <t>72,"2024","Kyrgyzstan","0.20459792","8"</t>
  </si>
  <si>
    <t>73,"2024","Uruguay","0.16487212","4"</t>
  </si>
  <si>
    <t>74,"2024","Australia","0.11708149","-10"</t>
  </si>
  <si>
    <t>75,"2024","Jordan","0.09285252","-8"</t>
  </si>
  <si>
    <t>76,"2024","Egypt","0.075096525","3"</t>
  </si>
  <si>
    <t>77,"2024","Guatemala","0.07174448","7"</t>
  </si>
  <si>
    <t>78,"2024","Qatar","0.06141295","-6"</t>
  </si>
  <si>
    <t>79,"2024","Dominican Republic","0.05394729","2"</t>
  </si>
  <si>
    <t>80,"2024","Trinidad and Tobago","0.04897837","-10"</t>
  </si>
  <si>
    <t>81,"2024","Albania","0.04684949","6"</t>
  </si>
  <si>
    <t>82,"2024","Cambodia","0.018094752","12"</t>
  </si>
  <si>
    <t>83,"2024","Sri Lanka","-0.0048828516","3"</t>
  </si>
  <si>
    <t>84,"2024","Argentina","-0.013300096","-13"</t>
  </si>
  <si>
    <t>85,"2024","Chile","-0.035130363","-9"</t>
  </si>
  <si>
    <t>86,"2024","Morocco","-0.064083286","2"</t>
  </si>
  <si>
    <t>87,"2024","Iran","-0.06532932","-13"</t>
  </si>
  <si>
    <t>88,"2024","Nepal","-0.11577082","-5"</t>
  </si>
  <si>
    <t>89,"2024","Pakistan","-0.22778231","3"</t>
  </si>
  <si>
    <t>90,"2024","Paraguay","-0.23993662","8"</t>
  </si>
  <si>
    <t>91,"2024","Kenya","-0.26571292","-2"</t>
  </si>
  <si>
    <t>92,"2024","Honduras","-0.29078835","10"</t>
  </si>
  <si>
    <t>93,"2024","Botswana","-0.30379817","-8"</t>
  </si>
  <si>
    <t>94,"2024","Jamaica","-0.34563586","-3"</t>
  </si>
  <si>
    <t>95,"2024","Azerbaijan","-0.3912288","8"</t>
  </si>
  <si>
    <t>96,"2024","Bangladesh","-0.44372585","11"</t>
  </si>
  <si>
    <t>97,"2024","Uganda","-0.5177964","8"</t>
  </si>
  <si>
    <t>98,"2024","Senegal","-0.5190409","8"</t>
  </si>
  <si>
    <t>99,"2024","Namibia","-0.52119786","-9"</t>
  </si>
  <si>
    <t>100,"2024","Oman","-0.53910685","-22"</t>
  </si>
  <si>
    <t>101,"2024","Haiti","-0.57663596","26"</t>
  </si>
  <si>
    <t>102,"2024","Peru","-0.59021354","-2"</t>
  </si>
  <si>
    <t>103,"2024","Togo","-0.637718","18"</t>
  </si>
  <si>
    <t>104,"2024","Zambia","-0.6643499","-7"</t>
  </si>
  <si>
    <t>105,"2024","Burkina Faso","-0.6999945","9"</t>
  </si>
  <si>
    <t>106,"2024","Angola","-0.7400929","11"</t>
  </si>
  <si>
    <t>107,"2024","Niger","-0.75277317","-6"</t>
  </si>
  <si>
    <t>108,"2024","Laos","-0.77424794","1"</t>
  </si>
  <si>
    <t>109,"2024","Ecuador","-0.78992283","3"</t>
  </si>
  <si>
    <t>110,"2024","Afghanistan","-0.7915979","15"</t>
  </si>
  <si>
    <t>111,"2024","Nicaragua","-0.89683235","13"</t>
  </si>
  <si>
    <t>112,"2024","Côte d'Ivoire","-0.9026259","8"</t>
  </si>
  <si>
    <t>113,"2024","Tanzania","-0.9070476","-5"</t>
  </si>
  <si>
    <t>114,"2024","Benin","-0.92142355","12"</t>
  </si>
  <si>
    <t>115,"2024","Mali","-0.9524371","-16"</t>
  </si>
  <si>
    <t>116,"2024","Malawi","-0.9732953","6"</t>
  </si>
  <si>
    <t>117,"2024","Myanmar","-0.99655575","6"</t>
  </si>
  <si>
    <t>118,"2024","Algeria","-1.0560354","0"</t>
  </si>
  <si>
    <t>119,"2024","Madagascar","-1.0754285","14"</t>
  </si>
  <si>
    <t>120,"2024","Rwanda","-1.0760005","-25"</t>
  </si>
  <si>
    <t>121,"2024","Zimbabwe","-1.0843755","-2"</t>
  </si>
  <si>
    <t>122,"2024","Cuba","-1.0945541","-26"</t>
  </si>
  <si>
    <t>123,"2024","Bolivia","-1.0967224","8"</t>
  </si>
  <si>
    <t>124,"2024","Ghana","-1.1063117","-11"</t>
  </si>
  <si>
    <t>125,"2024","Ethiopia","-1.1086562","-9"</t>
  </si>
  <si>
    <t>126,"2024","Turkmenistan","-1.1777747","3"</t>
  </si>
  <si>
    <t>127,"2024","Mozambique","-1.2456417","7"</t>
  </si>
  <si>
    <t>128,"2024","Mauritania","-1.2665231","10"</t>
  </si>
  <si>
    <t>129,"2024","Tajikistan","-1.4317952","-19"</t>
  </si>
  <si>
    <t>130,"2024","Iraq","-1.5517099","7"</t>
  </si>
  <si>
    <t>131,"2024","Mongolia","-1.552355","-1"</t>
  </si>
  <si>
    <t>132,"2024","Cameroon","-1.5909857","-4"</t>
  </si>
  <si>
    <t>133,"2024","Venezuela","-1.6307532","-22"</t>
  </si>
  <si>
    <t>134,"2024","Libya","-1.7097669","7"</t>
  </si>
  <si>
    <t>135,"2024","Yemen","-1.7361017","8"</t>
  </si>
  <si>
    <t>136,"2024","Guinea","-1.8048918","8"</t>
  </si>
  <si>
    <t>137,"2024","Gabon","-1.8158319","-33"</t>
  </si>
  <si>
    <t>138,"2024","Sudan","-2.127582","1"</t>
  </si>
  <si>
    <t>139,"2024","Papua New Guinea","-2.1397345","-4"</t>
  </si>
  <si>
    <t>140,"2024","Liberia","-2.1942685","-25"</t>
  </si>
  <si>
    <t>141,"2024","Nigeria","-2.259079","-1"</t>
  </si>
  <si>
    <t>142,"2024","Republic of the Congo","-2.4930756","-10"</t>
  </si>
  <si>
    <t>143,"2024","Equatorial Guinea","-2.7039242","2"</t>
  </si>
  <si>
    <t>144,"2024","Democratic Republic of the Congo","-3.1336682","-2"</t>
  </si>
  <si>
    <t>145,"2024","Chad","-3.5245292","-9"</t>
  </si>
  <si>
    <t>ECI Rank</t>
  </si>
  <si>
    <t>Year</t>
  </si>
  <si>
    <t>Country</t>
  </si>
  <si>
    <t>ECI</t>
  </si>
  <si>
    <t>Change Over 5 Years</t>
  </si>
  <si>
    <t>Japan</t>
  </si>
  <si>
    <t>Switzerland</t>
  </si>
  <si>
    <t>Singapore</t>
  </si>
  <si>
    <t>Germany</t>
  </si>
  <si>
    <t>Israel</t>
  </si>
  <si>
    <t>Slovenia</t>
  </si>
  <si>
    <t>China</t>
  </si>
  <si>
    <t>Austria</t>
  </si>
  <si>
    <t>United Kingdom</t>
  </si>
  <si>
    <t>Sweden</t>
  </si>
  <si>
    <t>Ireland</t>
  </si>
  <si>
    <t>Hungary</t>
  </si>
  <si>
    <t>Finland</t>
  </si>
  <si>
    <t>Italy</t>
  </si>
  <si>
    <t>Hong Kong</t>
  </si>
  <si>
    <t>France</t>
  </si>
  <si>
    <t>Denmark</t>
  </si>
  <si>
    <t>Romania</t>
  </si>
  <si>
    <t>Belgium</t>
  </si>
  <si>
    <t>Poland</t>
  </si>
  <si>
    <t>Netherlands</t>
  </si>
  <si>
    <t>Mexico</t>
  </si>
  <si>
    <t>Estonia</t>
  </si>
  <si>
    <t>Lithuania</t>
  </si>
  <si>
    <t>Croatia</t>
  </si>
  <si>
    <t>Spain</t>
  </si>
  <si>
    <t>Malaysia</t>
  </si>
  <si>
    <t>Bulgaria</t>
  </si>
  <si>
    <t>Thailand</t>
  </si>
  <si>
    <t>Canada</t>
  </si>
  <si>
    <t>Belarus</t>
  </si>
  <si>
    <t>Serbia</t>
  </si>
  <si>
    <t>Latvia</t>
  </si>
  <si>
    <t>Norway</t>
  </si>
  <si>
    <t>Portugal</t>
  </si>
  <si>
    <t>India</t>
  </si>
  <si>
    <t>Philippines</t>
  </si>
  <si>
    <t>Bosnia and Herzegovina</t>
  </si>
  <si>
    <t>Armenia</t>
  </si>
  <si>
    <t>Tunisia</t>
  </si>
  <si>
    <t>Greece</t>
  </si>
  <si>
    <t>New Zealand</t>
  </si>
  <si>
    <t>Saudi Arabia</t>
  </si>
  <si>
    <t>Cyprus</t>
  </si>
  <si>
    <t>North Macedonia</t>
  </si>
  <si>
    <t>Ukraine</t>
  </si>
  <si>
    <t>Lebanon</t>
  </si>
  <si>
    <t>Kazakhstan</t>
  </si>
  <si>
    <t>Brazil</t>
  </si>
  <si>
    <t>United Arab Emirates</t>
  </si>
  <si>
    <t>South Africa</t>
  </si>
  <si>
    <t>El Salvador</t>
  </si>
  <si>
    <t>Panama</t>
  </si>
  <si>
    <t>Costa Rica</t>
  </si>
  <si>
    <t>Eswatini</t>
  </si>
  <si>
    <t>Georgia</t>
  </si>
  <si>
    <t>Mauritius</t>
  </si>
  <si>
    <t>Bahrain</t>
  </si>
  <si>
    <t>Kuwait</t>
  </si>
  <si>
    <t>Russia</t>
  </si>
  <si>
    <t>Colombia</t>
  </si>
  <si>
    <t>Indonesia</t>
  </si>
  <si>
    <t>Uzbekistan</t>
  </si>
  <si>
    <t>Moldova</t>
  </si>
  <si>
    <t>Kyrgyzstan</t>
  </si>
  <si>
    <t>Uruguay</t>
  </si>
  <si>
    <t>Australia</t>
  </si>
  <si>
    <t>Jordan</t>
  </si>
  <si>
    <t>Egypt</t>
  </si>
  <si>
    <t>Guatemala</t>
  </si>
  <si>
    <t>Qatar</t>
  </si>
  <si>
    <t>Dominican Republic</t>
  </si>
  <si>
    <t>Trinidad and Tobago</t>
  </si>
  <si>
    <t>Albania</t>
  </si>
  <si>
    <t>Cambodia</t>
  </si>
  <si>
    <t>Sri Lanka</t>
  </si>
  <si>
    <t>Argentina</t>
  </si>
  <si>
    <t>Chile</t>
  </si>
  <si>
    <t>Morocco</t>
  </si>
  <si>
    <t>Nepal</t>
  </si>
  <si>
    <t>Pakistan</t>
  </si>
  <si>
    <t>Paraguay</t>
  </si>
  <si>
    <t>Kenya</t>
  </si>
  <si>
    <t>Honduras</t>
  </si>
  <si>
    <t>Botswana</t>
  </si>
  <si>
    <t>Jamaica</t>
  </si>
  <si>
    <t>Azerbaijan</t>
  </si>
  <si>
    <t>Bangladesh</t>
  </si>
  <si>
    <t>Uganda</t>
  </si>
  <si>
    <t>Senegal</t>
  </si>
  <si>
    <t>Namibia</t>
  </si>
  <si>
    <t>Oman</t>
  </si>
  <si>
    <t>Haiti</t>
  </si>
  <si>
    <t>Peru</t>
  </si>
  <si>
    <t>Togo</t>
  </si>
  <si>
    <t>Zambia</t>
  </si>
  <si>
    <t>Burkina Faso</t>
  </si>
  <si>
    <t>Angola</t>
  </si>
  <si>
    <t>Niger</t>
  </si>
  <si>
    <t>Laos</t>
  </si>
  <si>
    <t>Ecuador</t>
  </si>
  <si>
    <t>Afghanistan</t>
  </si>
  <si>
    <t>Nicaragua</t>
  </si>
  <si>
    <t>Côte d'Ivoire</t>
  </si>
  <si>
    <t>Tanzania</t>
  </si>
  <si>
    <t>Benin</t>
  </si>
  <si>
    <t>Mali</t>
  </si>
  <si>
    <t>Malawi</t>
  </si>
  <si>
    <t>Myanmar</t>
  </si>
  <si>
    <t>Algeria</t>
  </si>
  <si>
    <t>Madagascar</t>
  </si>
  <si>
    <t>Rwanda</t>
  </si>
  <si>
    <t>Zimbabwe</t>
  </si>
  <si>
    <t>Cuba</t>
  </si>
  <si>
    <t>Bolivia</t>
  </si>
  <si>
    <t>Ghana</t>
  </si>
  <si>
    <t>Ethiopia</t>
  </si>
  <si>
    <t>Turkmenistan</t>
  </si>
  <si>
    <t>Mozambique</t>
  </si>
  <si>
    <t>Mauritania</t>
  </si>
  <si>
    <t>Tajikistan</t>
  </si>
  <si>
    <t>Iraq</t>
  </si>
  <si>
    <t>Mongolia</t>
  </si>
  <si>
    <t>Cameroon</t>
  </si>
  <si>
    <t>Venezuela</t>
  </si>
  <si>
    <t>Libya</t>
  </si>
  <si>
    <t>Yemen</t>
  </si>
  <si>
    <t>Guinea</t>
  </si>
  <si>
    <t>Gabon</t>
  </si>
  <si>
    <t>Sudan</t>
  </si>
  <si>
    <t>Papua New Guinea</t>
  </si>
  <si>
    <t>Liberia</t>
  </si>
  <si>
    <t>Nigeria</t>
  </si>
  <si>
    <t>Republic of the Congo</t>
  </si>
  <si>
    <t>Equatorial Guinea</t>
  </si>
  <si>
    <t>Democratic Republic of the Congo</t>
  </si>
  <si>
    <t>Chad</t>
  </si>
  <si>
    <t>Template</t>
  </si>
  <si>
    <t>Approach:</t>
  </si>
  <si>
    <t>Xlookup the countries from the database - if not found, then manually add name. When more than one country, average the score. Cook Islands were set to level of St. Lucia.</t>
  </si>
  <si>
    <t>ISO</t>
  </si>
  <si>
    <t>Total</t>
  </si>
  <si>
    <t>Helper 1</t>
  </si>
  <si>
    <t>Helper 2</t>
  </si>
  <si>
    <t>Helper 3</t>
  </si>
  <si>
    <t>Country Helper 1</t>
  </si>
  <si>
    <t>Country Helper 2</t>
  </si>
  <si>
    <t>Country Helper 3</t>
  </si>
  <si>
    <t>NLD</t>
  </si>
  <si>
    <t>NOR</t>
  </si>
  <si>
    <t>SWE</t>
  </si>
  <si>
    <t>ESP</t>
  </si>
  <si>
    <t>USA</t>
  </si>
  <si>
    <t>United States</t>
  </si>
  <si>
    <t>JPN</t>
  </si>
  <si>
    <t>CHE</t>
  </si>
  <si>
    <t>DEU</t>
  </si>
  <si>
    <t>GBR</t>
  </si>
  <si>
    <t>DNK</t>
  </si>
  <si>
    <t>AUT</t>
  </si>
  <si>
    <t>CHN</t>
  </si>
  <si>
    <t>CAN</t>
  </si>
  <si>
    <t>EST</t>
  </si>
  <si>
    <t>FRA</t>
  </si>
  <si>
    <t>MYS</t>
  </si>
  <si>
    <t>AUS</t>
  </si>
  <si>
    <t>POL</t>
  </si>
  <si>
    <t>FIN</t>
  </si>
  <si>
    <t>SGP</t>
  </si>
  <si>
    <t>THA</t>
  </si>
  <si>
    <t>ITA</t>
  </si>
  <si>
    <t>CRI</t>
  </si>
  <si>
    <t>CHL</t>
  </si>
  <si>
    <t>BEL</t>
  </si>
  <si>
    <t>IND</t>
  </si>
  <si>
    <t>GRC</t>
  </si>
  <si>
    <t>ISL</t>
  </si>
  <si>
    <t>Iceland</t>
  </si>
  <si>
    <t>TUR</t>
  </si>
  <si>
    <t>Türkiye</t>
  </si>
  <si>
    <t>ARG</t>
  </si>
  <si>
    <t>IRN</t>
  </si>
  <si>
    <t>Islamic Republic of Iran</t>
  </si>
  <si>
    <t>NZL</t>
  </si>
  <si>
    <t>BOL</t>
  </si>
  <si>
    <t>PRT</t>
  </si>
  <si>
    <t>LBN</t>
  </si>
  <si>
    <t>MRT</t>
  </si>
  <si>
    <t>SAU</t>
  </si>
  <si>
    <t>COK</t>
  </si>
  <si>
    <t>Cook Islands</t>
  </si>
  <si>
    <t>ZAF</t>
  </si>
  <si>
    <t>ARE</t>
  </si>
  <si>
    <t>OMN</t>
  </si>
  <si>
    <t>URY</t>
  </si>
  <si>
    <t>PRY</t>
  </si>
  <si>
    <t>KOR</t>
  </si>
  <si>
    <t>Korea</t>
  </si>
  <si>
    <t>MAR</t>
  </si>
  <si>
    <t>ALB</t>
  </si>
  <si>
    <t>IDN</t>
  </si>
  <si>
    <t>BRB</t>
  </si>
  <si>
    <t>Barbados</t>
  </si>
  <si>
    <t>TTO</t>
  </si>
  <si>
    <t>BGD</t>
  </si>
  <si>
    <t>BRA</t>
  </si>
  <si>
    <t>HUN</t>
  </si>
  <si>
    <t>TWN</t>
  </si>
  <si>
    <t>Chinese Taipei</t>
  </si>
  <si>
    <t>MEX</t>
  </si>
  <si>
    <t>VNM</t>
  </si>
  <si>
    <t>Viet Nam</t>
  </si>
  <si>
    <t>SVN</t>
  </si>
  <si>
    <t>CZE</t>
  </si>
  <si>
    <t>Czech Republic</t>
  </si>
  <si>
    <t>SVK</t>
  </si>
  <si>
    <t>Slovak Republic</t>
  </si>
  <si>
    <t>LTU</t>
  </si>
  <si>
    <t>LVA</t>
  </si>
  <si>
    <t>IRL</t>
  </si>
  <si>
    <t>PER</t>
  </si>
  <si>
    <t>RUS</t>
  </si>
  <si>
    <t>COL</t>
  </si>
  <si>
    <t>KAZ</t>
  </si>
  <si>
    <t>EGY</t>
  </si>
  <si>
    <t>ZWE</t>
  </si>
  <si>
    <t>NAM</t>
  </si>
  <si>
    <t>KEN</t>
  </si>
  <si>
    <t>BWA</t>
  </si>
  <si>
    <t>PAK</t>
  </si>
  <si>
    <t>COD</t>
  </si>
  <si>
    <t>AGO</t>
  </si>
  <si>
    <t>BGR</t>
  </si>
  <si>
    <t>LUX</t>
  </si>
  <si>
    <t>Luxembourg</t>
  </si>
  <si>
    <t>ROU</t>
  </si>
  <si>
    <t>LKA</t>
  </si>
  <si>
    <t>NER</t>
  </si>
  <si>
    <t>UKR</t>
  </si>
  <si>
    <t>DJI</t>
  </si>
  <si>
    <t>Djibouti</t>
  </si>
  <si>
    <t>UZB</t>
  </si>
  <si>
    <t>PAN</t>
  </si>
  <si>
    <t>MNG</t>
  </si>
  <si>
    <t>DMA</t>
  </si>
  <si>
    <t>Dominica</t>
  </si>
  <si>
    <t>JOR</t>
  </si>
  <si>
    <t>MOZ</t>
  </si>
  <si>
    <t>DOM</t>
  </si>
  <si>
    <t>QAT</t>
  </si>
  <si>
    <t>SRB</t>
  </si>
  <si>
    <t>PHL</t>
  </si>
  <si>
    <t>FJI</t>
  </si>
  <si>
    <t>Fiji</t>
  </si>
  <si>
    <t>UGA</t>
  </si>
  <si>
    <t>CYP</t>
  </si>
  <si>
    <t>HRV</t>
  </si>
  <si>
    <t>TUN</t>
  </si>
  <si>
    <t>DZA</t>
  </si>
  <si>
    <t>BHR</t>
  </si>
  <si>
    <t>ISR</t>
  </si>
  <si>
    <t>GAB</t>
  </si>
  <si>
    <t>NGA</t>
  </si>
  <si>
    <t>LCA</t>
  </si>
  <si>
    <t>Saint Lucia</t>
  </si>
  <si>
    <t>PRT
ESP</t>
  </si>
  <si>
    <t>ROM
DEU
AUT</t>
  </si>
  <si>
    <t>ROM</t>
  </si>
  <si>
    <t>POL
CZE
SVK
HUN</t>
  </si>
  <si>
    <t>DEU
DNK</t>
  </si>
  <si>
    <t>ESP
FRA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</si>
</sst>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3" fillId="0" borderId="1" xfId="2"/>
    <xf numFmtId="0" fontId="13" fillId="9" borderId="0" xfId="18" applyFon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3DD98-53C9-4D79-89A5-207CC2A7DEFD}">
  <dimension ref="A1"/>
  <sheetViews>
    <sheetView showGridLines="0"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8C0E9-8B00-4E9E-99CF-F3B807BEDD61}">
  <dimension ref="B2:M112"/>
  <sheetViews>
    <sheetView showGridLines="0" tabSelected="1" zoomScale="85" zoomScaleNormal="85" workbookViewId="0">
      <selection activeCell="V92" sqref="V92"/>
    </sheetView>
  </sheetViews>
  <sheetFormatPr defaultRowHeight="14.4" outlineLevelCol="1" x14ac:dyDescent="0.3"/>
  <cols>
    <col min="1" max="1" width="2.44140625" customWidth="1"/>
    <col min="2" max="2" width="42.77734375" bestFit="1" customWidth="1"/>
    <col min="3" max="3" width="30.6640625" bestFit="1" customWidth="1"/>
    <col min="4" max="4" width="30.77734375" customWidth="1"/>
    <col min="6" max="6" width="10.44140625" hidden="1" customWidth="1" outlineLevel="1"/>
    <col min="7" max="8" width="10.77734375" hidden="1" customWidth="1" outlineLevel="1"/>
    <col min="9" max="9" width="0" hidden="1" customWidth="1" outlineLevel="1"/>
    <col min="10" max="12" width="15.5546875" hidden="1" customWidth="1" outlineLevel="1"/>
    <col min="13" max="13" width="8.88671875" collapsed="1"/>
  </cols>
  <sheetData>
    <row r="2" spans="2:12" ht="20.399999999999999" thickBot="1" x14ac:dyDescent="0.45">
      <c r="B2" s="1" t="s">
        <v>288</v>
      </c>
      <c r="C2" s="1"/>
      <c r="D2" s="1"/>
      <c r="E2" s="1"/>
      <c r="F2" s="1"/>
      <c r="G2" s="1"/>
      <c r="H2" s="1"/>
      <c r="I2" s="1"/>
      <c r="J2" s="1"/>
    </row>
    <row r="3" spans="2:12" ht="15" thickTop="1" x14ac:dyDescent="0.3"/>
    <row r="4" spans="2:12" x14ac:dyDescent="0.3">
      <c r="B4" t="s">
        <v>289</v>
      </c>
      <c r="C4" t="s">
        <v>290</v>
      </c>
    </row>
    <row r="6" spans="2:12" x14ac:dyDescent="0.3">
      <c r="B6" s="2" t="s">
        <v>291</v>
      </c>
      <c r="C6" s="2" t="s">
        <v>148</v>
      </c>
      <c r="D6" s="2" t="s">
        <v>292</v>
      </c>
      <c r="F6" s="2" t="s">
        <v>293</v>
      </c>
      <c r="G6" s="2" t="s">
        <v>294</v>
      </c>
      <c r="H6" s="2" t="s">
        <v>295</v>
      </c>
      <c r="J6" s="2" t="s">
        <v>296</v>
      </c>
      <c r="K6" s="2" t="s">
        <v>297</v>
      </c>
      <c r="L6" s="2" t="s">
        <v>298</v>
      </c>
    </row>
    <row r="7" spans="2:12" x14ac:dyDescent="0.3">
      <c r="B7" t="s">
        <v>299</v>
      </c>
      <c r="C7" t="s">
        <v>171</v>
      </c>
      <c r="D7">
        <f>_xlfn.XLOOKUP(C7,Ed_CCR!$C$2:$C$146,Ed_CCR!$D$2:$D$146,"N/A",0,1)</f>
        <v>0.94748454999999998</v>
      </c>
    </row>
    <row r="8" spans="2:12" x14ac:dyDescent="0.3">
      <c r="B8" t="s">
        <v>300</v>
      </c>
      <c r="C8" t="s">
        <v>184</v>
      </c>
      <c r="D8">
        <f>_xlfn.XLOOKUP(C8,Ed_CCR!$C$2:$C$146,Ed_CCR!$D$2:$D$146,"N/A",0,1)</f>
        <v>0.7417068</v>
      </c>
    </row>
    <row r="9" spans="2:12" x14ac:dyDescent="0.3">
      <c r="B9" t="s">
        <v>301</v>
      </c>
      <c r="C9" t="s">
        <v>160</v>
      </c>
      <c r="D9">
        <f>_xlfn.XLOOKUP(C9,Ed_CCR!$C$2:$C$146,Ed_CCR!$D$2:$D$146,"N/A",0,1)</f>
        <v>1.2342116999999999</v>
      </c>
    </row>
    <row r="10" spans="2:12" x14ac:dyDescent="0.3">
      <c r="B10" t="s">
        <v>302</v>
      </c>
      <c r="C10" t="s">
        <v>176</v>
      </c>
      <c r="D10">
        <f>_xlfn.XLOOKUP(C10,Ed_CCR!$C$2:$C$146,Ed_CCR!$D$2:$D$146,"N/A",0,1)</f>
        <v>0.8229609</v>
      </c>
    </row>
    <row r="11" spans="2:12" x14ac:dyDescent="0.3">
      <c r="B11" t="s">
        <v>303</v>
      </c>
      <c r="C11" t="s">
        <v>304</v>
      </c>
      <c r="D11">
        <f>_xlfn.XLOOKUP(C11,Ed_CCR!$C$2:$C$146,Ed_CCR!$D$2:$D$146,"N/A",0,1)</f>
        <v>1.1067898</v>
      </c>
    </row>
    <row r="12" spans="2:12" x14ac:dyDescent="0.3">
      <c r="B12" t="s">
        <v>305</v>
      </c>
      <c r="C12" t="s">
        <v>151</v>
      </c>
      <c r="D12">
        <f>_xlfn.XLOOKUP(C12,Ed_CCR!$C$2:$C$146,Ed_CCR!$D$2:$D$146,"N/A",0,1)</f>
        <v>1.6889353</v>
      </c>
    </row>
    <row r="13" spans="2:12" x14ac:dyDescent="0.3">
      <c r="B13" t="s">
        <v>306</v>
      </c>
      <c r="C13" t="s">
        <v>152</v>
      </c>
      <c r="D13">
        <f>_xlfn.XLOOKUP(C13,Ed_CCR!$C$2:$C$146,Ed_CCR!$D$2:$D$146,"N/A",0,1)</f>
        <v>1.5791347</v>
      </c>
    </row>
    <row r="14" spans="2:12" x14ac:dyDescent="0.3">
      <c r="B14" t="s">
        <v>307</v>
      </c>
      <c r="C14" t="s">
        <v>154</v>
      </c>
      <c r="D14">
        <f>_xlfn.XLOOKUP(C14,Ed_CCR!$C$2:$C$146,Ed_CCR!$D$2:$D$146,"N/A",0,1)</f>
        <v>1.3551035</v>
      </c>
    </row>
    <row r="15" spans="2:12" x14ac:dyDescent="0.3">
      <c r="B15" t="s">
        <v>308</v>
      </c>
      <c r="C15" t="s">
        <v>159</v>
      </c>
      <c r="D15">
        <f>_xlfn.XLOOKUP(C15,Ed_CCR!$C$2:$C$146,Ed_CCR!$D$2:$D$146,"N/A",0,1)</f>
        <v>1.2450106000000001</v>
      </c>
    </row>
    <row r="16" spans="2:12" x14ac:dyDescent="0.3">
      <c r="B16" t="s">
        <v>309</v>
      </c>
      <c r="C16" t="s">
        <v>167</v>
      </c>
      <c r="D16">
        <f>_xlfn.XLOOKUP(C16,Ed_CCR!$C$2:$C$146,Ed_CCR!$D$2:$D$146,"N/A",0,1)</f>
        <v>1.0182458999999999</v>
      </c>
    </row>
    <row r="17" spans="2:4" x14ac:dyDescent="0.3">
      <c r="B17" t="s">
        <v>310</v>
      </c>
      <c r="C17" t="s">
        <v>158</v>
      </c>
      <c r="D17">
        <f>_xlfn.XLOOKUP(C17,Ed_CCR!$C$2:$C$146,Ed_CCR!$D$2:$D$146,"N/A",0,1)</f>
        <v>1.2525077</v>
      </c>
    </row>
    <row r="18" spans="2:4" x14ac:dyDescent="0.3">
      <c r="B18" t="s">
        <v>311</v>
      </c>
      <c r="C18" t="s">
        <v>157</v>
      </c>
      <c r="D18">
        <f>_xlfn.XLOOKUP(C18,Ed_CCR!$C$2:$C$146,Ed_CCR!$D$2:$D$146,"N/A",0,1)</f>
        <v>1.2594000999999999</v>
      </c>
    </row>
    <row r="19" spans="2:4" x14ac:dyDescent="0.3">
      <c r="B19" t="s">
        <v>312</v>
      </c>
      <c r="C19" t="s">
        <v>180</v>
      </c>
      <c r="D19">
        <f>_xlfn.XLOOKUP(C19,Ed_CCR!$C$2:$C$146,Ed_CCR!$D$2:$D$146,"N/A",0,1)</f>
        <v>0.78716240000000004</v>
      </c>
    </row>
    <row r="20" spans="2:4" x14ac:dyDescent="0.3">
      <c r="B20" t="s">
        <v>313</v>
      </c>
      <c r="C20" t="s">
        <v>173</v>
      </c>
      <c r="D20">
        <f>_xlfn.XLOOKUP(C20,Ed_CCR!$C$2:$C$146,Ed_CCR!$D$2:$D$146,"N/A",0,1)</f>
        <v>0.88679474999999996</v>
      </c>
    </row>
    <row r="21" spans="2:4" x14ac:dyDescent="0.3">
      <c r="B21" t="s">
        <v>314</v>
      </c>
      <c r="C21" t="s">
        <v>166</v>
      </c>
      <c r="D21">
        <f>_xlfn.XLOOKUP(C21,Ed_CCR!$C$2:$C$146,Ed_CCR!$D$2:$D$146,"N/A",0,1)</f>
        <v>1.0865098</v>
      </c>
    </row>
    <row r="22" spans="2:4" x14ac:dyDescent="0.3">
      <c r="B22" t="s">
        <v>315</v>
      </c>
      <c r="C22" t="s">
        <v>177</v>
      </c>
      <c r="D22">
        <f>_xlfn.XLOOKUP(C22,Ed_CCR!$C$2:$C$146,Ed_CCR!$D$2:$D$146,"N/A",0,1)</f>
        <v>0.81823765999999998</v>
      </c>
    </row>
    <row r="23" spans="2:4" x14ac:dyDescent="0.3">
      <c r="B23" t="s">
        <v>316</v>
      </c>
      <c r="C23" t="s">
        <v>217</v>
      </c>
      <c r="D23">
        <f>_xlfn.XLOOKUP(C23,Ed_CCR!$C$2:$C$146,Ed_CCR!$D$2:$D$146,"N/A",0,1)</f>
        <v>0.11708149</v>
      </c>
    </row>
    <row r="24" spans="2:4" x14ac:dyDescent="0.3">
      <c r="B24" t="s">
        <v>317</v>
      </c>
      <c r="C24" t="s">
        <v>170</v>
      </c>
      <c r="D24">
        <f>_xlfn.XLOOKUP(C24,Ed_CCR!$C$2:$C$146,Ed_CCR!$D$2:$D$146,"N/A",0,1)</f>
        <v>0.99006039999999995</v>
      </c>
    </row>
    <row r="25" spans="2:4" x14ac:dyDescent="0.3">
      <c r="B25" t="s">
        <v>318</v>
      </c>
      <c r="C25" t="s">
        <v>163</v>
      </c>
      <c r="D25">
        <f>_xlfn.XLOOKUP(C25,Ed_CCR!$C$2:$C$146,Ed_CCR!$D$2:$D$146,"N/A",0,1)</f>
        <v>1.1517107</v>
      </c>
    </row>
    <row r="26" spans="2:4" x14ac:dyDescent="0.3">
      <c r="B26" t="s">
        <v>319</v>
      </c>
      <c r="C26" t="s">
        <v>153</v>
      </c>
      <c r="D26">
        <f>_xlfn.XLOOKUP(C26,Ed_CCR!$C$2:$C$146,Ed_CCR!$D$2:$D$146,"N/A",0,1)</f>
        <v>1.4509376</v>
      </c>
    </row>
    <row r="27" spans="2:4" x14ac:dyDescent="0.3">
      <c r="B27" t="s">
        <v>320</v>
      </c>
      <c r="C27" t="s">
        <v>179</v>
      </c>
      <c r="D27">
        <f>_xlfn.XLOOKUP(C27,Ed_CCR!$C$2:$C$146,Ed_CCR!$D$2:$D$146,"N/A",0,1)</f>
        <v>0.78916379999999997</v>
      </c>
    </row>
    <row r="28" spans="2:4" x14ac:dyDescent="0.3">
      <c r="B28" t="s">
        <v>321</v>
      </c>
      <c r="C28" t="s">
        <v>164</v>
      </c>
      <c r="D28">
        <f>_xlfn.XLOOKUP(C28,Ed_CCR!$C$2:$C$146,Ed_CCR!$D$2:$D$146,"N/A",0,1)</f>
        <v>1.1183400999999999</v>
      </c>
    </row>
    <row r="29" spans="2:4" x14ac:dyDescent="0.3">
      <c r="B29" t="s">
        <v>322</v>
      </c>
      <c r="C29" t="s">
        <v>204</v>
      </c>
      <c r="D29">
        <f>_xlfn.XLOOKUP(C29,Ed_CCR!$C$2:$C$146,Ed_CCR!$D$2:$D$146,"N/A",0,1)</f>
        <v>0.338835</v>
      </c>
    </row>
    <row r="30" spans="2:4" x14ac:dyDescent="0.3">
      <c r="B30" t="s">
        <v>323</v>
      </c>
      <c r="C30" t="s">
        <v>228</v>
      </c>
      <c r="D30">
        <f>_xlfn.XLOOKUP(C30,Ed_CCR!$C$2:$C$146,Ed_CCR!$D$2:$D$146,"N/A",0,1)</f>
        <v>-3.5130362999999998E-2</v>
      </c>
    </row>
    <row r="31" spans="2:4" x14ac:dyDescent="0.3">
      <c r="B31" t="s">
        <v>324</v>
      </c>
      <c r="C31" t="s">
        <v>169</v>
      </c>
      <c r="D31">
        <f>_xlfn.XLOOKUP(C31,Ed_CCR!$C$2:$C$146,Ed_CCR!$D$2:$D$146,"N/A",0,1)</f>
        <v>0.99210273999999998</v>
      </c>
    </row>
    <row r="32" spans="2:4" x14ac:dyDescent="0.3">
      <c r="B32" t="s">
        <v>325</v>
      </c>
      <c r="C32" t="s">
        <v>186</v>
      </c>
      <c r="D32">
        <f>_xlfn.XLOOKUP(C32,Ed_CCR!$C$2:$C$146,Ed_CCR!$D$2:$D$146,"N/A",0,1)</f>
        <v>0.71645314000000004</v>
      </c>
    </row>
    <row r="33" spans="2:4" x14ac:dyDescent="0.3">
      <c r="B33" t="s">
        <v>326</v>
      </c>
      <c r="C33" t="s">
        <v>191</v>
      </c>
      <c r="D33">
        <f>_xlfn.XLOOKUP(C33,Ed_CCR!$C$2:$C$146,Ed_CCR!$D$2:$D$146,"N/A",0,1)</f>
        <v>0.52144676000000001</v>
      </c>
    </row>
    <row r="34" spans="2:4" x14ac:dyDescent="0.3">
      <c r="B34" t="s">
        <v>327</v>
      </c>
      <c r="C34" s="3" t="s">
        <v>328</v>
      </c>
      <c r="D34">
        <f>D16</f>
        <v>1.0182458999999999</v>
      </c>
    </row>
    <row r="35" spans="2:4" x14ac:dyDescent="0.3">
      <c r="B35" t="s">
        <v>329</v>
      </c>
      <c r="C35" t="s">
        <v>330</v>
      </c>
      <c r="D35">
        <f>_xlfn.XLOOKUP(C35,Ed_CCR!$C$2:$C$146,Ed_CCR!$D$2:$D$146,"N/A",0,1)</f>
        <v>0.70451224000000001</v>
      </c>
    </row>
    <row r="36" spans="2:4" x14ac:dyDescent="0.3">
      <c r="B36" t="s">
        <v>331</v>
      </c>
      <c r="C36" t="s">
        <v>227</v>
      </c>
      <c r="D36">
        <f>_xlfn.XLOOKUP(C36,Ed_CCR!$C$2:$C$146,Ed_CCR!$D$2:$D$146,"N/A",0,1)</f>
        <v>-1.3300096000000001E-2</v>
      </c>
    </row>
    <row r="37" spans="2:4" x14ac:dyDescent="0.3">
      <c r="B37" t="s">
        <v>332</v>
      </c>
      <c r="C37" t="s">
        <v>333</v>
      </c>
      <c r="D37">
        <f>_xlfn.XLOOKUP(C37,Ed_CCR!$C$2:$C$146,Ed_CCR!$D$2:$D$146,"N/A",0,1)</f>
        <v>-6.5329319999999996E-2</v>
      </c>
    </row>
    <row r="38" spans="2:4" x14ac:dyDescent="0.3">
      <c r="B38" t="s">
        <v>334</v>
      </c>
      <c r="C38" t="s">
        <v>192</v>
      </c>
      <c r="D38">
        <f>_xlfn.XLOOKUP(C38,Ed_CCR!$C$2:$C$146,Ed_CCR!$D$2:$D$146,"N/A",0,1)</f>
        <v>0.51546835999999996</v>
      </c>
    </row>
    <row r="39" spans="2:4" x14ac:dyDescent="0.3">
      <c r="B39" t="s">
        <v>335</v>
      </c>
      <c r="C39" t="s">
        <v>265</v>
      </c>
      <c r="D39">
        <f>_xlfn.XLOOKUP(C39,Ed_CCR!$C$2:$C$146,Ed_CCR!$D$2:$D$146,"N/A",0,1)</f>
        <v>-1.0967224</v>
      </c>
    </row>
    <row r="40" spans="2:4" x14ac:dyDescent="0.3">
      <c r="B40" t="s">
        <v>336</v>
      </c>
      <c r="C40" t="s">
        <v>185</v>
      </c>
      <c r="D40">
        <f>_xlfn.XLOOKUP(C40,Ed_CCR!$C$2:$C$146,Ed_CCR!$D$2:$D$146,"N/A",0,1)</f>
        <v>0.72070694000000002</v>
      </c>
    </row>
    <row r="41" spans="2:4" x14ac:dyDescent="0.3">
      <c r="B41" t="s">
        <v>337</v>
      </c>
      <c r="C41" t="s">
        <v>197</v>
      </c>
      <c r="D41">
        <f>_xlfn.XLOOKUP(C41,Ed_CCR!$C$2:$C$146,Ed_CCR!$D$2:$D$146,"N/A",0,1)</f>
        <v>0.39053303</v>
      </c>
    </row>
    <row r="42" spans="2:4" x14ac:dyDescent="0.3">
      <c r="B42" t="s">
        <v>338</v>
      </c>
      <c r="C42" t="s">
        <v>270</v>
      </c>
      <c r="D42">
        <f>_xlfn.XLOOKUP(C42,Ed_CCR!$C$2:$C$146,Ed_CCR!$D$2:$D$146,"N/A",0,1)</f>
        <v>-1.2665230999999999</v>
      </c>
    </row>
    <row r="43" spans="2:4" x14ac:dyDescent="0.3">
      <c r="B43" t="s">
        <v>339</v>
      </c>
      <c r="C43" t="s">
        <v>193</v>
      </c>
      <c r="D43">
        <f>_xlfn.XLOOKUP(C43,Ed_CCR!$C$2:$C$146,Ed_CCR!$D$2:$D$146,"N/A",0,1)</f>
        <v>0.49866854999999999</v>
      </c>
    </row>
    <row r="44" spans="2:4" x14ac:dyDescent="0.3">
      <c r="B44" t="s">
        <v>340</v>
      </c>
      <c r="C44" s="3" t="s">
        <v>341</v>
      </c>
      <c r="D44">
        <f>$D$55</f>
        <v>4.897837E-2</v>
      </c>
    </row>
    <row r="45" spans="2:4" x14ac:dyDescent="0.3">
      <c r="B45" t="s">
        <v>342</v>
      </c>
      <c r="C45" t="s">
        <v>201</v>
      </c>
      <c r="D45">
        <f>_xlfn.XLOOKUP(C45,Ed_CCR!$C$2:$C$146,Ed_CCR!$D$2:$D$146,"N/A",0,1)</f>
        <v>0.36877211999999998</v>
      </c>
    </row>
    <row r="46" spans="2:4" x14ac:dyDescent="0.3">
      <c r="B46" t="s">
        <v>343</v>
      </c>
      <c r="C46" t="s">
        <v>200</v>
      </c>
      <c r="D46">
        <f>_xlfn.XLOOKUP(C46,Ed_CCR!$C$2:$C$146,Ed_CCR!$D$2:$D$146,"N/A",0,1)</f>
        <v>0.36940889999999998</v>
      </c>
    </row>
    <row r="47" spans="2:4" x14ac:dyDescent="0.3">
      <c r="B47" t="s">
        <v>344</v>
      </c>
      <c r="C47" t="s">
        <v>242</v>
      </c>
      <c r="D47">
        <f>_xlfn.XLOOKUP(C47,Ed_CCR!$C$2:$C$146,Ed_CCR!$D$2:$D$146,"N/A",0,1)</f>
        <v>-0.53910685000000003</v>
      </c>
    </row>
    <row r="48" spans="2:4" x14ac:dyDescent="0.3">
      <c r="B48" t="s">
        <v>345</v>
      </c>
      <c r="C48" t="s">
        <v>216</v>
      </c>
      <c r="D48">
        <f>_xlfn.XLOOKUP(C48,Ed_CCR!$C$2:$C$146,Ed_CCR!$D$2:$D$146,"N/A",0,1)</f>
        <v>0.16487212000000001</v>
      </c>
    </row>
    <row r="49" spans="2:4" x14ac:dyDescent="0.3">
      <c r="B49" t="s">
        <v>346</v>
      </c>
      <c r="C49" t="s">
        <v>232</v>
      </c>
      <c r="D49">
        <f>_xlfn.XLOOKUP(C49,Ed_CCR!$C$2:$C$146,Ed_CCR!$D$2:$D$146,"N/A",0,1)</f>
        <v>-0.23993661999999999</v>
      </c>
    </row>
    <row r="50" spans="2:4" x14ac:dyDescent="0.3">
      <c r="B50" t="s">
        <v>347</v>
      </c>
      <c r="C50" t="s">
        <v>348</v>
      </c>
      <c r="D50">
        <f>_xlfn.XLOOKUP(C50,Ed_CCR!$C$2:$C$146,Ed_CCR!$D$2:$D$146,"N/A",0,1)</f>
        <v>1.5620726</v>
      </c>
    </row>
    <row r="51" spans="2:4" x14ac:dyDescent="0.3">
      <c r="B51" t="s">
        <v>349</v>
      </c>
      <c r="C51" t="s">
        <v>229</v>
      </c>
      <c r="D51">
        <f>_xlfn.XLOOKUP(C51,Ed_CCR!$C$2:$C$146,Ed_CCR!$D$2:$D$146,"N/A",0,1)</f>
        <v>-6.4083286000000003E-2</v>
      </c>
    </row>
    <row r="52" spans="2:4" x14ac:dyDescent="0.3">
      <c r="B52" t="s">
        <v>350</v>
      </c>
      <c r="C52" t="s">
        <v>224</v>
      </c>
      <c r="D52">
        <f>_xlfn.XLOOKUP(C52,Ed_CCR!$C$2:$C$146,Ed_CCR!$D$2:$D$146,"N/A",0,1)</f>
        <v>4.6849490000000001E-2</v>
      </c>
    </row>
    <row r="53" spans="2:4" x14ac:dyDescent="0.3">
      <c r="B53" t="s">
        <v>351</v>
      </c>
      <c r="C53" t="s">
        <v>212</v>
      </c>
      <c r="D53">
        <f>_xlfn.XLOOKUP(C53,Ed_CCR!$C$2:$C$146,Ed_CCR!$D$2:$D$146,"N/A",0,1)</f>
        <v>0.23433408</v>
      </c>
    </row>
    <row r="54" spans="2:4" x14ac:dyDescent="0.3">
      <c r="B54" t="s">
        <v>352</v>
      </c>
      <c r="C54" s="3" t="s">
        <v>353</v>
      </c>
      <c r="D54">
        <f>$D$55</f>
        <v>4.897837E-2</v>
      </c>
    </row>
    <row r="55" spans="2:4" x14ac:dyDescent="0.3">
      <c r="B55" t="s">
        <v>354</v>
      </c>
      <c r="C55" t="s">
        <v>223</v>
      </c>
      <c r="D55">
        <f>_xlfn.XLOOKUP(C55,Ed_CCR!$C$2:$C$146,Ed_CCR!$D$2:$D$146,"N/A",0,1)</f>
        <v>4.897837E-2</v>
      </c>
    </row>
    <row r="56" spans="2:4" x14ac:dyDescent="0.3">
      <c r="B56" t="s">
        <v>355</v>
      </c>
      <c r="C56" t="s">
        <v>238</v>
      </c>
      <c r="D56">
        <f>_xlfn.XLOOKUP(C56,Ed_CCR!$C$2:$C$146,Ed_CCR!$D$2:$D$146,"N/A",0,1)</f>
        <v>-0.44372584999999998</v>
      </c>
    </row>
    <row r="57" spans="2:4" x14ac:dyDescent="0.3">
      <c r="B57" t="s">
        <v>356</v>
      </c>
      <c r="C57" t="s">
        <v>199</v>
      </c>
      <c r="D57">
        <f>_xlfn.XLOOKUP(C57,Ed_CCR!$C$2:$C$146,Ed_CCR!$D$2:$D$146,"N/A",0,1)</f>
        <v>0.36996417999999998</v>
      </c>
    </row>
    <row r="58" spans="2:4" x14ac:dyDescent="0.3">
      <c r="B58" t="s">
        <v>357</v>
      </c>
      <c r="C58" t="s">
        <v>162</v>
      </c>
      <c r="D58">
        <f>_xlfn.XLOOKUP(C58,Ed_CCR!$C$2:$C$146,Ed_CCR!$D$2:$D$146,"N/A",0,1)</f>
        <v>1.1648879999999999</v>
      </c>
    </row>
    <row r="59" spans="2:4" x14ac:dyDescent="0.3">
      <c r="B59" t="s">
        <v>358</v>
      </c>
      <c r="C59" t="s">
        <v>359</v>
      </c>
      <c r="D59">
        <f>_xlfn.XLOOKUP(C59,Ed_CCR!$C$2:$C$146,Ed_CCR!$D$2:$D$146,"N/A",0,1)</f>
        <v>1.5736562999999999</v>
      </c>
    </row>
    <row r="60" spans="2:4" x14ac:dyDescent="0.3">
      <c r="B60" t="s">
        <v>360</v>
      </c>
      <c r="C60" t="s">
        <v>172</v>
      </c>
      <c r="D60">
        <f>_xlfn.XLOOKUP(C60,Ed_CCR!$C$2:$C$146,Ed_CCR!$D$2:$D$146,"N/A",0,1)</f>
        <v>0.93636702999999999</v>
      </c>
    </row>
    <row r="61" spans="2:4" x14ac:dyDescent="0.3">
      <c r="B61" t="s">
        <v>361</v>
      </c>
      <c r="C61" t="s">
        <v>362</v>
      </c>
      <c r="D61">
        <f>_xlfn.XLOOKUP(C61,Ed_CCR!$C$2:$C$146,Ed_CCR!$D$2:$D$146,"N/A",0,1)</f>
        <v>0.62897234999999996</v>
      </c>
    </row>
    <row r="62" spans="2:4" x14ac:dyDescent="0.3">
      <c r="B62" t="s">
        <v>363</v>
      </c>
      <c r="C62" t="s">
        <v>156</v>
      </c>
      <c r="D62">
        <f>_xlfn.XLOOKUP(C62,Ed_CCR!$C$2:$C$146,Ed_CCR!$D$2:$D$146,"N/A",0,1)</f>
        <v>1.2816951999999999</v>
      </c>
    </row>
    <row r="63" spans="2:4" x14ac:dyDescent="0.3">
      <c r="B63" t="s">
        <v>364</v>
      </c>
      <c r="C63" t="s">
        <v>365</v>
      </c>
      <c r="D63">
        <f>_xlfn.XLOOKUP(C63,Ed_CCR!$C$2:$C$146,Ed_CCR!$D$2:$D$146,"N/A",0,1)</f>
        <v>1.3334634000000001</v>
      </c>
    </row>
    <row r="64" spans="2:4" x14ac:dyDescent="0.3">
      <c r="B64" t="s">
        <v>366</v>
      </c>
      <c r="C64" t="s">
        <v>367</v>
      </c>
      <c r="D64">
        <f>_xlfn.XLOOKUP(C64,Ed_CCR!$C$2:$C$146,Ed_CCR!$D$2:$D$146,"N/A",0,1)</f>
        <v>1.1279026000000001</v>
      </c>
    </row>
    <row r="65" spans="2:4" x14ac:dyDescent="0.3">
      <c r="B65" t="s">
        <v>368</v>
      </c>
      <c r="C65" t="s">
        <v>174</v>
      </c>
      <c r="D65">
        <f>_xlfn.XLOOKUP(C65,Ed_CCR!$C$2:$C$146,Ed_CCR!$D$2:$D$146,"N/A",0,1)</f>
        <v>0.85616999999999999</v>
      </c>
    </row>
    <row r="66" spans="2:4" x14ac:dyDescent="0.3">
      <c r="B66" t="s">
        <v>369</v>
      </c>
      <c r="C66" t="s">
        <v>183</v>
      </c>
      <c r="D66">
        <f>_xlfn.XLOOKUP(C66,Ed_CCR!$C$2:$C$146,Ed_CCR!$D$2:$D$146,"N/A",0,1)</f>
        <v>0.76167220000000002</v>
      </c>
    </row>
    <row r="67" spans="2:4" x14ac:dyDescent="0.3">
      <c r="B67" t="s">
        <v>370</v>
      </c>
      <c r="C67" t="s">
        <v>161</v>
      </c>
      <c r="D67">
        <f>_xlfn.XLOOKUP(C67,Ed_CCR!$C$2:$C$146,Ed_CCR!$D$2:$D$146,"N/A",0,1)</f>
        <v>1.1835933000000001</v>
      </c>
    </row>
    <row r="68" spans="2:4" x14ac:dyDescent="0.3">
      <c r="B68" t="s">
        <v>371</v>
      </c>
      <c r="C68" t="s">
        <v>244</v>
      </c>
      <c r="D68">
        <f>_xlfn.XLOOKUP(C68,Ed_CCR!$C$2:$C$146,Ed_CCR!$D$2:$D$146,"N/A",0,1)</f>
        <v>-0.59021354000000004</v>
      </c>
    </row>
    <row r="69" spans="2:4" x14ac:dyDescent="0.3">
      <c r="B69" t="s">
        <v>372</v>
      </c>
      <c r="C69" t="s">
        <v>210</v>
      </c>
      <c r="D69">
        <f>_xlfn.XLOOKUP(C69,Ed_CCR!$C$2:$C$146,Ed_CCR!$D$2:$D$146,"N/A",0,1)</f>
        <v>0.24730694</v>
      </c>
    </row>
    <row r="70" spans="2:4" x14ac:dyDescent="0.3">
      <c r="B70" t="s">
        <v>373</v>
      </c>
      <c r="C70" t="s">
        <v>211</v>
      </c>
      <c r="D70">
        <f>_xlfn.XLOOKUP(C70,Ed_CCR!$C$2:$C$146,Ed_CCR!$D$2:$D$146,"N/A",0,1)</f>
        <v>0.24485011000000001</v>
      </c>
    </row>
    <row r="71" spans="2:4" x14ac:dyDescent="0.3">
      <c r="B71" t="s">
        <v>374</v>
      </c>
      <c r="C71" t="s">
        <v>198</v>
      </c>
      <c r="D71">
        <f>_xlfn.XLOOKUP(C71,Ed_CCR!$C$2:$C$146,Ed_CCR!$D$2:$D$146,"N/A",0,1)</f>
        <v>0.37895516000000001</v>
      </c>
    </row>
    <row r="72" spans="2:4" x14ac:dyDescent="0.3">
      <c r="B72" t="s">
        <v>375</v>
      </c>
      <c r="C72" t="s">
        <v>219</v>
      </c>
      <c r="D72">
        <f>_xlfn.XLOOKUP(C72,Ed_CCR!$C$2:$C$146,Ed_CCR!$D$2:$D$146,"N/A",0,1)</f>
        <v>7.5096524999999997E-2</v>
      </c>
    </row>
    <row r="73" spans="2:4" x14ac:dyDescent="0.3">
      <c r="B73" t="s">
        <v>376</v>
      </c>
      <c r="C73" t="s">
        <v>263</v>
      </c>
      <c r="D73">
        <f>_xlfn.XLOOKUP(C73,Ed_CCR!$C$2:$C$146,Ed_CCR!$D$2:$D$146,"N/A",0,1)</f>
        <v>-1.0843754999999999</v>
      </c>
    </row>
    <row r="74" spans="2:4" x14ac:dyDescent="0.3">
      <c r="B74" t="s">
        <v>377</v>
      </c>
      <c r="C74" t="s">
        <v>241</v>
      </c>
      <c r="D74">
        <f>_xlfn.XLOOKUP(C74,Ed_CCR!$C$2:$C$146,Ed_CCR!$D$2:$D$146,"N/A",0,1)</f>
        <v>-0.52119786000000001</v>
      </c>
    </row>
    <row r="75" spans="2:4" x14ac:dyDescent="0.3">
      <c r="B75" t="s">
        <v>378</v>
      </c>
      <c r="C75" t="s">
        <v>233</v>
      </c>
      <c r="D75">
        <f>_xlfn.XLOOKUP(C75,Ed_CCR!$C$2:$C$146,Ed_CCR!$D$2:$D$146,"N/A",0,1)</f>
        <v>-0.26571292000000002</v>
      </c>
    </row>
    <row r="76" spans="2:4" x14ac:dyDescent="0.3">
      <c r="B76" t="s">
        <v>379</v>
      </c>
      <c r="C76" t="s">
        <v>235</v>
      </c>
      <c r="D76">
        <f>_xlfn.XLOOKUP(C76,Ed_CCR!$C$2:$C$146,Ed_CCR!$D$2:$D$146,"N/A",0,1)</f>
        <v>-0.30379816999999998</v>
      </c>
    </row>
    <row r="77" spans="2:4" x14ac:dyDescent="0.3">
      <c r="B77" t="s">
        <v>380</v>
      </c>
      <c r="C77" t="s">
        <v>231</v>
      </c>
      <c r="D77">
        <f>_xlfn.XLOOKUP(C77,Ed_CCR!$C$2:$C$146,Ed_CCR!$D$2:$D$146,"N/A",0,1)</f>
        <v>-0.22778230999999999</v>
      </c>
    </row>
    <row r="78" spans="2:4" x14ac:dyDescent="0.3">
      <c r="B78" t="s">
        <v>381</v>
      </c>
      <c r="C78" t="s">
        <v>286</v>
      </c>
      <c r="D78">
        <f>_xlfn.XLOOKUP(C78,Ed_CCR!$C$2:$C$146,Ed_CCR!$D$2:$D$146,"N/A",0,1)</f>
        <v>-3.1336681999999998</v>
      </c>
    </row>
    <row r="79" spans="2:4" x14ac:dyDescent="0.3">
      <c r="B79" t="s">
        <v>382</v>
      </c>
      <c r="C79" t="s">
        <v>248</v>
      </c>
      <c r="D79">
        <f>_xlfn.XLOOKUP(C79,Ed_CCR!$C$2:$C$146,Ed_CCR!$D$2:$D$146,"N/A",0,1)</f>
        <v>-0.74009290000000005</v>
      </c>
    </row>
    <row r="80" spans="2:4" x14ac:dyDescent="0.3">
      <c r="B80" t="s">
        <v>383</v>
      </c>
      <c r="C80" t="s">
        <v>178</v>
      </c>
      <c r="D80">
        <f>_xlfn.XLOOKUP(C80,Ed_CCR!$C$2:$C$146,Ed_CCR!$D$2:$D$146,"N/A",0,1)</f>
        <v>0.79898309999999995</v>
      </c>
    </row>
    <row r="81" spans="2:4" x14ac:dyDescent="0.3">
      <c r="B81" t="s">
        <v>384</v>
      </c>
      <c r="C81" s="3" t="s">
        <v>385</v>
      </c>
      <c r="D81">
        <f>AVERAGE(D7,D31)</f>
        <v>0.96979364499999998</v>
      </c>
    </row>
    <row r="82" spans="2:4" x14ac:dyDescent="0.3">
      <c r="B82" t="s">
        <v>386</v>
      </c>
      <c r="C82" t="s">
        <v>168</v>
      </c>
      <c r="D82">
        <f>_xlfn.XLOOKUP(C82,Ed_CCR!$C$2:$C$146,Ed_CCR!$D$2:$D$146,"N/A",0,1)</f>
        <v>1.0010595</v>
      </c>
    </row>
    <row r="83" spans="2:4" x14ac:dyDescent="0.3">
      <c r="B83" t="s">
        <v>387</v>
      </c>
      <c r="C83" t="s">
        <v>226</v>
      </c>
      <c r="D83">
        <f>_xlfn.XLOOKUP(C83,Ed_CCR!$C$2:$C$146,Ed_CCR!$D$2:$D$146,"N/A",0,1)</f>
        <v>-4.8828515999999999E-3</v>
      </c>
    </row>
    <row r="84" spans="2:4" x14ac:dyDescent="0.3">
      <c r="B84" t="s">
        <v>388</v>
      </c>
      <c r="C84" t="s">
        <v>249</v>
      </c>
      <c r="D84">
        <f>_xlfn.XLOOKUP(C84,Ed_CCR!$C$2:$C$146,Ed_CCR!$D$2:$D$146,"N/A",0,1)</f>
        <v>-0.75277316999999999</v>
      </c>
    </row>
    <row r="85" spans="2:4" x14ac:dyDescent="0.3">
      <c r="B85" t="s">
        <v>389</v>
      </c>
      <c r="C85" t="s">
        <v>196</v>
      </c>
      <c r="D85">
        <f>_xlfn.XLOOKUP(C85,Ed_CCR!$C$2:$C$146,Ed_CCR!$D$2:$D$146,"N/A",0,1)</f>
        <v>0.40039277000000001</v>
      </c>
    </row>
    <row r="86" spans="2:4" x14ac:dyDescent="0.3">
      <c r="B86" t="s">
        <v>390</v>
      </c>
      <c r="C86" s="3" t="s">
        <v>391</v>
      </c>
      <c r="D86">
        <f>D51</f>
        <v>-6.4083286000000003E-2</v>
      </c>
    </row>
    <row r="87" spans="2:4" x14ac:dyDescent="0.3">
      <c r="B87" t="s">
        <v>392</v>
      </c>
      <c r="C87" t="s">
        <v>213</v>
      </c>
      <c r="D87">
        <f>_xlfn.XLOOKUP(C87,Ed_CCR!$C$2:$C$146,Ed_CCR!$D$2:$D$146,"N/A",0,1)</f>
        <v>0.22132325</v>
      </c>
    </row>
    <row r="88" spans="2:4" x14ac:dyDescent="0.3">
      <c r="B88" t="s">
        <v>393</v>
      </c>
      <c r="C88" t="s">
        <v>203</v>
      </c>
      <c r="D88">
        <f>_xlfn.XLOOKUP(C88,Ed_CCR!$C$2:$C$146,Ed_CCR!$D$2:$D$146,"N/A",0,1)</f>
        <v>0.35527837000000001</v>
      </c>
    </row>
    <row r="89" spans="2:4" x14ac:dyDescent="0.3">
      <c r="B89" t="s">
        <v>394</v>
      </c>
      <c r="C89" t="s">
        <v>273</v>
      </c>
      <c r="D89">
        <f>_xlfn.XLOOKUP(C89,Ed_CCR!$C$2:$C$146,Ed_CCR!$D$2:$D$146,"N/A",0,1)</f>
        <v>-1.5523549999999999</v>
      </c>
    </row>
    <row r="90" spans="2:4" x14ac:dyDescent="0.3">
      <c r="B90" t="s">
        <v>395</v>
      </c>
      <c r="C90" s="3" t="s">
        <v>396</v>
      </c>
      <c r="D90">
        <f>$D$55</f>
        <v>4.897837E-2</v>
      </c>
    </row>
    <row r="91" spans="2:4" x14ac:dyDescent="0.3">
      <c r="B91" t="s">
        <v>397</v>
      </c>
      <c r="C91" t="s">
        <v>218</v>
      </c>
      <c r="D91">
        <f>_xlfn.XLOOKUP(C91,Ed_CCR!$C$2:$C$146,Ed_CCR!$D$2:$D$146,"N/A",0,1)</f>
        <v>9.2852519999999994E-2</v>
      </c>
    </row>
    <row r="92" spans="2:4" x14ac:dyDescent="0.3">
      <c r="B92" t="s">
        <v>398</v>
      </c>
      <c r="C92" t="s">
        <v>269</v>
      </c>
      <c r="D92">
        <f>_xlfn.XLOOKUP(C92,Ed_CCR!$C$2:$C$146,Ed_CCR!$D$2:$D$146,"N/A",0,1)</f>
        <v>-1.2456417</v>
      </c>
    </row>
    <row r="93" spans="2:4" x14ac:dyDescent="0.3">
      <c r="B93" t="s">
        <v>399</v>
      </c>
      <c r="C93" t="s">
        <v>222</v>
      </c>
      <c r="D93">
        <f>_xlfn.XLOOKUP(C93,Ed_CCR!$C$2:$C$146,Ed_CCR!$D$2:$D$146,"N/A",0,1)</f>
        <v>5.3947290000000002E-2</v>
      </c>
    </row>
    <row r="94" spans="2:4" x14ac:dyDescent="0.3">
      <c r="B94" t="s">
        <v>400</v>
      </c>
      <c r="C94" t="s">
        <v>221</v>
      </c>
      <c r="D94">
        <f>_xlfn.XLOOKUP(C94,Ed_CCR!$C$2:$C$146,Ed_CCR!$D$2:$D$146,"N/A",0,1)</f>
        <v>6.1412950000000001E-2</v>
      </c>
    </row>
    <row r="95" spans="2:4" x14ac:dyDescent="0.3">
      <c r="B95" t="s">
        <v>401</v>
      </c>
      <c r="C95" t="s">
        <v>182</v>
      </c>
      <c r="D95">
        <f>_xlfn.XLOOKUP(C95,Ed_CCR!$C$2:$C$146,Ed_CCR!$D$2:$D$146,"N/A",0,1)</f>
        <v>0.77276500000000004</v>
      </c>
    </row>
    <row r="96" spans="2:4" x14ac:dyDescent="0.3">
      <c r="B96" t="s">
        <v>402</v>
      </c>
      <c r="C96" t="s">
        <v>187</v>
      </c>
      <c r="D96">
        <f>_xlfn.XLOOKUP(C96,Ed_CCR!$C$2:$C$146,Ed_CCR!$D$2:$D$146,"N/A",0,1)</f>
        <v>0.68831290000000001</v>
      </c>
    </row>
    <row r="97" spans="2:12" x14ac:dyDescent="0.3">
      <c r="B97" t="s">
        <v>403</v>
      </c>
      <c r="C97" s="3" t="s">
        <v>404</v>
      </c>
      <c r="D97">
        <f>D38</f>
        <v>0.51546835999999996</v>
      </c>
    </row>
    <row r="98" spans="2:12" x14ac:dyDescent="0.3">
      <c r="B98" t="s">
        <v>405</v>
      </c>
      <c r="C98" t="s">
        <v>239</v>
      </c>
      <c r="D98">
        <f>_xlfn.XLOOKUP(C98,Ed_CCR!$C$2:$C$146,Ed_CCR!$D$2:$D$146,"N/A",0,1)</f>
        <v>-0.51779640000000005</v>
      </c>
    </row>
    <row r="99" spans="2:12" x14ac:dyDescent="0.3">
      <c r="B99" t="s">
        <v>406</v>
      </c>
      <c r="C99" t="s">
        <v>194</v>
      </c>
      <c r="D99">
        <f>_xlfn.XLOOKUP(C99,Ed_CCR!$C$2:$C$146,Ed_CCR!$D$2:$D$146,"N/A",0,1)</f>
        <v>0.47239967999999999</v>
      </c>
    </row>
    <row r="100" spans="2:12" x14ac:dyDescent="0.3">
      <c r="B100" t="s">
        <v>407</v>
      </c>
      <c r="C100" t="s">
        <v>175</v>
      </c>
      <c r="D100">
        <f>_xlfn.XLOOKUP(C100,Ed_CCR!$C$2:$C$146,Ed_CCR!$D$2:$D$146,"N/A",0,1)</f>
        <v>0.83213559999999998</v>
      </c>
    </row>
    <row r="101" spans="2:12" x14ac:dyDescent="0.3">
      <c r="B101" t="s">
        <v>408</v>
      </c>
      <c r="C101" t="s">
        <v>190</v>
      </c>
      <c r="D101">
        <f>_xlfn.XLOOKUP(C101,Ed_CCR!$C$2:$C$146,Ed_CCR!$D$2:$D$146,"N/A",0,1)</f>
        <v>0.54655372999999996</v>
      </c>
    </row>
    <row r="102" spans="2:12" x14ac:dyDescent="0.3">
      <c r="B102" t="s">
        <v>409</v>
      </c>
      <c r="C102" t="s">
        <v>260</v>
      </c>
      <c r="D102">
        <f>_xlfn.XLOOKUP(C102,Ed_CCR!$C$2:$C$146,Ed_CCR!$D$2:$D$146,"N/A",0,1)</f>
        <v>-1.0560354000000001</v>
      </c>
    </row>
    <row r="103" spans="2:12" x14ac:dyDescent="0.3">
      <c r="B103" t="s">
        <v>410</v>
      </c>
      <c r="C103" t="s">
        <v>208</v>
      </c>
      <c r="D103">
        <f>_xlfn.XLOOKUP(C103,Ed_CCR!$C$2:$C$146,Ed_CCR!$D$2:$D$146,"N/A",0,1)</f>
        <v>0.26701742000000001</v>
      </c>
    </row>
    <row r="104" spans="2:12" x14ac:dyDescent="0.3">
      <c r="B104" t="s">
        <v>411</v>
      </c>
      <c r="C104" t="s">
        <v>155</v>
      </c>
      <c r="D104">
        <f>_xlfn.XLOOKUP(C104,Ed_CCR!$C$2:$C$146,Ed_CCR!$D$2:$D$146,"N/A",0,1)</f>
        <v>1.3201844</v>
      </c>
    </row>
    <row r="105" spans="2:12" x14ac:dyDescent="0.3">
      <c r="B105" t="s">
        <v>412</v>
      </c>
      <c r="C105" t="s">
        <v>279</v>
      </c>
      <c r="D105">
        <f>_xlfn.XLOOKUP(C105,Ed_CCR!$C$2:$C$146,Ed_CCR!$D$2:$D$146,"N/A",0,1)</f>
        <v>-1.8158319000000001</v>
      </c>
    </row>
    <row r="106" spans="2:12" x14ac:dyDescent="0.3">
      <c r="B106" t="s">
        <v>413</v>
      </c>
      <c r="C106" t="s">
        <v>283</v>
      </c>
      <c r="D106">
        <f>_xlfn.XLOOKUP(C106,Ed_CCR!$C$2:$C$146,Ed_CCR!$D$2:$D$146,"N/A",0,1)</f>
        <v>-2.2590789999999998</v>
      </c>
    </row>
    <row r="107" spans="2:12" x14ac:dyDescent="0.3">
      <c r="B107" t="s">
        <v>414</v>
      </c>
      <c r="C107" s="3" t="s">
        <v>415</v>
      </c>
      <c r="D107">
        <f>$D$55</f>
        <v>4.897837E-2</v>
      </c>
    </row>
    <row r="108" spans="2:12" x14ac:dyDescent="0.3">
      <c r="B108" t="s">
        <v>416</v>
      </c>
      <c r="C108" t="e">
        <v>#N/A</v>
      </c>
      <c r="D108">
        <f>AVERAGE(F108:G108)</f>
        <v>0.77183391999999995</v>
      </c>
      <c r="F108">
        <f>_xlfn.XLOOKUP(J108,$B$7:$B$107,$D$7:$D$107)</f>
        <v>0.72070694000000002</v>
      </c>
      <c r="G108">
        <f>_xlfn.XLOOKUP(K108,$B$7:$B$107,$D$7:$D$107)</f>
        <v>0.8229609</v>
      </c>
      <c r="J108" t="s">
        <v>336</v>
      </c>
      <c r="K108" t="s">
        <v>302</v>
      </c>
    </row>
    <row r="109" spans="2:12" x14ac:dyDescent="0.3">
      <c r="B109" t="s">
        <v>417</v>
      </c>
      <c r="C109" t="e">
        <v>#N/A</v>
      </c>
      <c r="D109">
        <f>AVERAGE(G109:H109)</f>
        <v>1.3038056</v>
      </c>
      <c r="G109">
        <f>_xlfn.XLOOKUP(K109,$B$7:$B$107,$D$7:$D$107)</f>
        <v>1.3551035</v>
      </c>
      <c r="H109">
        <f>_xlfn.XLOOKUP(L109,$B$7:$B$107,$D$7:$D$107)</f>
        <v>1.2525077</v>
      </c>
      <c r="J109" t="s">
        <v>418</v>
      </c>
      <c r="K109" t="s">
        <v>307</v>
      </c>
      <c r="L109" t="s">
        <v>310</v>
      </c>
    </row>
    <row r="110" spans="2:12" x14ac:dyDescent="0.3">
      <c r="B110" t="s">
        <v>419</v>
      </c>
      <c r="C110" t="e">
        <v>#N/A</v>
      </c>
      <c r="D110">
        <f>AVERAGE(F110:H110)</f>
        <v>1.1504754666666668</v>
      </c>
      <c r="F110">
        <f>_xlfn.XLOOKUP(J110,$B$7:$B$107,$D$7:$D$107)</f>
        <v>0.99006039999999995</v>
      </c>
      <c r="G110">
        <f>_xlfn.XLOOKUP(K110,$B$7:$B$107,$D$7:$D$107)</f>
        <v>1.3334634000000001</v>
      </c>
      <c r="H110">
        <f>_xlfn.XLOOKUP(L110,$B$7:$B$107,$D$7:$D$107)</f>
        <v>1.1279026000000001</v>
      </c>
      <c r="J110" t="s">
        <v>317</v>
      </c>
      <c r="K110" t="s">
        <v>364</v>
      </c>
      <c r="L110" t="s">
        <v>366</v>
      </c>
    </row>
    <row r="111" spans="2:12" x14ac:dyDescent="0.3">
      <c r="B111" t="s">
        <v>420</v>
      </c>
      <c r="C111" t="e">
        <v>#N/A</v>
      </c>
      <c r="D111">
        <f>AVERAGE(F111:G111)</f>
        <v>1.1866747</v>
      </c>
      <c r="F111">
        <f>_xlfn.XLOOKUP(J111,$B$7:$B$107,$D$7:$D$107)</f>
        <v>1.3551035</v>
      </c>
      <c r="G111">
        <f>_xlfn.XLOOKUP(K111,$B$7:$B$107,$D$7:$D$107)</f>
        <v>1.0182458999999999</v>
      </c>
      <c r="J111" t="s">
        <v>307</v>
      </c>
      <c r="K111" t="s">
        <v>309</v>
      </c>
    </row>
    <row r="112" spans="2:12" x14ac:dyDescent="0.3">
      <c r="B112" t="s">
        <v>421</v>
      </c>
      <c r="C112" t="e">
        <v>#N/A</v>
      </c>
      <c r="D112">
        <f>AVERAGE(F112:G112)</f>
        <v>0.95473534999999998</v>
      </c>
      <c r="F112">
        <f>_xlfn.XLOOKUP(J112,$B$7:$B$107,$D$7:$D$107)</f>
        <v>0.8229609</v>
      </c>
      <c r="G112">
        <f>_xlfn.XLOOKUP(K112,$B$7:$B$107,$D$7:$D$107)</f>
        <v>1.0865098</v>
      </c>
      <c r="J112" t="s">
        <v>302</v>
      </c>
      <c r="K112" t="s">
        <v>314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BA67B-1754-4383-BBA8-03F00AC85DF5}">
  <dimension ref="A1"/>
  <sheetViews>
    <sheetView showGridLines="0"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B4248-F399-4930-B5F1-79F21960B9AE}">
  <dimension ref="A1:E146"/>
  <sheetViews>
    <sheetView topLeftCell="A103" workbookViewId="0"/>
  </sheetViews>
  <sheetFormatPr defaultRowHeight="14.4" x14ac:dyDescent="0.3"/>
  <sheetData>
    <row r="1" spans="1:5" x14ac:dyDescent="0.3">
      <c r="A1" t="s">
        <v>146</v>
      </c>
      <c r="B1" t="s">
        <v>147</v>
      </c>
      <c r="C1" t="s">
        <v>148</v>
      </c>
      <c r="D1" t="s">
        <v>149</v>
      </c>
      <c r="E1" t="s">
        <v>150</v>
      </c>
    </row>
    <row r="2" spans="1:5" x14ac:dyDescent="0.3">
      <c r="A2">
        <v>1</v>
      </c>
      <c r="B2">
        <v>2024</v>
      </c>
      <c r="C2" t="s">
        <v>151</v>
      </c>
      <c r="D2">
        <v>1.6889353</v>
      </c>
      <c r="E2">
        <v>0</v>
      </c>
    </row>
    <row r="3" spans="1:5" x14ac:dyDescent="0.3">
      <c r="A3">
        <v>2</v>
      </c>
      <c r="B3">
        <v>2024</v>
      </c>
      <c r="C3" t="s">
        <v>152</v>
      </c>
      <c r="D3">
        <v>1.5791347</v>
      </c>
      <c r="E3">
        <v>1</v>
      </c>
    </row>
    <row r="4" spans="1:5" x14ac:dyDescent="0.3">
      <c r="A4">
        <v>3</v>
      </c>
      <c r="B4">
        <v>2024</v>
      </c>
      <c r="C4" t="s">
        <v>359</v>
      </c>
      <c r="D4">
        <v>1.5736562999999999</v>
      </c>
      <c r="E4">
        <v>1</v>
      </c>
    </row>
    <row r="5" spans="1:5" x14ac:dyDescent="0.3">
      <c r="A5">
        <v>4</v>
      </c>
      <c r="B5">
        <v>2024</v>
      </c>
      <c r="C5" t="s">
        <v>348</v>
      </c>
      <c r="D5">
        <v>1.5620726</v>
      </c>
      <c r="E5">
        <v>-2</v>
      </c>
    </row>
    <row r="6" spans="1:5" x14ac:dyDescent="0.3">
      <c r="A6">
        <v>5</v>
      </c>
      <c r="B6">
        <v>2024</v>
      </c>
      <c r="C6" t="s">
        <v>153</v>
      </c>
      <c r="D6">
        <v>1.4509376</v>
      </c>
      <c r="E6">
        <v>0</v>
      </c>
    </row>
    <row r="7" spans="1:5" x14ac:dyDescent="0.3">
      <c r="A7">
        <v>6</v>
      </c>
      <c r="B7">
        <v>2024</v>
      </c>
      <c r="C7" t="s">
        <v>154</v>
      </c>
      <c r="D7">
        <v>1.3551035</v>
      </c>
      <c r="E7">
        <v>0</v>
      </c>
    </row>
    <row r="8" spans="1:5" x14ac:dyDescent="0.3">
      <c r="A8">
        <v>7</v>
      </c>
      <c r="B8">
        <v>2024</v>
      </c>
      <c r="C8" t="s">
        <v>365</v>
      </c>
      <c r="D8">
        <v>1.3334634000000001</v>
      </c>
      <c r="E8">
        <v>0</v>
      </c>
    </row>
    <row r="9" spans="1:5" x14ac:dyDescent="0.3">
      <c r="A9">
        <v>8</v>
      </c>
      <c r="B9">
        <v>2024</v>
      </c>
      <c r="C9" t="s">
        <v>155</v>
      </c>
      <c r="D9">
        <v>1.3201844</v>
      </c>
      <c r="E9">
        <v>11</v>
      </c>
    </row>
    <row r="10" spans="1:5" x14ac:dyDescent="0.3">
      <c r="A10">
        <v>9</v>
      </c>
      <c r="B10">
        <v>2024</v>
      </c>
      <c r="C10" t="s">
        <v>156</v>
      </c>
      <c r="D10">
        <v>1.2816951999999999</v>
      </c>
      <c r="E10">
        <v>1</v>
      </c>
    </row>
    <row r="11" spans="1:5" x14ac:dyDescent="0.3">
      <c r="A11">
        <v>10</v>
      </c>
      <c r="B11">
        <v>2024</v>
      </c>
      <c r="C11" t="s">
        <v>157</v>
      </c>
      <c r="D11">
        <v>1.2594000999999999</v>
      </c>
      <c r="E11">
        <v>3</v>
      </c>
    </row>
    <row r="12" spans="1:5" x14ac:dyDescent="0.3">
      <c r="A12">
        <v>11</v>
      </c>
      <c r="B12">
        <v>2024</v>
      </c>
      <c r="C12" t="s">
        <v>158</v>
      </c>
      <c r="D12">
        <v>1.2525077</v>
      </c>
      <c r="E12">
        <v>-2</v>
      </c>
    </row>
    <row r="13" spans="1:5" x14ac:dyDescent="0.3">
      <c r="A13">
        <v>12</v>
      </c>
      <c r="B13">
        <v>2024</v>
      </c>
      <c r="C13" t="s">
        <v>159</v>
      </c>
      <c r="D13">
        <v>1.2450106000000001</v>
      </c>
      <c r="E13">
        <v>0</v>
      </c>
    </row>
    <row r="14" spans="1:5" x14ac:dyDescent="0.3">
      <c r="A14">
        <v>13</v>
      </c>
      <c r="B14">
        <v>2024</v>
      </c>
      <c r="C14" t="s">
        <v>160</v>
      </c>
      <c r="D14">
        <v>1.2342116999999999</v>
      </c>
      <c r="E14">
        <v>-5</v>
      </c>
    </row>
    <row r="15" spans="1:5" x14ac:dyDescent="0.3">
      <c r="A15">
        <v>14</v>
      </c>
      <c r="B15">
        <v>2024</v>
      </c>
      <c r="C15" t="s">
        <v>161</v>
      </c>
      <c r="D15">
        <v>1.1835933000000001</v>
      </c>
      <c r="E15">
        <v>2</v>
      </c>
    </row>
    <row r="16" spans="1:5" x14ac:dyDescent="0.3">
      <c r="A16">
        <v>15</v>
      </c>
      <c r="B16">
        <v>2024</v>
      </c>
      <c r="C16" t="s">
        <v>162</v>
      </c>
      <c r="D16">
        <v>1.1648879999999999</v>
      </c>
      <c r="E16">
        <v>0</v>
      </c>
    </row>
    <row r="17" spans="1:5" x14ac:dyDescent="0.3">
      <c r="A17">
        <v>16</v>
      </c>
      <c r="B17">
        <v>2024</v>
      </c>
      <c r="C17" t="s">
        <v>163</v>
      </c>
      <c r="D17">
        <v>1.1517107</v>
      </c>
      <c r="E17">
        <v>-5</v>
      </c>
    </row>
    <row r="18" spans="1:5" x14ac:dyDescent="0.3">
      <c r="A18">
        <v>17</v>
      </c>
      <c r="B18">
        <v>2024</v>
      </c>
      <c r="C18" t="s">
        <v>367</v>
      </c>
      <c r="D18">
        <v>1.1279026000000001</v>
      </c>
      <c r="E18">
        <v>0</v>
      </c>
    </row>
    <row r="19" spans="1:5" x14ac:dyDescent="0.3">
      <c r="A19">
        <v>18</v>
      </c>
      <c r="B19">
        <v>2024</v>
      </c>
      <c r="C19" t="s">
        <v>164</v>
      </c>
      <c r="D19">
        <v>1.1183400999999999</v>
      </c>
      <c r="E19">
        <v>2</v>
      </c>
    </row>
    <row r="20" spans="1:5" x14ac:dyDescent="0.3">
      <c r="A20">
        <v>19</v>
      </c>
      <c r="B20">
        <v>2024</v>
      </c>
      <c r="C20" t="s">
        <v>165</v>
      </c>
      <c r="D20">
        <v>1.1119052</v>
      </c>
      <c r="E20">
        <v>3</v>
      </c>
    </row>
    <row r="21" spans="1:5" x14ac:dyDescent="0.3">
      <c r="A21">
        <v>20</v>
      </c>
      <c r="B21">
        <v>2024</v>
      </c>
      <c r="C21" t="s">
        <v>304</v>
      </c>
      <c r="D21">
        <v>1.1067898</v>
      </c>
      <c r="E21">
        <v>-6</v>
      </c>
    </row>
    <row r="22" spans="1:5" x14ac:dyDescent="0.3">
      <c r="A22">
        <v>21</v>
      </c>
      <c r="B22">
        <v>2024</v>
      </c>
      <c r="C22" t="s">
        <v>166</v>
      </c>
      <c r="D22">
        <v>1.0865098</v>
      </c>
      <c r="E22">
        <v>-3</v>
      </c>
    </row>
    <row r="23" spans="1:5" x14ac:dyDescent="0.3">
      <c r="A23">
        <v>22</v>
      </c>
      <c r="B23">
        <v>2024</v>
      </c>
      <c r="C23" t="s">
        <v>167</v>
      </c>
      <c r="D23">
        <v>1.0182458999999999</v>
      </c>
      <c r="E23">
        <v>2</v>
      </c>
    </row>
    <row r="24" spans="1:5" x14ac:dyDescent="0.3">
      <c r="A24">
        <v>23</v>
      </c>
      <c r="B24">
        <v>2024</v>
      </c>
      <c r="C24" t="s">
        <v>168</v>
      </c>
      <c r="D24">
        <v>1.0010595</v>
      </c>
      <c r="E24">
        <v>3</v>
      </c>
    </row>
    <row r="25" spans="1:5" x14ac:dyDescent="0.3">
      <c r="A25">
        <v>24</v>
      </c>
      <c r="B25">
        <v>2024</v>
      </c>
      <c r="C25" t="s">
        <v>169</v>
      </c>
      <c r="D25">
        <v>0.99210273999999998</v>
      </c>
      <c r="E25">
        <v>-3</v>
      </c>
    </row>
    <row r="26" spans="1:5" x14ac:dyDescent="0.3">
      <c r="A26">
        <v>25</v>
      </c>
      <c r="B26">
        <v>2024</v>
      </c>
      <c r="C26" t="s">
        <v>170</v>
      </c>
      <c r="D26">
        <v>0.99006039999999995</v>
      </c>
      <c r="E26">
        <v>-2</v>
      </c>
    </row>
    <row r="27" spans="1:5" x14ac:dyDescent="0.3">
      <c r="A27">
        <v>26</v>
      </c>
      <c r="B27">
        <v>2024</v>
      </c>
      <c r="C27" t="s">
        <v>171</v>
      </c>
      <c r="D27">
        <v>0.94748454999999998</v>
      </c>
      <c r="E27">
        <v>2</v>
      </c>
    </row>
    <row r="28" spans="1:5" x14ac:dyDescent="0.3">
      <c r="A28">
        <v>27</v>
      </c>
      <c r="B28">
        <v>2024</v>
      </c>
      <c r="C28" t="s">
        <v>172</v>
      </c>
      <c r="D28">
        <v>0.93636702999999999</v>
      </c>
      <c r="E28">
        <v>3</v>
      </c>
    </row>
    <row r="29" spans="1:5" x14ac:dyDescent="0.3">
      <c r="A29">
        <v>28</v>
      </c>
      <c r="B29">
        <v>2024</v>
      </c>
      <c r="C29" t="s">
        <v>173</v>
      </c>
      <c r="D29">
        <v>0.88679474999999996</v>
      </c>
      <c r="E29">
        <v>-3</v>
      </c>
    </row>
    <row r="30" spans="1:5" x14ac:dyDescent="0.3">
      <c r="A30">
        <v>29</v>
      </c>
      <c r="B30">
        <v>2024</v>
      </c>
      <c r="C30" t="s">
        <v>174</v>
      </c>
      <c r="D30">
        <v>0.85616999999999999</v>
      </c>
      <c r="E30">
        <v>2</v>
      </c>
    </row>
    <row r="31" spans="1:5" x14ac:dyDescent="0.3">
      <c r="A31">
        <v>30</v>
      </c>
      <c r="B31">
        <v>2024</v>
      </c>
      <c r="C31" t="s">
        <v>175</v>
      </c>
      <c r="D31">
        <v>0.83213559999999998</v>
      </c>
      <c r="E31">
        <v>5</v>
      </c>
    </row>
    <row r="32" spans="1:5" x14ac:dyDescent="0.3">
      <c r="A32">
        <v>31</v>
      </c>
      <c r="B32">
        <v>2024</v>
      </c>
      <c r="C32" t="s">
        <v>176</v>
      </c>
      <c r="D32">
        <v>0.8229609</v>
      </c>
      <c r="E32">
        <v>5</v>
      </c>
    </row>
    <row r="33" spans="1:5" x14ac:dyDescent="0.3">
      <c r="A33">
        <v>32</v>
      </c>
      <c r="B33">
        <v>2024</v>
      </c>
      <c r="C33" t="s">
        <v>177</v>
      </c>
      <c r="D33">
        <v>0.81823765999999998</v>
      </c>
      <c r="E33">
        <v>-5</v>
      </c>
    </row>
    <row r="34" spans="1:5" x14ac:dyDescent="0.3">
      <c r="A34">
        <v>33</v>
      </c>
      <c r="B34">
        <v>2024</v>
      </c>
      <c r="C34" t="s">
        <v>178</v>
      </c>
      <c r="D34">
        <v>0.79898309999999995</v>
      </c>
      <c r="E34">
        <v>8</v>
      </c>
    </row>
    <row r="35" spans="1:5" x14ac:dyDescent="0.3">
      <c r="A35">
        <v>34</v>
      </c>
      <c r="B35">
        <v>2024</v>
      </c>
      <c r="C35" t="s">
        <v>179</v>
      </c>
      <c r="D35">
        <v>0.78916379999999997</v>
      </c>
      <c r="E35">
        <v>-2</v>
      </c>
    </row>
    <row r="36" spans="1:5" x14ac:dyDescent="0.3">
      <c r="A36">
        <v>35</v>
      </c>
      <c r="B36">
        <v>2024</v>
      </c>
      <c r="C36" t="s">
        <v>180</v>
      </c>
      <c r="D36">
        <v>0.78716240000000004</v>
      </c>
      <c r="E36">
        <v>-2</v>
      </c>
    </row>
    <row r="37" spans="1:5" x14ac:dyDescent="0.3">
      <c r="A37">
        <v>36</v>
      </c>
      <c r="B37">
        <v>2024</v>
      </c>
      <c r="C37" t="s">
        <v>181</v>
      </c>
      <c r="D37">
        <v>0.78560585000000005</v>
      </c>
      <c r="E37">
        <v>-2</v>
      </c>
    </row>
    <row r="38" spans="1:5" x14ac:dyDescent="0.3">
      <c r="A38">
        <v>37</v>
      </c>
      <c r="B38">
        <v>2024</v>
      </c>
      <c r="C38" t="s">
        <v>182</v>
      </c>
      <c r="D38">
        <v>0.77276500000000004</v>
      </c>
      <c r="E38">
        <v>7</v>
      </c>
    </row>
    <row r="39" spans="1:5" x14ac:dyDescent="0.3">
      <c r="A39">
        <v>38</v>
      </c>
      <c r="B39">
        <v>2024</v>
      </c>
      <c r="C39" t="s">
        <v>183</v>
      </c>
      <c r="D39">
        <v>0.76167220000000002</v>
      </c>
      <c r="E39">
        <v>-1</v>
      </c>
    </row>
    <row r="40" spans="1:5" x14ac:dyDescent="0.3">
      <c r="A40">
        <v>39</v>
      </c>
      <c r="B40">
        <v>2024</v>
      </c>
      <c r="C40" t="s">
        <v>184</v>
      </c>
      <c r="D40">
        <v>0.7417068</v>
      </c>
      <c r="E40">
        <v>-10</v>
      </c>
    </row>
    <row r="41" spans="1:5" x14ac:dyDescent="0.3">
      <c r="A41">
        <v>40</v>
      </c>
      <c r="B41">
        <v>2024</v>
      </c>
      <c r="C41" t="s">
        <v>185</v>
      </c>
      <c r="D41">
        <v>0.72070694000000002</v>
      </c>
      <c r="E41">
        <v>-1</v>
      </c>
    </row>
    <row r="42" spans="1:5" x14ac:dyDescent="0.3">
      <c r="A42">
        <v>41</v>
      </c>
      <c r="B42">
        <v>2024</v>
      </c>
      <c r="C42" t="s">
        <v>186</v>
      </c>
      <c r="D42">
        <v>0.71645314000000004</v>
      </c>
      <c r="E42">
        <v>1</v>
      </c>
    </row>
    <row r="43" spans="1:5" x14ac:dyDescent="0.3">
      <c r="A43">
        <v>42</v>
      </c>
      <c r="B43">
        <v>2024</v>
      </c>
      <c r="C43" t="s">
        <v>330</v>
      </c>
      <c r="D43">
        <v>0.70451224000000001</v>
      </c>
      <c r="E43">
        <v>8</v>
      </c>
    </row>
    <row r="44" spans="1:5" x14ac:dyDescent="0.3">
      <c r="A44">
        <v>43</v>
      </c>
      <c r="B44">
        <v>2024</v>
      </c>
      <c r="C44" t="s">
        <v>187</v>
      </c>
      <c r="D44">
        <v>0.68831290000000001</v>
      </c>
      <c r="E44">
        <v>-3</v>
      </c>
    </row>
    <row r="45" spans="1:5" x14ac:dyDescent="0.3">
      <c r="A45">
        <v>44</v>
      </c>
      <c r="B45">
        <v>2024</v>
      </c>
      <c r="C45" t="s">
        <v>188</v>
      </c>
      <c r="D45">
        <v>0.67544550000000003</v>
      </c>
      <c r="E45">
        <v>7</v>
      </c>
    </row>
    <row r="46" spans="1:5" x14ac:dyDescent="0.3">
      <c r="A46">
        <v>45</v>
      </c>
      <c r="B46">
        <v>2024</v>
      </c>
      <c r="C46" t="s">
        <v>362</v>
      </c>
      <c r="D46">
        <v>0.62897234999999996</v>
      </c>
      <c r="E46">
        <v>10</v>
      </c>
    </row>
    <row r="47" spans="1:5" x14ac:dyDescent="0.3">
      <c r="A47">
        <v>46</v>
      </c>
      <c r="B47">
        <v>2024</v>
      </c>
      <c r="C47" t="s">
        <v>189</v>
      </c>
      <c r="D47">
        <v>0.58100635</v>
      </c>
      <c r="E47">
        <v>23</v>
      </c>
    </row>
    <row r="48" spans="1:5" x14ac:dyDescent="0.3">
      <c r="A48">
        <v>47</v>
      </c>
      <c r="B48">
        <v>2024</v>
      </c>
      <c r="C48" t="s">
        <v>190</v>
      </c>
      <c r="D48">
        <v>0.54655372999999996</v>
      </c>
      <c r="E48">
        <v>9</v>
      </c>
    </row>
    <row r="49" spans="1:5" x14ac:dyDescent="0.3">
      <c r="A49">
        <v>48</v>
      </c>
      <c r="B49">
        <v>2024</v>
      </c>
      <c r="C49" t="s">
        <v>191</v>
      </c>
      <c r="D49">
        <v>0.52144676000000001</v>
      </c>
      <c r="E49">
        <v>11</v>
      </c>
    </row>
    <row r="50" spans="1:5" x14ac:dyDescent="0.3">
      <c r="A50">
        <v>49</v>
      </c>
      <c r="B50">
        <v>2024</v>
      </c>
      <c r="C50" t="s">
        <v>192</v>
      </c>
      <c r="D50">
        <v>0.51546835999999996</v>
      </c>
      <c r="E50">
        <v>4</v>
      </c>
    </row>
    <row r="51" spans="1:5" x14ac:dyDescent="0.3">
      <c r="A51">
        <v>50</v>
      </c>
      <c r="B51">
        <v>2024</v>
      </c>
      <c r="C51" t="s">
        <v>193</v>
      </c>
      <c r="D51">
        <v>0.49866854999999999</v>
      </c>
      <c r="E51">
        <v>-4</v>
      </c>
    </row>
    <row r="52" spans="1:5" x14ac:dyDescent="0.3">
      <c r="A52">
        <v>51</v>
      </c>
      <c r="B52">
        <v>2024</v>
      </c>
      <c r="C52" t="s">
        <v>194</v>
      </c>
      <c r="D52">
        <v>0.47239967999999999</v>
      </c>
      <c r="E52">
        <v>-2</v>
      </c>
    </row>
    <row r="53" spans="1:5" x14ac:dyDescent="0.3">
      <c r="A53">
        <v>52</v>
      </c>
      <c r="B53">
        <v>2024</v>
      </c>
      <c r="C53" t="s">
        <v>195</v>
      </c>
      <c r="D53">
        <v>0.42283883999999999</v>
      </c>
      <c r="E53">
        <v>13</v>
      </c>
    </row>
    <row r="54" spans="1:5" x14ac:dyDescent="0.3">
      <c r="A54">
        <v>53</v>
      </c>
      <c r="B54">
        <v>2024</v>
      </c>
      <c r="C54" t="s">
        <v>196</v>
      </c>
      <c r="D54">
        <v>0.40039277000000001</v>
      </c>
      <c r="E54">
        <v>-5</v>
      </c>
    </row>
    <row r="55" spans="1:5" x14ac:dyDescent="0.3">
      <c r="A55">
        <v>54</v>
      </c>
      <c r="B55">
        <v>2024</v>
      </c>
      <c r="C55" t="s">
        <v>197</v>
      </c>
      <c r="D55">
        <v>0.39053303</v>
      </c>
      <c r="E55">
        <v>3</v>
      </c>
    </row>
    <row r="56" spans="1:5" x14ac:dyDescent="0.3">
      <c r="A56">
        <v>55</v>
      </c>
      <c r="B56">
        <v>2024</v>
      </c>
      <c r="C56" t="s">
        <v>198</v>
      </c>
      <c r="D56">
        <v>0.37895516000000001</v>
      </c>
      <c r="E56">
        <v>27</v>
      </c>
    </row>
    <row r="57" spans="1:5" x14ac:dyDescent="0.3">
      <c r="A57">
        <v>56</v>
      </c>
      <c r="B57">
        <v>2024</v>
      </c>
      <c r="C57" t="s">
        <v>199</v>
      </c>
      <c r="D57">
        <v>0.36996417999999998</v>
      </c>
      <c r="E57">
        <v>-4</v>
      </c>
    </row>
    <row r="58" spans="1:5" x14ac:dyDescent="0.3">
      <c r="A58">
        <v>57</v>
      </c>
      <c r="B58">
        <v>2024</v>
      </c>
      <c r="C58" t="s">
        <v>200</v>
      </c>
      <c r="D58">
        <v>0.36940889999999998</v>
      </c>
      <c r="E58">
        <v>-12</v>
      </c>
    </row>
    <row r="59" spans="1:5" x14ac:dyDescent="0.3">
      <c r="A59">
        <v>58</v>
      </c>
      <c r="B59">
        <v>2024</v>
      </c>
      <c r="C59" t="s">
        <v>201</v>
      </c>
      <c r="D59">
        <v>0.36877211999999998</v>
      </c>
      <c r="E59">
        <v>-4</v>
      </c>
    </row>
    <row r="60" spans="1:5" x14ac:dyDescent="0.3">
      <c r="A60">
        <v>59</v>
      </c>
      <c r="B60">
        <v>2024</v>
      </c>
      <c r="C60" t="s">
        <v>202</v>
      </c>
      <c r="D60">
        <v>0.35544133</v>
      </c>
      <c r="E60">
        <v>14</v>
      </c>
    </row>
    <row r="61" spans="1:5" x14ac:dyDescent="0.3">
      <c r="A61">
        <v>60</v>
      </c>
      <c r="B61">
        <v>2024</v>
      </c>
      <c r="C61" t="s">
        <v>203</v>
      </c>
      <c r="D61">
        <v>0.35527837000000001</v>
      </c>
      <c r="E61">
        <v>-17</v>
      </c>
    </row>
    <row r="62" spans="1:5" x14ac:dyDescent="0.3">
      <c r="A62">
        <v>61</v>
      </c>
      <c r="B62">
        <v>2024</v>
      </c>
      <c r="C62" t="s">
        <v>204</v>
      </c>
      <c r="D62">
        <v>0.338835</v>
      </c>
      <c r="E62">
        <v>-1</v>
      </c>
    </row>
    <row r="63" spans="1:5" x14ac:dyDescent="0.3">
      <c r="A63">
        <v>62</v>
      </c>
      <c r="B63">
        <v>2024</v>
      </c>
      <c r="C63" t="s">
        <v>205</v>
      </c>
      <c r="D63">
        <v>0.30447593000000001</v>
      </c>
      <c r="E63">
        <v>0</v>
      </c>
    </row>
    <row r="64" spans="1:5" x14ac:dyDescent="0.3">
      <c r="A64">
        <v>63</v>
      </c>
      <c r="B64">
        <v>2024</v>
      </c>
      <c r="C64" t="s">
        <v>206</v>
      </c>
      <c r="D64">
        <v>0.29734719999999998</v>
      </c>
      <c r="E64">
        <v>-2</v>
      </c>
    </row>
    <row r="65" spans="1:5" x14ac:dyDescent="0.3">
      <c r="A65">
        <v>64</v>
      </c>
      <c r="B65">
        <v>2024</v>
      </c>
      <c r="C65" t="s">
        <v>207</v>
      </c>
      <c r="D65">
        <v>0.29317432999999998</v>
      </c>
      <c r="E65">
        <v>4</v>
      </c>
    </row>
    <row r="66" spans="1:5" x14ac:dyDescent="0.3">
      <c r="A66">
        <v>65</v>
      </c>
      <c r="B66">
        <v>2024</v>
      </c>
      <c r="C66" t="s">
        <v>208</v>
      </c>
      <c r="D66">
        <v>0.26701742000000001</v>
      </c>
      <c r="E66">
        <v>-18</v>
      </c>
    </row>
    <row r="67" spans="1:5" x14ac:dyDescent="0.3">
      <c r="A67">
        <v>66</v>
      </c>
      <c r="B67">
        <v>2024</v>
      </c>
      <c r="C67" t="s">
        <v>209</v>
      </c>
      <c r="D67">
        <v>0.26412882999999998</v>
      </c>
      <c r="E67">
        <v>-3</v>
      </c>
    </row>
    <row r="68" spans="1:5" x14ac:dyDescent="0.3">
      <c r="A68">
        <v>67</v>
      </c>
      <c r="B68">
        <v>2024</v>
      </c>
      <c r="C68" t="s">
        <v>210</v>
      </c>
      <c r="D68">
        <v>0.24730694</v>
      </c>
      <c r="E68">
        <v>-29</v>
      </c>
    </row>
    <row r="69" spans="1:5" x14ac:dyDescent="0.3">
      <c r="A69">
        <v>68</v>
      </c>
      <c r="B69">
        <v>2024</v>
      </c>
      <c r="C69" t="s">
        <v>211</v>
      </c>
      <c r="D69">
        <v>0.24485011000000001</v>
      </c>
      <c r="E69">
        <v>-2</v>
      </c>
    </row>
    <row r="70" spans="1:5" x14ac:dyDescent="0.3">
      <c r="A70">
        <v>69</v>
      </c>
      <c r="B70">
        <v>2024</v>
      </c>
      <c r="C70" t="s">
        <v>212</v>
      </c>
      <c r="D70">
        <v>0.23433408</v>
      </c>
      <c r="E70">
        <v>-11</v>
      </c>
    </row>
    <row r="71" spans="1:5" x14ac:dyDescent="0.3">
      <c r="A71">
        <v>70</v>
      </c>
      <c r="B71">
        <v>2024</v>
      </c>
      <c r="C71" t="s">
        <v>213</v>
      </c>
      <c r="D71">
        <v>0.22132325</v>
      </c>
      <c r="E71">
        <v>23</v>
      </c>
    </row>
    <row r="72" spans="1:5" x14ac:dyDescent="0.3">
      <c r="A72">
        <v>71</v>
      </c>
      <c r="B72">
        <v>2024</v>
      </c>
      <c r="C72" t="s">
        <v>214</v>
      </c>
      <c r="D72">
        <v>0.21007992</v>
      </c>
      <c r="E72">
        <v>4</v>
      </c>
    </row>
    <row r="73" spans="1:5" x14ac:dyDescent="0.3">
      <c r="A73">
        <v>72</v>
      </c>
      <c r="B73">
        <v>2024</v>
      </c>
      <c r="C73" t="s">
        <v>215</v>
      </c>
      <c r="D73">
        <v>0.20459791999999999</v>
      </c>
      <c r="E73">
        <v>8</v>
      </c>
    </row>
    <row r="74" spans="1:5" x14ac:dyDescent="0.3">
      <c r="A74">
        <v>73</v>
      </c>
      <c r="B74">
        <v>2024</v>
      </c>
      <c r="C74" t="s">
        <v>216</v>
      </c>
      <c r="D74">
        <v>0.16487212000000001</v>
      </c>
      <c r="E74">
        <v>4</v>
      </c>
    </row>
    <row r="75" spans="1:5" x14ac:dyDescent="0.3">
      <c r="A75">
        <v>74</v>
      </c>
      <c r="B75">
        <v>2024</v>
      </c>
      <c r="C75" t="s">
        <v>217</v>
      </c>
      <c r="D75">
        <v>0.11708149</v>
      </c>
      <c r="E75">
        <v>-10</v>
      </c>
    </row>
    <row r="76" spans="1:5" x14ac:dyDescent="0.3">
      <c r="A76">
        <v>75</v>
      </c>
      <c r="B76">
        <v>2024</v>
      </c>
      <c r="C76" t="s">
        <v>218</v>
      </c>
      <c r="D76">
        <v>9.2852519999999994E-2</v>
      </c>
      <c r="E76">
        <v>-8</v>
      </c>
    </row>
    <row r="77" spans="1:5" x14ac:dyDescent="0.3">
      <c r="A77">
        <v>76</v>
      </c>
      <c r="B77">
        <v>2024</v>
      </c>
      <c r="C77" t="s">
        <v>219</v>
      </c>
      <c r="D77">
        <v>7.5096524999999997E-2</v>
      </c>
      <c r="E77">
        <v>3</v>
      </c>
    </row>
    <row r="78" spans="1:5" x14ac:dyDescent="0.3">
      <c r="A78">
        <v>77</v>
      </c>
      <c r="B78">
        <v>2024</v>
      </c>
      <c r="C78" t="s">
        <v>220</v>
      </c>
      <c r="D78">
        <v>7.1744479999999999E-2</v>
      </c>
      <c r="E78">
        <v>7</v>
      </c>
    </row>
    <row r="79" spans="1:5" x14ac:dyDescent="0.3">
      <c r="A79">
        <v>78</v>
      </c>
      <c r="B79">
        <v>2024</v>
      </c>
      <c r="C79" t="s">
        <v>221</v>
      </c>
      <c r="D79">
        <v>6.1412950000000001E-2</v>
      </c>
      <c r="E79">
        <v>-6</v>
      </c>
    </row>
    <row r="80" spans="1:5" x14ac:dyDescent="0.3">
      <c r="A80">
        <v>79</v>
      </c>
      <c r="B80">
        <v>2024</v>
      </c>
      <c r="C80" t="s">
        <v>222</v>
      </c>
      <c r="D80">
        <v>5.3947290000000002E-2</v>
      </c>
      <c r="E80">
        <v>2</v>
      </c>
    </row>
    <row r="81" spans="1:5" x14ac:dyDescent="0.3">
      <c r="A81">
        <v>80</v>
      </c>
      <c r="B81">
        <v>2024</v>
      </c>
      <c r="C81" t="s">
        <v>223</v>
      </c>
      <c r="D81">
        <v>4.897837E-2</v>
      </c>
      <c r="E81">
        <v>-10</v>
      </c>
    </row>
    <row r="82" spans="1:5" x14ac:dyDescent="0.3">
      <c r="A82">
        <v>81</v>
      </c>
      <c r="B82">
        <v>2024</v>
      </c>
      <c r="C82" t="s">
        <v>224</v>
      </c>
      <c r="D82">
        <v>4.6849490000000001E-2</v>
      </c>
      <c r="E82">
        <v>6</v>
      </c>
    </row>
    <row r="83" spans="1:5" x14ac:dyDescent="0.3">
      <c r="A83">
        <v>82</v>
      </c>
      <c r="B83">
        <v>2024</v>
      </c>
      <c r="C83" t="s">
        <v>225</v>
      </c>
      <c r="D83">
        <v>1.8094751999999999E-2</v>
      </c>
      <c r="E83">
        <v>12</v>
      </c>
    </row>
    <row r="84" spans="1:5" x14ac:dyDescent="0.3">
      <c r="A84">
        <v>83</v>
      </c>
      <c r="B84">
        <v>2024</v>
      </c>
      <c r="C84" t="s">
        <v>226</v>
      </c>
      <c r="D84">
        <v>-4.8828515999999999E-3</v>
      </c>
      <c r="E84">
        <v>3</v>
      </c>
    </row>
    <row r="85" spans="1:5" x14ac:dyDescent="0.3">
      <c r="A85">
        <v>84</v>
      </c>
      <c r="B85">
        <v>2024</v>
      </c>
      <c r="C85" t="s">
        <v>227</v>
      </c>
      <c r="D85">
        <v>-1.3300096000000001E-2</v>
      </c>
      <c r="E85">
        <v>-13</v>
      </c>
    </row>
    <row r="86" spans="1:5" x14ac:dyDescent="0.3">
      <c r="A86">
        <v>85</v>
      </c>
      <c r="B86">
        <v>2024</v>
      </c>
      <c r="C86" t="s">
        <v>228</v>
      </c>
      <c r="D86">
        <v>-3.5130362999999998E-2</v>
      </c>
      <c r="E86">
        <v>-9</v>
      </c>
    </row>
    <row r="87" spans="1:5" x14ac:dyDescent="0.3">
      <c r="A87">
        <v>86</v>
      </c>
      <c r="B87">
        <v>2024</v>
      </c>
      <c r="C87" t="s">
        <v>229</v>
      </c>
      <c r="D87">
        <v>-6.4083286000000003E-2</v>
      </c>
      <c r="E87">
        <v>2</v>
      </c>
    </row>
    <row r="88" spans="1:5" x14ac:dyDescent="0.3">
      <c r="A88">
        <v>87</v>
      </c>
      <c r="B88">
        <v>2024</v>
      </c>
      <c r="C88" t="s">
        <v>333</v>
      </c>
      <c r="D88">
        <v>-6.5329319999999996E-2</v>
      </c>
      <c r="E88">
        <v>-13</v>
      </c>
    </row>
    <row r="89" spans="1:5" x14ac:dyDescent="0.3">
      <c r="A89">
        <v>88</v>
      </c>
      <c r="B89">
        <v>2024</v>
      </c>
      <c r="C89" t="s">
        <v>230</v>
      </c>
      <c r="D89">
        <v>-0.11577082</v>
      </c>
      <c r="E89">
        <v>-5</v>
      </c>
    </row>
    <row r="90" spans="1:5" x14ac:dyDescent="0.3">
      <c r="A90">
        <v>89</v>
      </c>
      <c r="B90">
        <v>2024</v>
      </c>
      <c r="C90" t="s">
        <v>231</v>
      </c>
      <c r="D90">
        <v>-0.22778230999999999</v>
      </c>
      <c r="E90">
        <v>3</v>
      </c>
    </row>
    <row r="91" spans="1:5" x14ac:dyDescent="0.3">
      <c r="A91">
        <v>90</v>
      </c>
      <c r="B91">
        <v>2024</v>
      </c>
      <c r="C91" t="s">
        <v>232</v>
      </c>
      <c r="D91">
        <v>-0.23993661999999999</v>
      </c>
      <c r="E91">
        <v>8</v>
      </c>
    </row>
    <row r="92" spans="1:5" x14ac:dyDescent="0.3">
      <c r="A92">
        <v>91</v>
      </c>
      <c r="B92">
        <v>2024</v>
      </c>
      <c r="C92" t="s">
        <v>233</v>
      </c>
      <c r="D92">
        <v>-0.26571292000000002</v>
      </c>
      <c r="E92">
        <v>-2</v>
      </c>
    </row>
    <row r="93" spans="1:5" x14ac:dyDescent="0.3">
      <c r="A93">
        <v>92</v>
      </c>
      <c r="B93">
        <v>2024</v>
      </c>
      <c r="C93" t="s">
        <v>234</v>
      </c>
      <c r="D93">
        <v>-0.29078834999999997</v>
      </c>
      <c r="E93">
        <v>10</v>
      </c>
    </row>
    <row r="94" spans="1:5" x14ac:dyDescent="0.3">
      <c r="A94">
        <v>93</v>
      </c>
      <c r="B94">
        <v>2024</v>
      </c>
      <c r="C94" t="s">
        <v>235</v>
      </c>
      <c r="D94">
        <v>-0.30379816999999998</v>
      </c>
      <c r="E94">
        <v>-8</v>
      </c>
    </row>
    <row r="95" spans="1:5" x14ac:dyDescent="0.3">
      <c r="A95">
        <v>94</v>
      </c>
      <c r="B95">
        <v>2024</v>
      </c>
      <c r="C95" t="s">
        <v>236</v>
      </c>
      <c r="D95">
        <v>-0.34563586000000002</v>
      </c>
      <c r="E95">
        <v>-3</v>
      </c>
    </row>
    <row r="96" spans="1:5" x14ac:dyDescent="0.3">
      <c r="A96">
        <v>95</v>
      </c>
      <c r="B96">
        <v>2024</v>
      </c>
      <c r="C96" t="s">
        <v>237</v>
      </c>
      <c r="D96">
        <v>-0.39122879999999999</v>
      </c>
      <c r="E96">
        <v>8</v>
      </c>
    </row>
    <row r="97" spans="1:5" x14ac:dyDescent="0.3">
      <c r="A97">
        <v>96</v>
      </c>
      <c r="B97">
        <v>2024</v>
      </c>
      <c r="C97" t="s">
        <v>238</v>
      </c>
      <c r="D97">
        <v>-0.44372584999999998</v>
      </c>
      <c r="E97">
        <v>11</v>
      </c>
    </row>
    <row r="98" spans="1:5" x14ac:dyDescent="0.3">
      <c r="A98">
        <v>97</v>
      </c>
      <c r="B98">
        <v>2024</v>
      </c>
      <c r="C98" t="s">
        <v>239</v>
      </c>
      <c r="D98">
        <v>-0.51779640000000005</v>
      </c>
      <c r="E98">
        <v>8</v>
      </c>
    </row>
    <row r="99" spans="1:5" x14ac:dyDescent="0.3">
      <c r="A99">
        <v>98</v>
      </c>
      <c r="B99">
        <v>2024</v>
      </c>
      <c r="C99" t="s">
        <v>240</v>
      </c>
      <c r="D99">
        <v>-0.51904090000000003</v>
      </c>
      <c r="E99">
        <v>8</v>
      </c>
    </row>
    <row r="100" spans="1:5" x14ac:dyDescent="0.3">
      <c r="A100">
        <v>99</v>
      </c>
      <c r="B100">
        <v>2024</v>
      </c>
      <c r="C100" t="s">
        <v>241</v>
      </c>
      <c r="D100">
        <v>-0.52119786000000001</v>
      </c>
      <c r="E100">
        <v>-9</v>
      </c>
    </row>
    <row r="101" spans="1:5" x14ac:dyDescent="0.3">
      <c r="A101">
        <v>100</v>
      </c>
      <c r="B101">
        <v>2024</v>
      </c>
      <c r="C101" t="s">
        <v>242</v>
      </c>
      <c r="D101">
        <v>-0.53910685000000003</v>
      </c>
      <c r="E101">
        <v>-22</v>
      </c>
    </row>
    <row r="102" spans="1:5" x14ac:dyDescent="0.3">
      <c r="A102">
        <v>101</v>
      </c>
      <c r="B102">
        <v>2024</v>
      </c>
      <c r="C102" t="s">
        <v>243</v>
      </c>
      <c r="D102">
        <v>-0.57663595999999995</v>
      </c>
      <c r="E102">
        <v>26</v>
      </c>
    </row>
    <row r="103" spans="1:5" x14ac:dyDescent="0.3">
      <c r="A103">
        <v>102</v>
      </c>
      <c r="B103">
        <v>2024</v>
      </c>
      <c r="C103" t="s">
        <v>244</v>
      </c>
      <c r="D103">
        <v>-0.59021354000000004</v>
      </c>
      <c r="E103">
        <v>-2</v>
      </c>
    </row>
    <row r="104" spans="1:5" x14ac:dyDescent="0.3">
      <c r="A104">
        <v>103</v>
      </c>
      <c r="B104">
        <v>2024</v>
      </c>
      <c r="C104" t="s">
        <v>245</v>
      </c>
      <c r="D104">
        <v>-0.63771800000000001</v>
      </c>
      <c r="E104">
        <v>18</v>
      </c>
    </row>
    <row r="105" spans="1:5" x14ac:dyDescent="0.3">
      <c r="A105">
        <v>104</v>
      </c>
      <c r="B105">
        <v>2024</v>
      </c>
      <c r="C105" t="s">
        <v>246</v>
      </c>
      <c r="D105">
        <v>-0.66434990000000005</v>
      </c>
      <c r="E105">
        <v>-7</v>
      </c>
    </row>
    <row r="106" spans="1:5" x14ac:dyDescent="0.3">
      <c r="A106">
        <v>105</v>
      </c>
      <c r="B106">
        <v>2024</v>
      </c>
      <c r="C106" t="s">
        <v>247</v>
      </c>
      <c r="D106">
        <v>-0.69999449999999996</v>
      </c>
      <c r="E106">
        <v>9</v>
      </c>
    </row>
    <row r="107" spans="1:5" x14ac:dyDescent="0.3">
      <c r="A107">
        <v>106</v>
      </c>
      <c r="B107">
        <v>2024</v>
      </c>
      <c r="C107" t="s">
        <v>248</v>
      </c>
      <c r="D107">
        <v>-0.74009290000000005</v>
      </c>
      <c r="E107">
        <v>11</v>
      </c>
    </row>
    <row r="108" spans="1:5" x14ac:dyDescent="0.3">
      <c r="A108">
        <v>107</v>
      </c>
      <c r="B108">
        <v>2024</v>
      </c>
      <c r="C108" t="s">
        <v>249</v>
      </c>
      <c r="D108">
        <v>-0.75277316999999999</v>
      </c>
      <c r="E108">
        <v>-6</v>
      </c>
    </row>
    <row r="109" spans="1:5" x14ac:dyDescent="0.3">
      <c r="A109">
        <v>108</v>
      </c>
      <c r="B109">
        <v>2024</v>
      </c>
      <c r="C109" t="s">
        <v>250</v>
      </c>
      <c r="D109">
        <v>-0.77424793999999997</v>
      </c>
      <c r="E109">
        <v>1</v>
      </c>
    </row>
    <row r="110" spans="1:5" x14ac:dyDescent="0.3">
      <c r="A110">
        <v>109</v>
      </c>
      <c r="B110">
        <v>2024</v>
      </c>
      <c r="C110" t="s">
        <v>251</v>
      </c>
      <c r="D110">
        <v>-0.78992282999999996</v>
      </c>
      <c r="E110">
        <v>3</v>
      </c>
    </row>
    <row r="111" spans="1:5" x14ac:dyDescent="0.3">
      <c r="A111">
        <v>110</v>
      </c>
      <c r="B111">
        <v>2024</v>
      </c>
      <c r="C111" t="s">
        <v>252</v>
      </c>
      <c r="D111">
        <v>-0.79159789999999997</v>
      </c>
      <c r="E111">
        <v>15</v>
      </c>
    </row>
    <row r="112" spans="1:5" x14ac:dyDescent="0.3">
      <c r="A112">
        <v>111</v>
      </c>
      <c r="B112">
        <v>2024</v>
      </c>
      <c r="C112" t="s">
        <v>253</v>
      </c>
      <c r="D112">
        <v>-0.89683234999999994</v>
      </c>
      <c r="E112">
        <v>13</v>
      </c>
    </row>
    <row r="113" spans="1:5" x14ac:dyDescent="0.3">
      <c r="A113">
        <v>112</v>
      </c>
      <c r="B113">
        <v>2024</v>
      </c>
      <c r="C113" t="s">
        <v>254</v>
      </c>
      <c r="D113">
        <v>-0.90262589999999998</v>
      </c>
      <c r="E113">
        <v>8</v>
      </c>
    </row>
    <row r="114" spans="1:5" x14ac:dyDescent="0.3">
      <c r="A114">
        <v>113</v>
      </c>
      <c r="B114">
        <v>2024</v>
      </c>
      <c r="C114" t="s">
        <v>255</v>
      </c>
      <c r="D114">
        <v>-0.90704759999999995</v>
      </c>
      <c r="E114">
        <v>-5</v>
      </c>
    </row>
    <row r="115" spans="1:5" x14ac:dyDescent="0.3">
      <c r="A115">
        <v>114</v>
      </c>
      <c r="B115">
        <v>2024</v>
      </c>
      <c r="C115" t="s">
        <v>256</v>
      </c>
      <c r="D115">
        <v>-0.92142354999999998</v>
      </c>
      <c r="E115">
        <v>12</v>
      </c>
    </row>
    <row r="116" spans="1:5" x14ac:dyDescent="0.3">
      <c r="A116">
        <v>115</v>
      </c>
      <c r="B116">
        <v>2024</v>
      </c>
      <c r="C116" t="s">
        <v>257</v>
      </c>
      <c r="D116">
        <v>-0.95243710000000004</v>
      </c>
      <c r="E116">
        <v>-16</v>
      </c>
    </row>
    <row r="117" spans="1:5" x14ac:dyDescent="0.3">
      <c r="A117">
        <v>116</v>
      </c>
      <c r="B117">
        <v>2024</v>
      </c>
      <c r="C117" t="s">
        <v>258</v>
      </c>
      <c r="D117">
        <v>-0.97329529999999997</v>
      </c>
      <c r="E117">
        <v>6</v>
      </c>
    </row>
    <row r="118" spans="1:5" x14ac:dyDescent="0.3">
      <c r="A118">
        <v>117</v>
      </c>
      <c r="B118">
        <v>2024</v>
      </c>
      <c r="C118" t="s">
        <v>259</v>
      </c>
      <c r="D118">
        <v>-0.99655574999999996</v>
      </c>
      <c r="E118">
        <v>6</v>
      </c>
    </row>
    <row r="119" spans="1:5" x14ac:dyDescent="0.3">
      <c r="A119">
        <v>118</v>
      </c>
      <c r="B119">
        <v>2024</v>
      </c>
      <c r="C119" t="s">
        <v>260</v>
      </c>
      <c r="D119">
        <v>-1.0560354000000001</v>
      </c>
      <c r="E119">
        <v>0</v>
      </c>
    </row>
    <row r="120" spans="1:5" x14ac:dyDescent="0.3">
      <c r="A120">
        <v>119</v>
      </c>
      <c r="B120">
        <v>2024</v>
      </c>
      <c r="C120" t="s">
        <v>261</v>
      </c>
      <c r="D120">
        <v>-1.0754284999999999</v>
      </c>
      <c r="E120">
        <v>14</v>
      </c>
    </row>
    <row r="121" spans="1:5" x14ac:dyDescent="0.3">
      <c r="A121">
        <v>120</v>
      </c>
      <c r="B121">
        <v>2024</v>
      </c>
      <c r="C121" t="s">
        <v>262</v>
      </c>
      <c r="D121">
        <v>-1.0760004999999999</v>
      </c>
      <c r="E121">
        <v>-25</v>
      </c>
    </row>
    <row r="122" spans="1:5" x14ac:dyDescent="0.3">
      <c r="A122">
        <v>121</v>
      </c>
      <c r="B122">
        <v>2024</v>
      </c>
      <c r="C122" t="s">
        <v>263</v>
      </c>
      <c r="D122">
        <v>-1.0843754999999999</v>
      </c>
      <c r="E122">
        <v>-2</v>
      </c>
    </row>
    <row r="123" spans="1:5" x14ac:dyDescent="0.3">
      <c r="A123">
        <v>122</v>
      </c>
      <c r="B123">
        <v>2024</v>
      </c>
      <c r="C123" t="s">
        <v>264</v>
      </c>
      <c r="D123">
        <v>-1.0945541000000001</v>
      </c>
      <c r="E123">
        <v>-26</v>
      </c>
    </row>
    <row r="124" spans="1:5" x14ac:dyDescent="0.3">
      <c r="A124">
        <v>123</v>
      </c>
      <c r="B124">
        <v>2024</v>
      </c>
      <c r="C124" t="s">
        <v>265</v>
      </c>
      <c r="D124">
        <v>-1.0967224</v>
      </c>
      <c r="E124">
        <v>8</v>
      </c>
    </row>
    <row r="125" spans="1:5" x14ac:dyDescent="0.3">
      <c r="A125">
        <v>124</v>
      </c>
      <c r="B125">
        <v>2024</v>
      </c>
      <c r="C125" t="s">
        <v>266</v>
      </c>
      <c r="D125">
        <v>-1.1063117</v>
      </c>
      <c r="E125">
        <v>-11</v>
      </c>
    </row>
    <row r="126" spans="1:5" x14ac:dyDescent="0.3">
      <c r="A126">
        <v>125</v>
      </c>
      <c r="B126">
        <v>2024</v>
      </c>
      <c r="C126" t="s">
        <v>267</v>
      </c>
      <c r="D126">
        <v>-1.1086562</v>
      </c>
      <c r="E126">
        <v>-9</v>
      </c>
    </row>
    <row r="127" spans="1:5" x14ac:dyDescent="0.3">
      <c r="A127">
        <v>126</v>
      </c>
      <c r="B127">
        <v>2024</v>
      </c>
      <c r="C127" t="s">
        <v>268</v>
      </c>
      <c r="D127">
        <v>-1.1777747000000001</v>
      </c>
      <c r="E127">
        <v>3</v>
      </c>
    </row>
    <row r="128" spans="1:5" x14ac:dyDescent="0.3">
      <c r="A128">
        <v>127</v>
      </c>
      <c r="B128">
        <v>2024</v>
      </c>
      <c r="C128" t="s">
        <v>269</v>
      </c>
      <c r="D128">
        <v>-1.2456417</v>
      </c>
      <c r="E128">
        <v>7</v>
      </c>
    </row>
    <row r="129" spans="1:5" x14ac:dyDescent="0.3">
      <c r="A129">
        <v>128</v>
      </c>
      <c r="B129">
        <v>2024</v>
      </c>
      <c r="C129" t="s">
        <v>270</v>
      </c>
      <c r="D129">
        <v>-1.2665230999999999</v>
      </c>
      <c r="E129">
        <v>10</v>
      </c>
    </row>
    <row r="130" spans="1:5" x14ac:dyDescent="0.3">
      <c r="A130">
        <v>129</v>
      </c>
      <c r="B130">
        <v>2024</v>
      </c>
      <c r="C130" t="s">
        <v>271</v>
      </c>
      <c r="D130">
        <v>-1.4317952</v>
      </c>
      <c r="E130">
        <v>-19</v>
      </c>
    </row>
    <row r="131" spans="1:5" x14ac:dyDescent="0.3">
      <c r="A131">
        <v>130</v>
      </c>
      <c r="B131">
        <v>2024</v>
      </c>
      <c r="C131" t="s">
        <v>272</v>
      </c>
      <c r="D131">
        <v>-1.5517099000000001</v>
      </c>
      <c r="E131">
        <v>7</v>
      </c>
    </row>
    <row r="132" spans="1:5" x14ac:dyDescent="0.3">
      <c r="A132">
        <v>131</v>
      </c>
      <c r="B132">
        <v>2024</v>
      </c>
      <c r="C132" t="s">
        <v>273</v>
      </c>
      <c r="D132">
        <v>-1.5523549999999999</v>
      </c>
      <c r="E132">
        <v>-1</v>
      </c>
    </row>
    <row r="133" spans="1:5" x14ac:dyDescent="0.3">
      <c r="A133">
        <v>132</v>
      </c>
      <c r="B133">
        <v>2024</v>
      </c>
      <c r="C133" t="s">
        <v>274</v>
      </c>
      <c r="D133">
        <v>-1.5909857000000001</v>
      </c>
      <c r="E133">
        <v>-4</v>
      </c>
    </row>
    <row r="134" spans="1:5" x14ac:dyDescent="0.3">
      <c r="A134">
        <v>133</v>
      </c>
      <c r="B134">
        <v>2024</v>
      </c>
      <c r="C134" t="s">
        <v>275</v>
      </c>
      <c r="D134">
        <v>-1.6307532</v>
      </c>
      <c r="E134">
        <v>-22</v>
      </c>
    </row>
    <row r="135" spans="1:5" x14ac:dyDescent="0.3">
      <c r="A135">
        <v>134</v>
      </c>
      <c r="B135">
        <v>2024</v>
      </c>
      <c r="C135" t="s">
        <v>276</v>
      </c>
      <c r="D135">
        <v>-1.7097669</v>
      </c>
      <c r="E135">
        <v>7</v>
      </c>
    </row>
    <row r="136" spans="1:5" x14ac:dyDescent="0.3">
      <c r="A136">
        <v>135</v>
      </c>
      <c r="B136">
        <v>2024</v>
      </c>
      <c r="C136" t="s">
        <v>277</v>
      </c>
      <c r="D136">
        <v>-1.7361017000000001</v>
      </c>
      <c r="E136">
        <v>8</v>
      </c>
    </row>
    <row r="137" spans="1:5" x14ac:dyDescent="0.3">
      <c r="A137">
        <v>136</v>
      </c>
      <c r="B137">
        <v>2024</v>
      </c>
      <c r="C137" t="s">
        <v>278</v>
      </c>
      <c r="D137">
        <v>-1.8048918</v>
      </c>
      <c r="E137">
        <v>8</v>
      </c>
    </row>
    <row r="138" spans="1:5" x14ac:dyDescent="0.3">
      <c r="A138">
        <v>137</v>
      </c>
      <c r="B138">
        <v>2024</v>
      </c>
      <c r="C138" t="s">
        <v>279</v>
      </c>
      <c r="D138">
        <v>-1.8158319000000001</v>
      </c>
      <c r="E138">
        <v>-33</v>
      </c>
    </row>
    <row r="139" spans="1:5" x14ac:dyDescent="0.3">
      <c r="A139">
        <v>138</v>
      </c>
      <c r="B139">
        <v>2024</v>
      </c>
      <c r="C139" t="s">
        <v>280</v>
      </c>
      <c r="D139">
        <v>-2.1275819999999999</v>
      </c>
      <c r="E139">
        <v>1</v>
      </c>
    </row>
    <row r="140" spans="1:5" x14ac:dyDescent="0.3">
      <c r="A140">
        <v>139</v>
      </c>
      <c r="B140">
        <v>2024</v>
      </c>
      <c r="C140" t="s">
        <v>281</v>
      </c>
      <c r="D140">
        <v>-2.1397344999999999</v>
      </c>
      <c r="E140">
        <v>-4</v>
      </c>
    </row>
    <row r="141" spans="1:5" x14ac:dyDescent="0.3">
      <c r="A141">
        <v>140</v>
      </c>
      <c r="B141">
        <v>2024</v>
      </c>
      <c r="C141" t="s">
        <v>282</v>
      </c>
      <c r="D141">
        <v>-2.1942685000000002</v>
      </c>
      <c r="E141">
        <v>-25</v>
      </c>
    </row>
    <row r="142" spans="1:5" x14ac:dyDescent="0.3">
      <c r="A142">
        <v>141</v>
      </c>
      <c r="B142">
        <v>2024</v>
      </c>
      <c r="C142" t="s">
        <v>283</v>
      </c>
      <c r="D142">
        <v>-2.2590789999999998</v>
      </c>
      <c r="E142">
        <v>-1</v>
      </c>
    </row>
    <row r="143" spans="1:5" x14ac:dyDescent="0.3">
      <c r="A143">
        <v>142</v>
      </c>
      <c r="B143">
        <v>2024</v>
      </c>
      <c r="C143" t="s">
        <v>284</v>
      </c>
      <c r="D143">
        <v>-2.4930756000000001</v>
      </c>
      <c r="E143">
        <v>-10</v>
      </c>
    </row>
    <row r="144" spans="1:5" x14ac:dyDescent="0.3">
      <c r="A144">
        <v>143</v>
      </c>
      <c r="B144">
        <v>2024</v>
      </c>
      <c r="C144" t="s">
        <v>285</v>
      </c>
      <c r="D144">
        <v>-2.7039241999999999</v>
      </c>
      <c r="E144">
        <v>2</v>
      </c>
    </row>
    <row r="145" spans="1:5" x14ac:dyDescent="0.3">
      <c r="A145">
        <v>144</v>
      </c>
      <c r="B145">
        <v>2024</v>
      </c>
      <c r="C145" t="s">
        <v>286</v>
      </c>
      <c r="D145">
        <v>-3.1336681999999998</v>
      </c>
      <c r="E145">
        <v>-2</v>
      </c>
    </row>
    <row r="146" spans="1:5" x14ac:dyDescent="0.3">
      <c r="A146">
        <v>145</v>
      </c>
      <c r="B146">
        <v>2024</v>
      </c>
      <c r="C146" t="s">
        <v>287</v>
      </c>
      <c r="D146">
        <v>-3.5245291999999999</v>
      </c>
      <c r="E146">
        <v>-9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B813A-66AF-4B7D-861E-C6BD4C1DF243}">
  <dimension ref="A1"/>
  <sheetViews>
    <sheetView showGridLines="0"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B2724-7E7A-4213-8E6B-A4291B0BC86C}">
  <dimension ref="A1:A146"/>
  <sheetViews>
    <sheetView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BCB9ECB3B0DFE42A61CA68338208089" ma:contentTypeVersion="10" ma:contentTypeDescription="Ein neues Dokument erstellen." ma:contentTypeScope="" ma:versionID="32c5804f83d42255678497615c7cdf27">
  <xsd:schema xmlns:xsd="http://www.w3.org/2001/XMLSchema" xmlns:xs="http://www.w3.org/2001/XMLSchema" xmlns:p="http://schemas.microsoft.com/office/2006/metadata/properties" xmlns:ns2="938da60d-4642-413d-85aa-e98b25a009ac" xmlns:ns3="9baeeacb-e513-4050-b326-d2145e9eb1ca" targetNamespace="http://schemas.microsoft.com/office/2006/metadata/properties" ma:root="true" ma:fieldsID="275f817f2ad96d0554193fb5d0e68d48" ns2:_="" ns3:_="">
    <xsd:import namespace="938da60d-4642-413d-85aa-e98b25a009ac"/>
    <xsd:import namespace="9baeeacb-e513-4050-b326-d2145e9eb1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8da60d-4642-413d-85aa-e98b25a009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1a14e36f-e084-4b04-bba6-548b1473dca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aeeacb-e513-4050-b326-d2145e9eb1c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a96d2ee-de58-4e75-a6ca-1ac75aeec518}" ma:internalName="TaxCatchAll" ma:showField="CatchAllData" ma:web="9baeeacb-e513-4050-b326-d2145e9eb1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baeeacb-e513-4050-b326-d2145e9eb1ca" xsi:nil="true"/>
    <lcf76f155ced4ddcb4097134ff3c332f xmlns="938da60d-4642-413d-85aa-e98b25a009a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C5B0BD7-2401-4287-9F3F-56805DA40022}"/>
</file>

<file path=customXml/itemProps2.xml><?xml version="1.0" encoding="utf-8"?>
<ds:datastoreItem xmlns:ds="http://schemas.openxmlformats.org/officeDocument/2006/customXml" ds:itemID="{32211F78-BEF2-4663-8656-916C4E0609EC}"/>
</file>

<file path=customXml/itemProps3.xml><?xml version="1.0" encoding="utf-8"?>
<ds:datastoreItem xmlns:ds="http://schemas.openxmlformats.org/officeDocument/2006/customXml" ds:itemID="{7258E5D5-C5E6-4863-A14E-72D7098481D3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Output&gt;&gt;</vt:lpstr>
      <vt:lpstr>Output</vt:lpstr>
      <vt:lpstr>Transformed&gt;&gt;</vt:lpstr>
      <vt:lpstr>Ed_CCR</vt:lpstr>
      <vt:lpstr>Raw&gt;&gt;</vt:lpstr>
      <vt:lpstr>Country Complexity Rankings 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Rohkämper, Felix Balthasar</cp:lastModifiedBy>
  <dcterms:created xsi:type="dcterms:W3CDTF">2026-04-09T07:37:42Z</dcterms:created>
  <dcterms:modified xsi:type="dcterms:W3CDTF">2026-04-09T07:37:42Z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0x0101005BCB9ECB3B0DFE42A61CA68338208089</vt:lpwstr>
  </property>
</Properties>
</file>