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u.sharepoint.com/sites/MasterThesis_hkmy77/Freigegebene Dokumente/General/03_Data/04_Variable Selection/Variables prepped/"/>
    </mc:Choice>
  </mc:AlternateContent>
  <xr:revisionPtr revIDLastSave="0" documentId="8_{217AA2DD-D30C-429F-9F33-275B275E79E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Output&gt;&gt;" sheetId="4" r:id="rId1"/>
    <sheet name="Output" sheetId="5" r:id="rId2"/>
    <sheet name="Raw&gt;&gt;" sheetId="3" r:id="rId3"/>
    <sheet name="Data" sheetId="1" r:id="rId4"/>
    <sheet name="ValueType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5" l="1"/>
  <c r="D90" i="5"/>
  <c r="D86" i="5"/>
  <c r="D42" i="5"/>
  <c r="D44" i="5"/>
  <c r="D8" i="5"/>
  <c r="D9" i="5"/>
  <c r="D10" i="5"/>
  <c r="D11" i="5"/>
  <c r="D12" i="5"/>
  <c r="D13" i="5"/>
  <c r="D14" i="5"/>
  <c r="F111" i="5" s="1"/>
  <c r="D15" i="5"/>
  <c r="D16" i="5"/>
  <c r="D17" i="5"/>
  <c r="D18" i="5"/>
  <c r="D19" i="5"/>
  <c r="D20" i="5"/>
  <c r="D21" i="5"/>
  <c r="G112" i="5" s="1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3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G110" i="5" s="1"/>
  <c r="D64" i="5"/>
  <c r="H110" i="5" s="1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7" i="5"/>
  <c r="D88" i="5"/>
  <c r="D89" i="5"/>
  <c r="D91" i="5"/>
  <c r="D92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7" i="5"/>
  <c r="F112" i="5"/>
  <c r="G111" i="5"/>
  <c r="F110" i="5"/>
  <c r="H109" i="5"/>
  <c r="G108" i="5"/>
  <c r="F108" i="5"/>
  <c r="G109" i="5" l="1"/>
  <c r="D109" i="5" s="1"/>
  <c r="D112" i="5"/>
  <c r="D108" i="5"/>
  <c r="D111" i="5"/>
  <c r="D110" i="5"/>
</calcChain>
</file>

<file path=xl/sharedStrings.xml><?xml version="1.0" encoding="utf-8"?>
<sst xmlns="http://schemas.openxmlformats.org/spreadsheetml/2006/main" count="1167" uniqueCount="450">
  <si>
    <t>Year</t>
  </si>
  <si>
    <t>Country</t>
  </si>
  <si>
    <t>CountryCode</t>
  </si>
  <si>
    <t>Variable</t>
  </si>
  <si>
    <t>VariableCode</t>
  </si>
  <si>
    <t>Value</t>
  </si>
  <si>
    <t>UnitType</t>
  </si>
  <si>
    <t>Metadata</t>
  </si>
  <si>
    <t>2023</t>
  </si>
  <si>
    <t>Afghanistan</t>
  </si>
  <si>
    <t>004</t>
  </si>
  <si>
    <t>CIP score</t>
  </si>
  <si>
    <t>cip</t>
  </si>
  <si>
    <t>I</t>
  </si>
  <si>
    <t>Albania</t>
  </si>
  <si>
    <t>008</t>
  </si>
  <si>
    <t>Algeria</t>
  </si>
  <si>
    <t>012</t>
  </si>
  <si>
    <t>Angola</t>
  </si>
  <si>
    <t>024</t>
  </si>
  <si>
    <t>Argentina</t>
  </si>
  <si>
    <t>032</t>
  </si>
  <si>
    <t>Armenia</t>
  </si>
  <si>
    <t>051</t>
  </si>
  <si>
    <t>Australia</t>
  </si>
  <si>
    <t>036</t>
  </si>
  <si>
    <t>Austria</t>
  </si>
  <si>
    <t>040</t>
  </si>
  <si>
    <t>Azerbaijan</t>
  </si>
  <si>
    <t>031</t>
  </si>
  <si>
    <t>Bahamas</t>
  </si>
  <si>
    <t>044</t>
  </si>
  <si>
    <t>Bahrain</t>
  </si>
  <si>
    <t>048</t>
  </si>
  <si>
    <t>Bangladesh</t>
  </si>
  <si>
    <t>050</t>
  </si>
  <si>
    <t>Barbados</t>
  </si>
  <si>
    <t>052</t>
  </si>
  <si>
    <t>Belarus</t>
  </si>
  <si>
    <t>112</t>
  </si>
  <si>
    <t>Belgium</t>
  </si>
  <si>
    <t>056</t>
  </si>
  <si>
    <t>Belize</t>
  </si>
  <si>
    <t>084</t>
  </si>
  <si>
    <t>Bermuda</t>
  </si>
  <si>
    <t>060</t>
  </si>
  <si>
    <t>068</t>
  </si>
  <si>
    <t>Bosnia and Herzegovina</t>
  </si>
  <si>
    <t>070</t>
  </si>
  <si>
    <t>Botswana</t>
  </si>
  <si>
    <t>072</t>
  </si>
  <si>
    <t>Brazil</t>
  </si>
  <si>
    <t>076</t>
  </si>
  <si>
    <t>Brunei Darussalam</t>
  </si>
  <si>
    <t>096</t>
  </si>
  <si>
    <t>Bulgaria</t>
  </si>
  <si>
    <t>100</t>
  </si>
  <si>
    <t>Burundi</t>
  </si>
  <si>
    <t>108</t>
  </si>
  <si>
    <t>Cabo Verde</t>
  </si>
  <si>
    <t>132</t>
  </si>
  <si>
    <t>Cambodia</t>
  </si>
  <si>
    <t>116</t>
  </si>
  <si>
    <t>Cameroon</t>
  </si>
  <si>
    <t>120</t>
  </si>
  <si>
    <t>Canada</t>
  </si>
  <si>
    <t>124</t>
  </si>
  <si>
    <t>Central African Republic</t>
  </si>
  <si>
    <t>140</t>
  </si>
  <si>
    <t>Chile</t>
  </si>
  <si>
    <t>152</t>
  </si>
  <si>
    <t>China</t>
  </si>
  <si>
    <t>156</t>
  </si>
  <si>
    <t>China, Hong Kong SAR</t>
  </si>
  <si>
    <t>344</t>
  </si>
  <si>
    <t>China, Macao SAR</t>
  </si>
  <si>
    <t>446</t>
  </si>
  <si>
    <t>158</t>
  </si>
  <si>
    <t>Colombia</t>
  </si>
  <si>
    <t>170</t>
  </si>
  <si>
    <t>178</t>
  </si>
  <si>
    <t>Costa Rica</t>
  </si>
  <si>
    <t>188</t>
  </si>
  <si>
    <t>Côte d'Ivoire</t>
  </si>
  <si>
    <t>384</t>
  </si>
  <si>
    <t>Croatia</t>
  </si>
  <si>
    <t>191</t>
  </si>
  <si>
    <t>Cuba</t>
  </si>
  <si>
    <t>192</t>
  </si>
  <si>
    <t>Cyprus</t>
  </si>
  <si>
    <t>196</t>
  </si>
  <si>
    <t>203</t>
  </si>
  <si>
    <t>Denmark</t>
  </si>
  <si>
    <t>208</t>
  </si>
  <si>
    <t>Ecuador</t>
  </si>
  <si>
    <t>218</t>
  </si>
  <si>
    <t>Egypt</t>
  </si>
  <si>
    <t>818</t>
  </si>
  <si>
    <t>El Salvador</t>
  </si>
  <si>
    <t>222</t>
  </si>
  <si>
    <t>Eritrea</t>
  </si>
  <si>
    <t>232</t>
  </si>
  <si>
    <t>Estonia</t>
  </si>
  <si>
    <t>233</t>
  </si>
  <si>
    <t>Eswatini</t>
  </si>
  <si>
    <t>748</t>
  </si>
  <si>
    <t>Ethiopia</t>
  </si>
  <si>
    <t>231</t>
  </si>
  <si>
    <t>Fiji</t>
  </si>
  <si>
    <t>242</t>
  </si>
  <si>
    <t>Finland</t>
  </si>
  <si>
    <t>246</t>
  </si>
  <si>
    <t>France</t>
  </si>
  <si>
    <t>250</t>
  </si>
  <si>
    <t>Gabon</t>
  </si>
  <si>
    <t>266</t>
  </si>
  <si>
    <t>Gambia</t>
  </si>
  <si>
    <t>270</t>
  </si>
  <si>
    <t>Georgia</t>
  </si>
  <si>
    <t>268</t>
  </si>
  <si>
    <t>Germany</t>
  </si>
  <si>
    <t>276</t>
  </si>
  <si>
    <t>Ghana</t>
  </si>
  <si>
    <t>288</t>
  </si>
  <si>
    <t>Greece</t>
  </si>
  <si>
    <t>300</t>
  </si>
  <si>
    <t>Guatemala</t>
  </si>
  <si>
    <t>320</t>
  </si>
  <si>
    <t>Haiti</t>
  </si>
  <si>
    <t>332</t>
  </si>
  <si>
    <t>Honduras</t>
  </si>
  <si>
    <t>340</t>
  </si>
  <si>
    <t>Hungary</t>
  </si>
  <si>
    <t>348</t>
  </si>
  <si>
    <t>Iceland</t>
  </si>
  <si>
    <t>352</t>
  </si>
  <si>
    <t>India</t>
  </si>
  <si>
    <t>356</t>
  </si>
  <si>
    <t>Indonesia</t>
  </si>
  <si>
    <t>360</t>
  </si>
  <si>
    <t>364</t>
  </si>
  <si>
    <t>Iraq</t>
  </si>
  <si>
    <t>368</t>
  </si>
  <si>
    <t>Ireland</t>
  </si>
  <si>
    <t>372</t>
  </si>
  <si>
    <t>Israel</t>
  </si>
  <si>
    <t>376</t>
  </si>
  <si>
    <t>Italy</t>
  </si>
  <si>
    <t>380</t>
  </si>
  <si>
    <t>Jamaica</t>
  </si>
  <si>
    <t>388</t>
  </si>
  <si>
    <t>Japan</t>
  </si>
  <si>
    <t>392</t>
  </si>
  <si>
    <t>Jordan</t>
  </si>
  <si>
    <t>400</t>
  </si>
  <si>
    <t>Kazakhstan</t>
  </si>
  <si>
    <t>398</t>
  </si>
  <si>
    <t>Kenya</t>
  </si>
  <si>
    <t>404</t>
  </si>
  <si>
    <t>Kuwait</t>
  </si>
  <si>
    <t>414</t>
  </si>
  <si>
    <t>Kyrgyzstan</t>
  </si>
  <si>
    <t>417</t>
  </si>
  <si>
    <t>Lao People's Democratic Republic</t>
  </si>
  <si>
    <t>418</t>
  </si>
  <si>
    <t>Latvia</t>
  </si>
  <si>
    <t>428</t>
  </si>
  <si>
    <t>Lebanon</t>
  </si>
  <si>
    <t>422</t>
  </si>
  <si>
    <t>Lithuania</t>
  </si>
  <si>
    <t>440</t>
  </si>
  <si>
    <t>Luxembourg</t>
  </si>
  <si>
    <t>442</t>
  </si>
  <si>
    <t>Madagascar</t>
  </si>
  <si>
    <t>450</t>
  </si>
  <si>
    <t>Malawi</t>
  </si>
  <si>
    <t>454</t>
  </si>
  <si>
    <t>Malaysia</t>
  </si>
  <si>
    <t>458</t>
  </si>
  <si>
    <t>Maldives</t>
  </si>
  <si>
    <t>462</t>
  </si>
  <si>
    <t>Malta</t>
  </si>
  <si>
    <t>470</t>
  </si>
  <si>
    <t>Mauritius</t>
  </si>
  <si>
    <t>480</t>
  </si>
  <si>
    <t>Mexico</t>
  </si>
  <si>
    <t>484</t>
  </si>
  <si>
    <t>Mongolia</t>
  </si>
  <si>
    <t>496</t>
  </si>
  <si>
    <t>Montenegro</t>
  </si>
  <si>
    <t>499</t>
  </si>
  <si>
    <t>Morocco</t>
  </si>
  <si>
    <t>504</t>
  </si>
  <si>
    <t>Mozambique</t>
  </si>
  <si>
    <t>508</t>
  </si>
  <si>
    <t>Myanmar</t>
  </si>
  <si>
    <t>104</t>
  </si>
  <si>
    <t>Namibia</t>
  </si>
  <si>
    <t>516</t>
  </si>
  <si>
    <t>Nepal</t>
  </si>
  <si>
    <t>524</t>
  </si>
  <si>
    <t>528</t>
  </si>
  <si>
    <t>New Zealand</t>
  </si>
  <si>
    <t>554</t>
  </si>
  <si>
    <t>Nicaragua</t>
  </si>
  <si>
    <t>558</t>
  </si>
  <si>
    <t>Niger</t>
  </si>
  <si>
    <t>562</t>
  </si>
  <si>
    <t>Nigeria</t>
  </si>
  <si>
    <t>566</t>
  </si>
  <si>
    <t>North Macedonia</t>
  </si>
  <si>
    <t>807</t>
  </si>
  <si>
    <t>Norway</t>
  </si>
  <si>
    <t>578</t>
  </si>
  <si>
    <t>Oman</t>
  </si>
  <si>
    <t>512</t>
  </si>
  <si>
    <t>Pakistan</t>
  </si>
  <si>
    <t>586</t>
  </si>
  <si>
    <t>Panama</t>
  </si>
  <si>
    <t>591</t>
  </si>
  <si>
    <t>Papua New Guinea</t>
  </si>
  <si>
    <t>598</t>
  </si>
  <si>
    <t>Paraguay</t>
  </si>
  <si>
    <t>600</t>
  </si>
  <si>
    <t>Peru</t>
  </si>
  <si>
    <t>604</t>
  </si>
  <si>
    <t>Philippines</t>
  </si>
  <si>
    <t>608</t>
  </si>
  <si>
    <t>Poland</t>
  </si>
  <si>
    <t>616</t>
  </si>
  <si>
    <t>Portugal</t>
  </si>
  <si>
    <t>620</t>
  </si>
  <si>
    <t>Qatar</t>
  </si>
  <si>
    <t>634</t>
  </si>
  <si>
    <t>410</t>
  </si>
  <si>
    <t>Republic of Moldova</t>
  </si>
  <si>
    <t>498</t>
  </si>
  <si>
    <t>Romania</t>
  </si>
  <si>
    <t>642</t>
  </si>
  <si>
    <t>643</t>
  </si>
  <si>
    <t>Rwanda</t>
  </si>
  <si>
    <t>646</t>
  </si>
  <si>
    <t>Saint Lucia</t>
  </si>
  <si>
    <t>662</t>
  </si>
  <si>
    <t>Saudi Arabia</t>
  </si>
  <si>
    <t>682</t>
  </si>
  <si>
    <t>Senegal</t>
  </si>
  <si>
    <t>686</t>
  </si>
  <si>
    <t>Serbia</t>
  </si>
  <si>
    <t>688</t>
  </si>
  <si>
    <t>Singapore</t>
  </si>
  <si>
    <t>702</t>
  </si>
  <si>
    <t>703</t>
  </si>
  <si>
    <t>Slovenia</t>
  </si>
  <si>
    <t>705</t>
  </si>
  <si>
    <t>South Africa</t>
  </si>
  <si>
    <t>710</t>
  </si>
  <si>
    <t>Spain</t>
  </si>
  <si>
    <t>724</t>
  </si>
  <si>
    <t>Sri Lanka</t>
  </si>
  <si>
    <t>144</t>
  </si>
  <si>
    <t>State of Palestine</t>
  </si>
  <si>
    <t>275</t>
  </si>
  <si>
    <t>Suriname</t>
  </si>
  <si>
    <t>740</t>
  </si>
  <si>
    <t>Sweden</t>
  </si>
  <si>
    <t>752</t>
  </si>
  <si>
    <t>Switzerland</t>
  </si>
  <si>
    <t>756</t>
  </si>
  <si>
    <t>Syrian Arab Republic</t>
  </si>
  <si>
    <t>760</t>
  </si>
  <si>
    <t>Tajikistan</t>
  </si>
  <si>
    <t>762</t>
  </si>
  <si>
    <t>Thailand</t>
  </si>
  <si>
    <t>764</t>
  </si>
  <si>
    <t>Tonga</t>
  </si>
  <si>
    <t>776</t>
  </si>
  <si>
    <t>Trinidad and Tobago</t>
  </si>
  <si>
    <t>780</t>
  </si>
  <si>
    <t>Tunisia</t>
  </si>
  <si>
    <t>788</t>
  </si>
  <si>
    <t>Türkiye</t>
  </si>
  <si>
    <t>792</t>
  </si>
  <si>
    <t>Uganda</t>
  </si>
  <si>
    <t>800</t>
  </si>
  <si>
    <t>Ukraine</t>
  </si>
  <si>
    <t>804</t>
  </si>
  <si>
    <t>United Arab Emirates</t>
  </si>
  <si>
    <t>784</t>
  </si>
  <si>
    <t>United Kingdom</t>
  </si>
  <si>
    <t>826</t>
  </si>
  <si>
    <t>United Republic of Tanzania</t>
  </si>
  <si>
    <t>834</t>
  </si>
  <si>
    <t>840</t>
  </si>
  <si>
    <t>Uruguay</t>
  </si>
  <si>
    <t>858</t>
  </si>
  <si>
    <t>Uzbekistan</t>
  </si>
  <si>
    <t>860</t>
  </si>
  <si>
    <t>Venezuela (Bolivarian Republic of)</t>
  </si>
  <si>
    <t>862</t>
  </si>
  <si>
    <t>Viet Nam</t>
  </si>
  <si>
    <t>704</t>
  </si>
  <si>
    <t>Yemen</t>
  </si>
  <si>
    <t>887</t>
  </si>
  <si>
    <t>Zambia</t>
  </si>
  <si>
    <t>894</t>
  </si>
  <si>
    <t>Zimbabwe</t>
  </si>
  <si>
    <t>716</t>
  </si>
  <si>
    <t>Code</t>
  </si>
  <si>
    <t>Description</t>
  </si>
  <si>
    <t>N</t>
  </si>
  <si>
    <t>numeric</t>
  </si>
  <si>
    <t>M</t>
  </si>
  <si>
    <t>monetary (local currency)</t>
  </si>
  <si>
    <t>USD</t>
  </si>
  <si>
    <t>$ (USD)</t>
  </si>
  <si>
    <t>index</t>
  </si>
  <si>
    <t>Approach:</t>
  </si>
  <si>
    <t>ISO</t>
  </si>
  <si>
    <t>Total</t>
  </si>
  <si>
    <t>Helper 1</t>
  </si>
  <si>
    <t>Helper 2</t>
  </si>
  <si>
    <t>Helper 3</t>
  </si>
  <si>
    <t>Country Helper 1</t>
  </si>
  <si>
    <t>Country Helper 2</t>
  </si>
  <si>
    <t>Country Helper 3</t>
  </si>
  <si>
    <t>NLD</t>
  </si>
  <si>
    <t>Netherlands</t>
  </si>
  <si>
    <t>NOR</t>
  </si>
  <si>
    <t>SWE</t>
  </si>
  <si>
    <t>ESP</t>
  </si>
  <si>
    <t>USA</t>
  </si>
  <si>
    <t>United States</t>
  </si>
  <si>
    <t>JPN</t>
  </si>
  <si>
    <t>CHE</t>
  </si>
  <si>
    <t>DEU</t>
  </si>
  <si>
    <t>GBR</t>
  </si>
  <si>
    <t>DNK</t>
  </si>
  <si>
    <t>AUT</t>
  </si>
  <si>
    <t>CHN</t>
  </si>
  <si>
    <t>CAN</t>
  </si>
  <si>
    <t>EST</t>
  </si>
  <si>
    <t>FRA</t>
  </si>
  <si>
    <t>MYS</t>
  </si>
  <si>
    <t>AUS</t>
  </si>
  <si>
    <t>POL</t>
  </si>
  <si>
    <t>FIN</t>
  </si>
  <si>
    <t>SGP</t>
  </si>
  <si>
    <t>THA</t>
  </si>
  <si>
    <t>ITA</t>
  </si>
  <si>
    <t>CRI</t>
  </si>
  <si>
    <t>CHL</t>
  </si>
  <si>
    <t>BEL</t>
  </si>
  <si>
    <t>IND</t>
  </si>
  <si>
    <t>GRC</t>
  </si>
  <si>
    <t>ISL</t>
  </si>
  <si>
    <t>TUR</t>
  </si>
  <si>
    <t>ARG</t>
  </si>
  <si>
    <t>IRN</t>
  </si>
  <si>
    <t>Islamic Republic of Iran</t>
  </si>
  <si>
    <t>NZL</t>
  </si>
  <si>
    <t>BOL</t>
  </si>
  <si>
    <t>Bolivia</t>
  </si>
  <si>
    <t>PRT</t>
  </si>
  <si>
    <t>LBN</t>
  </si>
  <si>
    <t>MRT</t>
  </si>
  <si>
    <t>Mauritania</t>
  </si>
  <si>
    <t>SAU</t>
  </si>
  <si>
    <t>COK</t>
  </si>
  <si>
    <t>Cook Islands</t>
  </si>
  <si>
    <t>ZAF</t>
  </si>
  <si>
    <t>ARE</t>
  </si>
  <si>
    <t>OMN</t>
  </si>
  <si>
    <t>URY</t>
  </si>
  <si>
    <t>PRY</t>
  </si>
  <si>
    <t>KOR</t>
  </si>
  <si>
    <t>Korea</t>
  </si>
  <si>
    <t>MAR</t>
  </si>
  <si>
    <t>ALB</t>
  </si>
  <si>
    <t>IDN</t>
  </si>
  <si>
    <t>BRB</t>
  </si>
  <si>
    <t>TTO</t>
  </si>
  <si>
    <t>BGD</t>
  </si>
  <si>
    <t>BRA</t>
  </si>
  <si>
    <t>HUN</t>
  </si>
  <si>
    <t>TWN</t>
  </si>
  <si>
    <t>Chinese Taipei</t>
  </si>
  <si>
    <t>MEX</t>
  </si>
  <si>
    <t>VNM</t>
  </si>
  <si>
    <t>SVN</t>
  </si>
  <si>
    <t>CZE</t>
  </si>
  <si>
    <t>Czech Republic</t>
  </si>
  <si>
    <t>SVK</t>
  </si>
  <si>
    <t>Slovak Republic</t>
  </si>
  <si>
    <t>LTU</t>
  </si>
  <si>
    <t>LVA</t>
  </si>
  <si>
    <t>IRL</t>
  </si>
  <si>
    <t>PER</t>
  </si>
  <si>
    <t>RUS</t>
  </si>
  <si>
    <t>Russia</t>
  </si>
  <si>
    <t>COL</t>
  </si>
  <si>
    <t>KAZ</t>
  </si>
  <si>
    <t>EGY</t>
  </si>
  <si>
    <t>ZWE</t>
  </si>
  <si>
    <t>NAM</t>
  </si>
  <si>
    <t>KEN</t>
  </si>
  <si>
    <t>BWA</t>
  </si>
  <si>
    <t>PAK</t>
  </si>
  <si>
    <t>COD</t>
  </si>
  <si>
    <t>Democratic Republic of the Congo</t>
  </si>
  <si>
    <t>AGO</t>
  </si>
  <si>
    <t>BGR</t>
  </si>
  <si>
    <t>LUX</t>
  </si>
  <si>
    <t>ROU</t>
  </si>
  <si>
    <t>LKA</t>
  </si>
  <si>
    <t>NER</t>
  </si>
  <si>
    <t>UKR</t>
  </si>
  <si>
    <t>DJI</t>
  </si>
  <si>
    <t>Djibouti</t>
  </si>
  <si>
    <t>UZB</t>
  </si>
  <si>
    <t>PAN</t>
  </si>
  <si>
    <t>MNG</t>
  </si>
  <si>
    <t>DMA</t>
  </si>
  <si>
    <t>Dominica</t>
  </si>
  <si>
    <t>JOR</t>
  </si>
  <si>
    <t>MOZ</t>
  </si>
  <si>
    <t>DOM</t>
  </si>
  <si>
    <t>Dominican Republic</t>
  </si>
  <si>
    <t>QAT</t>
  </si>
  <si>
    <t>SRB</t>
  </si>
  <si>
    <t>PHL</t>
  </si>
  <si>
    <t>FJI</t>
  </si>
  <si>
    <t>UGA</t>
  </si>
  <si>
    <t>CYP</t>
  </si>
  <si>
    <t>HRV</t>
  </si>
  <si>
    <t>TUN</t>
  </si>
  <si>
    <t>DZA</t>
  </si>
  <si>
    <t>BHR</t>
  </si>
  <si>
    <t>ISR</t>
  </si>
  <si>
    <t>GAB</t>
  </si>
  <si>
    <t>NGA</t>
  </si>
  <si>
    <t>LCA</t>
  </si>
  <si>
    <t>PRT
ESP</t>
  </si>
  <si>
    <t>ROM
DEU
AUT</t>
  </si>
  <si>
    <t>ROM</t>
  </si>
  <si>
    <t>POL
CZE
SVK
HUN</t>
  </si>
  <si>
    <t>DEU
DNK</t>
  </si>
  <si>
    <t>ESP
FRA</t>
  </si>
  <si>
    <t>CIP - Competitive Industrial Performance</t>
  </si>
  <si>
    <t>Xlookup the countries from the database - if not found, then manually add name. When more than one country, average the score. Values not found were marked in yellow and values approximated on comparable countries.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</si>
</sst>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name val="Calibri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9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4" fillId="3" borderId="0" applyNumberFormat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1" xfId="1"/>
    <xf numFmtId="0" fontId="3" fillId="3" borderId="0" xfId="2" applyFont="1"/>
    <xf numFmtId="0" fontId="0" fillId="4" borderId="0" xfId="0" applyFill="1"/>
  </cellXfs>
  <cellStyles count="3">
    <cellStyle name="Accent1" xfId="2" builtinId="29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CCBF-EC1B-47BC-BFF6-BD6B65EC3B9C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B280-DF88-450B-9B7F-E40EFD36078B}">
  <dimension ref="B2:M112"/>
  <sheetViews>
    <sheetView showGridLines="0" tabSelected="1" workbookViewId="0">
      <selection activeCell="D7" sqref="D7"/>
    </sheetView>
  </sheetViews>
  <sheetFormatPr defaultRowHeight="14.4" outlineLevelCol="1" x14ac:dyDescent="0.3"/>
  <cols>
    <col min="1" max="1" width="2.44140625" customWidth="1"/>
    <col min="2" max="2" width="42.77734375" bestFit="1" customWidth="1"/>
    <col min="3" max="3" width="30.6640625" bestFit="1" customWidth="1"/>
    <col min="4" max="4" width="30.77734375" customWidth="1"/>
    <col min="6" max="6" width="10.44140625" hidden="1" customWidth="1" outlineLevel="1"/>
    <col min="7" max="8" width="10.77734375" hidden="1" customWidth="1" outlineLevel="1"/>
    <col min="9" max="9" width="0" hidden="1" customWidth="1" outlineLevel="1"/>
    <col min="10" max="12" width="15.5546875" hidden="1" customWidth="1" outlineLevel="1"/>
    <col min="13" max="13" width="8.88671875" collapsed="1"/>
  </cols>
  <sheetData>
    <row r="2" spans="2:12" ht="20.399999999999999" thickBot="1" x14ac:dyDescent="0.45">
      <c r="B2" s="2" t="s">
        <v>448</v>
      </c>
      <c r="C2" s="2"/>
      <c r="D2" s="2"/>
      <c r="E2" s="2"/>
      <c r="F2" s="2"/>
      <c r="G2" s="2"/>
      <c r="H2" s="2"/>
      <c r="I2" s="2"/>
      <c r="J2" s="2"/>
    </row>
    <row r="3" spans="2:12" ht="15" thickTop="1" x14ac:dyDescent="0.3"/>
    <row r="4" spans="2:12" x14ac:dyDescent="0.3">
      <c r="B4" t="s">
        <v>317</v>
      </c>
      <c r="C4" t="s">
        <v>449</v>
      </c>
    </row>
    <row r="6" spans="2:12" x14ac:dyDescent="0.3">
      <c r="B6" s="3" t="s">
        <v>318</v>
      </c>
      <c r="C6" s="3" t="s">
        <v>1</v>
      </c>
      <c r="D6" s="3" t="s">
        <v>319</v>
      </c>
      <c r="F6" s="3" t="s">
        <v>320</v>
      </c>
      <c r="G6" s="3" t="s">
        <v>321</v>
      </c>
      <c r="H6" s="3" t="s">
        <v>322</v>
      </c>
      <c r="J6" s="3" t="s">
        <v>323</v>
      </c>
      <c r="K6" s="3" t="s">
        <v>324</v>
      </c>
      <c r="L6" s="3" t="s">
        <v>325</v>
      </c>
    </row>
    <row r="7" spans="2:12" x14ac:dyDescent="0.3">
      <c r="B7" t="s">
        <v>326</v>
      </c>
      <c r="C7" t="s">
        <v>327</v>
      </c>
      <c r="D7">
        <f>_xlfn.XLOOKUP(C7,Data!$B$2:$B$154,Data!$F$2:$F$154,"N/A",0,1)</f>
        <v>0.241812353941981</v>
      </c>
    </row>
    <row r="8" spans="2:12" x14ac:dyDescent="0.3">
      <c r="B8" t="s">
        <v>328</v>
      </c>
      <c r="C8" t="s">
        <v>212</v>
      </c>
      <c r="D8">
        <f>_xlfn.XLOOKUP(C8,Data!$B$2:$B$154,Data!$F$2:$F$154,"N/A",0,1)</f>
        <v>7.43925129168405E-2</v>
      </c>
    </row>
    <row r="9" spans="2:12" x14ac:dyDescent="0.3">
      <c r="B9" t="s">
        <v>329</v>
      </c>
      <c r="C9" t="s">
        <v>265</v>
      </c>
      <c r="D9">
        <f>_xlfn.XLOOKUP(C9,Data!$B$2:$B$154,Data!$F$2:$F$154,"N/A",0,1)</f>
        <v>0.18126004286487599</v>
      </c>
    </row>
    <row r="10" spans="2:12" x14ac:dyDescent="0.3">
      <c r="B10" t="s">
        <v>330</v>
      </c>
      <c r="C10" t="s">
        <v>257</v>
      </c>
      <c r="D10">
        <f>_xlfn.XLOOKUP(C10,Data!$B$2:$B$154,Data!$F$2:$F$154,"N/A",0,1)</f>
        <v>0.15588685861924101</v>
      </c>
    </row>
    <row r="11" spans="2:12" x14ac:dyDescent="0.3">
      <c r="B11" t="s">
        <v>331</v>
      </c>
      <c r="C11" t="s">
        <v>332</v>
      </c>
      <c r="D11">
        <f>_xlfn.XLOOKUP(C11,Data!$B$2:$B$154,Data!$F$2:$F$154,"N/A",0,1)</f>
        <v>0.31647163964398001</v>
      </c>
    </row>
    <row r="12" spans="2:12" x14ac:dyDescent="0.3">
      <c r="B12" t="s">
        <v>333</v>
      </c>
      <c r="C12" t="s">
        <v>151</v>
      </c>
      <c r="D12">
        <f>_xlfn.XLOOKUP(C12,Data!$B$2:$B$154,Data!$F$2:$F$154,"N/A",0,1)</f>
        <v>0.30083658781738198</v>
      </c>
    </row>
    <row r="13" spans="2:12" x14ac:dyDescent="0.3">
      <c r="B13" t="s">
        <v>334</v>
      </c>
      <c r="C13" t="s">
        <v>267</v>
      </c>
      <c r="D13">
        <f>_xlfn.XLOOKUP(C13,Data!$B$2:$B$154,Data!$F$2:$F$154,"N/A",0,1)</f>
        <v>0.30515661676835298</v>
      </c>
    </row>
    <row r="14" spans="2:12" x14ac:dyDescent="0.3">
      <c r="B14" t="s">
        <v>335</v>
      </c>
      <c r="C14" t="s">
        <v>120</v>
      </c>
      <c r="D14">
        <f>_xlfn.XLOOKUP(C14,Data!$B$2:$B$154,Data!$F$2:$F$154,"N/A",0,1)</f>
        <v>0.41643257614455698</v>
      </c>
    </row>
    <row r="15" spans="2:12" x14ac:dyDescent="0.3">
      <c r="B15" t="s">
        <v>336</v>
      </c>
      <c r="C15" t="s">
        <v>289</v>
      </c>
      <c r="D15">
        <f>_xlfn.XLOOKUP(C15,Data!$B$2:$B$154,Data!$F$2:$F$154,"N/A",0,1)</f>
        <v>0.168947390081501</v>
      </c>
    </row>
    <row r="16" spans="2:12" x14ac:dyDescent="0.3">
      <c r="B16" t="s">
        <v>337</v>
      </c>
      <c r="C16" t="s">
        <v>92</v>
      </c>
      <c r="D16">
        <f>_xlfn.XLOOKUP(C16,Data!$B$2:$B$154,Data!$F$2:$F$154,"N/A",0,1)</f>
        <v>0.17228965495231299</v>
      </c>
    </row>
    <row r="17" spans="2:4" x14ac:dyDescent="0.3">
      <c r="B17" t="s">
        <v>338</v>
      </c>
      <c r="C17" t="s">
        <v>26</v>
      </c>
      <c r="D17">
        <f>_xlfn.XLOOKUP(C17,Data!$B$2:$B$154,Data!$F$2:$F$154,"N/A",0,1)</f>
        <v>0.19599245321742001</v>
      </c>
    </row>
    <row r="18" spans="2:4" x14ac:dyDescent="0.3">
      <c r="B18" t="s">
        <v>339</v>
      </c>
      <c r="C18" t="s">
        <v>71</v>
      </c>
      <c r="D18">
        <f>_xlfn.XLOOKUP(C18,Data!$B$2:$B$154,Data!$F$2:$F$154,"N/A",0,1)</f>
        <v>0.38448559332354698</v>
      </c>
    </row>
    <row r="19" spans="2:4" x14ac:dyDescent="0.3">
      <c r="B19" t="s">
        <v>340</v>
      </c>
      <c r="C19" t="s">
        <v>65</v>
      </c>
      <c r="D19">
        <f>_xlfn.XLOOKUP(C19,Data!$B$2:$B$154,Data!$F$2:$F$154,"N/A",0,1)</f>
        <v>0.159758618756626</v>
      </c>
    </row>
    <row r="20" spans="2:4" x14ac:dyDescent="0.3">
      <c r="B20" t="s">
        <v>341</v>
      </c>
      <c r="C20" t="s">
        <v>102</v>
      </c>
      <c r="D20">
        <f>_xlfn.XLOOKUP(C20,Data!$B$2:$B$154,Data!$F$2:$F$154,"N/A",0,1)</f>
        <v>5.2283604095719097E-2</v>
      </c>
    </row>
    <row r="21" spans="2:4" x14ac:dyDescent="0.3">
      <c r="B21" t="s">
        <v>342</v>
      </c>
      <c r="C21" t="s">
        <v>112</v>
      </c>
      <c r="D21">
        <f>_xlfn.XLOOKUP(C21,Data!$B$2:$B$154,Data!$F$2:$F$154,"N/A",0,1)</f>
        <v>0.210152321019622</v>
      </c>
    </row>
    <row r="22" spans="2:4" x14ac:dyDescent="0.3">
      <c r="B22" t="s">
        <v>343</v>
      </c>
      <c r="C22" t="s">
        <v>177</v>
      </c>
      <c r="D22">
        <f>_xlfn.XLOOKUP(C22,Data!$B$2:$B$154,Data!$F$2:$F$154,"N/A",0,1)</f>
        <v>0.15237377645235101</v>
      </c>
    </row>
    <row r="23" spans="2:4" x14ac:dyDescent="0.3">
      <c r="B23" t="s">
        <v>344</v>
      </c>
      <c r="C23" t="s">
        <v>24</v>
      </c>
      <c r="D23">
        <f>_xlfn.XLOOKUP(C23,Data!$B$2:$B$154,Data!$F$2:$F$154,"N/A",0,1)</f>
        <v>9.3662506259213699E-2</v>
      </c>
    </row>
    <row r="24" spans="2:4" x14ac:dyDescent="0.3">
      <c r="B24" t="s">
        <v>345</v>
      </c>
      <c r="C24" t="s">
        <v>228</v>
      </c>
      <c r="D24">
        <f>_xlfn.XLOOKUP(C24,Data!$B$2:$B$154,Data!$F$2:$F$154,"N/A",0,1)</f>
        <v>0.15668429522770599</v>
      </c>
    </row>
    <row r="25" spans="2:4" x14ac:dyDescent="0.3">
      <c r="B25" t="s">
        <v>346</v>
      </c>
      <c r="C25" t="s">
        <v>110</v>
      </c>
      <c r="D25">
        <f>_xlfn.XLOOKUP(C25,Data!$B$2:$B$154,Data!$F$2:$F$154,"N/A",0,1)</f>
        <v>0.124131365707637</v>
      </c>
    </row>
    <row r="26" spans="2:4" x14ac:dyDescent="0.3">
      <c r="B26" t="s">
        <v>347</v>
      </c>
      <c r="C26" t="s">
        <v>250</v>
      </c>
      <c r="D26">
        <f>_xlfn.XLOOKUP(C26,Data!$B$2:$B$154,Data!$F$2:$F$154,"N/A",0,1)</f>
        <v>0.2483167344952</v>
      </c>
    </row>
    <row r="27" spans="2:4" x14ac:dyDescent="0.3">
      <c r="B27" t="s">
        <v>348</v>
      </c>
      <c r="C27" t="s">
        <v>273</v>
      </c>
      <c r="D27">
        <f>_xlfn.XLOOKUP(C27,Data!$B$2:$B$154,Data!$F$2:$F$154,"N/A",0,1)</f>
        <v>0.123679450675829</v>
      </c>
    </row>
    <row r="28" spans="2:4" x14ac:dyDescent="0.3">
      <c r="B28" t="s">
        <v>349</v>
      </c>
      <c r="C28" t="s">
        <v>147</v>
      </c>
      <c r="D28">
        <f>_xlfn.XLOOKUP(C28,Data!$B$2:$B$154,Data!$F$2:$F$154,"N/A",0,1)</f>
        <v>0.22792862735383901</v>
      </c>
    </row>
    <row r="29" spans="2:4" x14ac:dyDescent="0.3">
      <c r="B29" t="s">
        <v>350</v>
      </c>
      <c r="C29" t="s">
        <v>81</v>
      </c>
      <c r="D29">
        <f>_xlfn.XLOOKUP(C29,Data!$B$2:$B$154,Data!$F$2:$F$154,"N/A",0,1)</f>
        <v>4.4954727706373002E-2</v>
      </c>
    </row>
    <row r="30" spans="2:4" x14ac:dyDescent="0.3">
      <c r="B30" t="s">
        <v>351</v>
      </c>
      <c r="C30" t="s">
        <v>69</v>
      </c>
      <c r="D30">
        <f>_xlfn.XLOOKUP(C30,Data!$B$2:$B$154,Data!$F$2:$F$154,"N/A",0,1)</f>
        <v>5.3850704952274599E-2</v>
      </c>
    </row>
    <row r="31" spans="2:4" x14ac:dyDescent="0.3">
      <c r="B31" t="s">
        <v>352</v>
      </c>
      <c r="C31" t="s">
        <v>40</v>
      </c>
      <c r="D31">
        <f>_xlfn.XLOOKUP(C31,Data!$B$2:$B$154,Data!$F$2:$F$154,"N/A",0,1)</f>
        <v>0.19283278728685799</v>
      </c>
    </row>
    <row r="32" spans="2:4" x14ac:dyDescent="0.3">
      <c r="B32" t="s">
        <v>353</v>
      </c>
      <c r="C32" t="s">
        <v>136</v>
      </c>
      <c r="D32">
        <f>_xlfn.XLOOKUP(C32,Data!$B$2:$B$154,Data!$F$2:$F$154,"N/A",0,1)</f>
        <v>7.8772164749422294E-2</v>
      </c>
    </row>
    <row r="33" spans="2:4" x14ac:dyDescent="0.3">
      <c r="B33" t="s">
        <v>354</v>
      </c>
      <c r="C33" t="s">
        <v>124</v>
      </c>
      <c r="D33">
        <f>_xlfn.XLOOKUP(C33,Data!$B$2:$B$154,Data!$F$2:$F$154,"N/A",0,1)</f>
        <v>6.3297714842146899E-2</v>
      </c>
    </row>
    <row r="34" spans="2:4" x14ac:dyDescent="0.3">
      <c r="B34" t="s">
        <v>355</v>
      </c>
      <c r="C34" t="s">
        <v>134</v>
      </c>
      <c r="D34">
        <f>_xlfn.XLOOKUP(C34,Data!$B$2:$B$154,Data!$F$2:$F$154,"N/A",0,1)</f>
        <v>2.6265519695084501E-2</v>
      </c>
    </row>
    <row r="35" spans="2:4" x14ac:dyDescent="0.3">
      <c r="B35" t="s">
        <v>356</v>
      </c>
      <c r="C35" t="s">
        <v>281</v>
      </c>
      <c r="D35">
        <f>_xlfn.XLOOKUP(C35,Data!$B$2:$B$154,Data!$F$2:$F$154,"N/A",0,1)</f>
        <v>0.12913773539662299</v>
      </c>
    </row>
    <row r="36" spans="2:4" x14ac:dyDescent="0.3">
      <c r="B36" t="s">
        <v>357</v>
      </c>
      <c r="C36" t="s">
        <v>20</v>
      </c>
      <c r="D36">
        <f>_xlfn.XLOOKUP(C36,Data!$B$2:$B$154,Data!$F$2:$F$154,"N/A",0,1)</f>
        <v>4.8993963059743101E-2</v>
      </c>
    </row>
    <row r="37" spans="2:4" x14ac:dyDescent="0.3">
      <c r="B37" t="s">
        <v>358</v>
      </c>
      <c r="C37" t="s">
        <v>359</v>
      </c>
      <c r="D37">
        <f>_xlfn.XLOOKUP(C37,Data!$B$2:$B$154,Data!$F$2:$F$154,"N/A",0,1)</f>
        <v>5.1953445291860002E-2</v>
      </c>
    </row>
    <row r="38" spans="2:4" x14ac:dyDescent="0.3">
      <c r="B38" t="s">
        <v>360</v>
      </c>
      <c r="C38" t="s">
        <v>202</v>
      </c>
      <c r="D38">
        <f>_xlfn.XLOOKUP(C38,Data!$B$2:$B$154,Data!$F$2:$F$154,"N/A",0,1)</f>
        <v>5.3898102769877998E-2</v>
      </c>
    </row>
    <row r="39" spans="2:4" x14ac:dyDescent="0.3">
      <c r="B39" t="s">
        <v>361</v>
      </c>
      <c r="C39" t="s">
        <v>362</v>
      </c>
      <c r="D39">
        <f>_xlfn.XLOOKUP(C39,Data!$B$2:$B$154,Data!$F$2:$F$154,"N/A",0,1)</f>
        <v>1.21982794433065E-2</v>
      </c>
    </row>
    <row r="40" spans="2:4" x14ac:dyDescent="0.3">
      <c r="B40" t="s">
        <v>363</v>
      </c>
      <c r="C40" t="s">
        <v>230</v>
      </c>
      <c r="D40">
        <f>_xlfn.XLOOKUP(C40,Data!$B$2:$B$154,Data!$F$2:$F$154,"N/A",0,1)</f>
        <v>7.8058130060345704E-2</v>
      </c>
    </row>
    <row r="41" spans="2:4" x14ac:dyDescent="0.3">
      <c r="B41" t="s">
        <v>364</v>
      </c>
      <c r="C41" t="s">
        <v>167</v>
      </c>
      <c r="D41">
        <f>_xlfn.XLOOKUP(C41,Data!$B$2:$B$154,Data!$F$2:$F$154,"N/A",0,1)</f>
        <v>1.24204836754222E-2</v>
      </c>
    </row>
    <row r="42" spans="2:4" x14ac:dyDescent="0.3">
      <c r="B42" t="s">
        <v>365</v>
      </c>
      <c r="C42" s="4" t="s">
        <v>366</v>
      </c>
      <c r="D42">
        <f>D51</f>
        <v>4.6077722061848098E-2</v>
      </c>
    </row>
    <row r="43" spans="2:4" x14ac:dyDescent="0.3">
      <c r="B43" t="s">
        <v>367</v>
      </c>
      <c r="C43" t="s">
        <v>244</v>
      </c>
      <c r="D43">
        <f>_xlfn.XLOOKUP(C43,Data!$B$2:$B$154,Data!$F$2:$F$154,"N/A",0,1)</f>
        <v>7.2608581113119894E-2</v>
      </c>
    </row>
    <row r="44" spans="2:4" x14ac:dyDescent="0.3">
      <c r="B44" t="s">
        <v>368</v>
      </c>
      <c r="C44" s="4" t="s">
        <v>369</v>
      </c>
      <c r="D44">
        <f>D107</f>
        <v>3.1644778092039302E-3</v>
      </c>
    </row>
    <row r="45" spans="2:4" x14ac:dyDescent="0.3">
      <c r="B45" t="s">
        <v>370</v>
      </c>
      <c r="C45" t="s">
        <v>255</v>
      </c>
      <c r="D45">
        <f>_xlfn.XLOOKUP(C45,Data!$B$2:$B$154,Data!$F$2:$F$154,"N/A",0,1)</f>
        <v>5.1602220557091599E-2</v>
      </c>
    </row>
    <row r="46" spans="2:4" x14ac:dyDescent="0.3">
      <c r="B46" t="s">
        <v>371</v>
      </c>
      <c r="C46" t="s">
        <v>287</v>
      </c>
      <c r="D46">
        <f>_xlfn.XLOOKUP(C46,Data!$B$2:$B$154,Data!$F$2:$F$154,"N/A",0,1)</f>
        <v>0.12273672095820599</v>
      </c>
    </row>
    <row r="47" spans="2:4" x14ac:dyDescent="0.3">
      <c r="B47" t="s">
        <v>372</v>
      </c>
      <c r="C47" t="s">
        <v>214</v>
      </c>
      <c r="D47">
        <f>_xlfn.XLOOKUP(C47,Data!$B$2:$B$154,Data!$F$2:$F$154,"N/A",0,1)</f>
        <v>4.4713151973758303E-2</v>
      </c>
    </row>
    <row r="48" spans="2:4" x14ac:dyDescent="0.3">
      <c r="B48" t="s">
        <v>373</v>
      </c>
      <c r="C48" t="s">
        <v>294</v>
      </c>
      <c r="D48">
        <f>_xlfn.XLOOKUP(C48,Data!$B$2:$B$154,Data!$F$2:$F$154,"N/A",0,1)</f>
        <v>2.4997427350059099E-2</v>
      </c>
    </row>
    <row r="49" spans="2:4" x14ac:dyDescent="0.3">
      <c r="B49" t="s">
        <v>374</v>
      </c>
      <c r="C49" t="s">
        <v>222</v>
      </c>
      <c r="D49">
        <f>_xlfn.XLOOKUP(C49,Data!$B$2:$B$154,Data!$F$2:$F$154,"N/A",0,1)</f>
        <v>1.9856115950603399E-2</v>
      </c>
    </row>
    <row r="50" spans="2:4" x14ac:dyDescent="0.3">
      <c r="B50" t="s">
        <v>375</v>
      </c>
      <c r="C50" t="s">
        <v>376</v>
      </c>
      <c r="D50">
        <f>_xlfn.XLOOKUP(C50,Data!$B$2:$B$154,Data!$F$2:$F$154,"N/A",0,1)</f>
        <v>0.32981852947135498</v>
      </c>
    </row>
    <row r="51" spans="2:4" x14ac:dyDescent="0.3">
      <c r="B51" t="s">
        <v>377</v>
      </c>
      <c r="C51" t="s">
        <v>191</v>
      </c>
      <c r="D51">
        <f>_xlfn.XLOOKUP(C51,Data!$B$2:$B$154,Data!$F$2:$F$154,"N/A",0,1)</f>
        <v>4.6077722061848098E-2</v>
      </c>
    </row>
    <row r="52" spans="2:4" x14ac:dyDescent="0.3">
      <c r="B52" t="s">
        <v>378</v>
      </c>
      <c r="C52" t="s">
        <v>14</v>
      </c>
      <c r="D52">
        <f>_xlfn.XLOOKUP(C52,Data!$B$2:$B$154,Data!$F$2:$F$154,"N/A",0,1)</f>
        <v>1.13697982263303E-2</v>
      </c>
    </row>
    <row r="53" spans="2:4" x14ac:dyDescent="0.3">
      <c r="B53" t="s">
        <v>379</v>
      </c>
      <c r="C53" t="s">
        <v>138</v>
      </c>
      <c r="D53">
        <f>_xlfn.XLOOKUP(C53,Data!$B$2:$B$154,Data!$F$2:$F$154,"N/A",0,1)</f>
        <v>8.3665198793604498E-2</v>
      </c>
    </row>
    <row r="54" spans="2:4" x14ac:dyDescent="0.3">
      <c r="B54" t="s">
        <v>380</v>
      </c>
      <c r="C54" t="s">
        <v>36</v>
      </c>
      <c r="D54">
        <f>_xlfn.XLOOKUP(C54,Data!$B$2:$B$154,Data!$F$2:$F$154,"N/A",0,1)</f>
        <v>8.6473788993023798E-3</v>
      </c>
    </row>
    <row r="55" spans="2:4" x14ac:dyDescent="0.3">
      <c r="B55" t="s">
        <v>381</v>
      </c>
      <c r="C55" t="s">
        <v>277</v>
      </c>
      <c r="D55">
        <f>_xlfn.XLOOKUP(C55,Data!$B$2:$B$154,Data!$F$2:$F$154,"N/A",0,1)</f>
        <v>3.5560870076195801E-2</v>
      </c>
    </row>
    <row r="56" spans="2:4" x14ac:dyDescent="0.3">
      <c r="B56" t="s">
        <v>382</v>
      </c>
      <c r="C56" t="s">
        <v>34</v>
      </c>
      <c r="D56">
        <f>_xlfn.XLOOKUP(C56,Data!$B$2:$B$154,Data!$F$2:$F$154,"N/A",0,1)</f>
        <v>4.0722480797441299E-2</v>
      </c>
    </row>
    <row r="57" spans="2:4" x14ac:dyDescent="0.3">
      <c r="B57" t="s">
        <v>383</v>
      </c>
      <c r="C57" t="s">
        <v>51</v>
      </c>
      <c r="D57">
        <f>_xlfn.XLOOKUP(C57,Data!$B$2:$B$154,Data!$F$2:$F$154,"N/A",0,1)</f>
        <v>7.2348109300603106E-2</v>
      </c>
    </row>
    <row r="58" spans="2:4" x14ac:dyDescent="0.3">
      <c r="B58" t="s">
        <v>384</v>
      </c>
      <c r="C58" t="s">
        <v>132</v>
      </c>
      <c r="D58">
        <f>_xlfn.XLOOKUP(C58,Data!$B$2:$B$154,Data!$F$2:$F$154,"N/A",0,1)</f>
        <v>0.12724014246685</v>
      </c>
    </row>
    <row r="59" spans="2:4" x14ac:dyDescent="0.3">
      <c r="B59" t="s">
        <v>385</v>
      </c>
      <c r="C59" t="s">
        <v>386</v>
      </c>
      <c r="D59">
        <f>_xlfn.XLOOKUP(C59,Data!$B$2:$B$154,Data!$F$2:$F$154,"N/A",0,1)</f>
        <v>0.30624501361704898</v>
      </c>
    </row>
    <row r="60" spans="2:4" x14ac:dyDescent="0.3">
      <c r="B60" t="s">
        <v>387</v>
      </c>
      <c r="C60" t="s">
        <v>185</v>
      </c>
      <c r="D60">
        <f>_xlfn.XLOOKUP(C60,Data!$B$2:$B$154,Data!$F$2:$F$154,"N/A",0,1)</f>
        <v>0.170414120963436</v>
      </c>
    </row>
    <row r="61" spans="2:4" x14ac:dyDescent="0.3">
      <c r="B61" t="s">
        <v>388</v>
      </c>
      <c r="C61" t="s">
        <v>300</v>
      </c>
      <c r="D61">
        <f>_xlfn.XLOOKUP(C61,Data!$B$2:$B$154,Data!$F$2:$F$154,"N/A",0,1)</f>
        <v>0.11241385578329401</v>
      </c>
    </row>
    <row r="62" spans="2:4" x14ac:dyDescent="0.3">
      <c r="B62" t="s">
        <v>389</v>
      </c>
      <c r="C62" t="s">
        <v>253</v>
      </c>
      <c r="D62">
        <f>_xlfn.XLOOKUP(C62,Data!$B$2:$B$154,Data!$F$2:$F$154,"N/A",0,1)</f>
        <v>0.111795149517465</v>
      </c>
    </row>
    <row r="63" spans="2:4" x14ac:dyDescent="0.3">
      <c r="B63" t="s">
        <v>390</v>
      </c>
      <c r="C63" t="s">
        <v>391</v>
      </c>
      <c r="D63">
        <f>_xlfn.XLOOKUP(C63,Data!$B$2:$B$154,Data!$F$2:$F$154,"N/A",0,1)</f>
        <v>0.18759886008528401</v>
      </c>
    </row>
    <row r="64" spans="2:4" x14ac:dyDescent="0.3">
      <c r="B64" t="s">
        <v>392</v>
      </c>
      <c r="C64" t="s">
        <v>393</v>
      </c>
      <c r="D64">
        <f>_xlfn.XLOOKUP(C64,Data!$B$2:$B$154,Data!$F$2:$F$154,"N/A",0,1)</f>
        <v>0.128013449880715</v>
      </c>
    </row>
    <row r="65" spans="2:4" x14ac:dyDescent="0.3">
      <c r="B65" t="s">
        <v>394</v>
      </c>
      <c r="C65" t="s">
        <v>169</v>
      </c>
      <c r="D65">
        <f>_xlfn.XLOOKUP(C65,Data!$B$2:$B$154,Data!$F$2:$F$154,"N/A",0,1)</f>
        <v>7.8193886105483404E-2</v>
      </c>
    </row>
    <row r="66" spans="2:4" x14ac:dyDescent="0.3">
      <c r="B66" t="s">
        <v>395</v>
      </c>
      <c r="C66" t="s">
        <v>165</v>
      </c>
      <c r="D66">
        <f>_xlfn.XLOOKUP(C66,Data!$B$2:$B$154,Data!$F$2:$F$154,"N/A",0,1)</f>
        <v>4.4479385573156997E-2</v>
      </c>
    </row>
    <row r="67" spans="2:4" x14ac:dyDescent="0.3">
      <c r="B67" t="s">
        <v>396</v>
      </c>
      <c r="C67" t="s">
        <v>143</v>
      </c>
      <c r="D67">
        <f>_xlfn.XLOOKUP(C67,Data!$B$2:$B$154,Data!$F$2:$F$154,"N/A",0,1)</f>
        <v>0.33684598261646398</v>
      </c>
    </row>
    <row r="68" spans="2:4" x14ac:dyDescent="0.3">
      <c r="B68" t="s">
        <v>397</v>
      </c>
      <c r="C68" t="s">
        <v>224</v>
      </c>
      <c r="D68">
        <f>_xlfn.XLOOKUP(C68,Data!$B$2:$B$154,Data!$F$2:$F$154,"N/A",0,1)</f>
        <v>3.8850159492641402E-2</v>
      </c>
    </row>
    <row r="69" spans="2:4" x14ac:dyDescent="0.3">
      <c r="B69" t="s">
        <v>398</v>
      </c>
      <c r="C69" t="s">
        <v>399</v>
      </c>
      <c r="D69">
        <f>_xlfn.XLOOKUP(C69,Data!$B$2:$B$154,Data!$F$2:$F$154,"N/A",0,1)</f>
        <v>9.4699366892482498E-2</v>
      </c>
    </row>
    <row r="70" spans="2:4" x14ac:dyDescent="0.3">
      <c r="B70" t="s">
        <v>400</v>
      </c>
      <c r="C70" t="s">
        <v>78</v>
      </c>
      <c r="D70">
        <f>_xlfn.XLOOKUP(C70,Data!$B$2:$B$154,Data!$F$2:$F$154,"N/A",0,1)</f>
        <v>3.2616624889109401E-2</v>
      </c>
    </row>
    <row r="71" spans="2:4" x14ac:dyDescent="0.3">
      <c r="B71" t="s">
        <v>401</v>
      </c>
      <c r="C71" t="s">
        <v>155</v>
      </c>
      <c r="D71">
        <f>_xlfn.XLOOKUP(C71,Data!$B$2:$B$154,Data!$F$2:$F$154,"N/A",0,1)</f>
        <v>4.21300566580163E-2</v>
      </c>
    </row>
    <row r="72" spans="2:4" x14ac:dyDescent="0.3">
      <c r="B72" t="s">
        <v>402</v>
      </c>
      <c r="C72" t="s">
        <v>96</v>
      </c>
      <c r="D72">
        <f>_xlfn.XLOOKUP(C72,Data!$B$2:$B$154,Data!$F$2:$F$154,"N/A",0,1)</f>
        <v>3.54124615594551E-2</v>
      </c>
    </row>
    <row r="73" spans="2:4" x14ac:dyDescent="0.3">
      <c r="B73" t="s">
        <v>403</v>
      </c>
      <c r="C73" t="s">
        <v>306</v>
      </c>
      <c r="D73">
        <f>_xlfn.XLOOKUP(C73,Data!$B$2:$B$154,Data!$F$2:$F$154,"N/A",0,1)</f>
        <v>7.5752214875452698E-3</v>
      </c>
    </row>
    <row r="74" spans="2:4" x14ac:dyDescent="0.3">
      <c r="B74" t="s">
        <v>404</v>
      </c>
      <c r="C74" t="s">
        <v>197</v>
      </c>
      <c r="D74">
        <f>_xlfn.XLOOKUP(C74,Data!$B$2:$B$154,Data!$F$2:$F$154,"N/A",0,1)</f>
        <v>1.15470312981527E-2</v>
      </c>
    </row>
    <row r="75" spans="2:4" x14ac:dyDescent="0.3">
      <c r="B75" t="s">
        <v>405</v>
      </c>
      <c r="C75" t="s">
        <v>157</v>
      </c>
      <c r="D75">
        <f>_xlfn.XLOOKUP(C75,Data!$B$2:$B$154,Data!$F$2:$F$154,"N/A",0,1)</f>
        <v>9.6822156298986897E-3</v>
      </c>
    </row>
    <row r="76" spans="2:4" x14ac:dyDescent="0.3">
      <c r="B76" t="s">
        <v>406</v>
      </c>
      <c r="C76" t="s">
        <v>49</v>
      </c>
      <c r="D76">
        <f>_xlfn.XLOOKUP(C76,Data!$B$2:$B$154,Data!$F$2:$F$154,"N/A",0,1)</f>
        <v>1.7467837453615201E-2</v>
      </c>
    </row>
    <row r="77" spans="2:4" x14ac:dyDescent="0.3">
      <c r="B77" t="s">
        <v>407</v>
      </c>
      <c r="C77" t="s">
        <v>216</v>
      </c>
      <c r="D77">
        <f>_xlfn.XLOOKUP(C77,Data!$B$2:$B$154,Data!$F$2:$F$154,"N/A",0,1)</f>
        <v>2.1881553943333E-2</v>
      </c>
    </row>
    <row r="78" spans="2:4" x14ac:dyDescent="0.3">
      <c r="B78" t="s">
        <v>408</v>
      </c>
      <c r="C78" t="s">
        <v>409</v>
      </c>
      <c r="D78">
        <f>_xlfn.XLOOKUP(C78,Data!$B$2:$B$154,Data!$F$2:$F$154,"N/A",0,1)</f>
        <v>7.93285109218155E-3</v>
      </c>
    </row>
    <row r="79" spans="2:4" x14ac:dyDescent="0.3">
      <c r="B79" t="s">
        <v>410</v>
      </c>
      <c r="C79" t="s">
        <v>18</v>
      </c>
      <c r="D79">
        <f>_xlfn.XLOOKUP(C79,Data!$B$2:$B$154,Data!$F$2:$F$154,"N/A",0,1)</f>
        <v>5.7435519392722697E-3</v>
      </c>
    </row>
    <row r="80" spans="2:4" x14ac:dyDescent="0.3">
      <c r="B80" t="s">
        <v>411</v>
      </c>
      <c r="C80" t="s">
        <v>55</v>
      </c>
      <c r="D80">
        <f>_xlfn.XLOOKUP(C80,Data!$B$2:$B$154,Data!$F$2:$F$154,"N/A",0,1)</f>
        <v>5.57445383839573E-2</v>
      </c>
    </row>
    <row r="81" spans="2:4" x14ac:dyDescent="0.3">
      <c r="B81" t="s">
        <v>412</v>
      </c>
      <c r="C81" t="s">
        <v>171</v>
      </c>
      <c r="D81">
        <f>_xlfn.XLOOKUP(C81,Data!$B$2:$B$154,Data!$F$2:$F$154,"N/A",0,1)</f>
        <v>5.7080501249279103E-2</v>
      </c>
    </row>
    <row r="82" spans="2:4" x14ac:dyDescent="0.3">
      <c r="B82" t="s">
        <v>413</v>
      </c>
      <c r="C82" t="s">
        <v>237</v>
      </c>
      <c r="D82">
        <f>_xlfn.XLOOKUP(C82,Data!$B$2:$B$154,Data!$F$2:$F$154,"N/A",0,1)</f>
        <v>8.6475371829098993E-2</v>
      </c>
    </row>
    <row r="83" spans="2:4" x14ac:dyDescent="0.3">
      <c r="B83" t="s">
        <v>414</v>
      </c>
      <c r="C83" t="s">
        <v>259</v>
      </c>
      <c r="D83">
        <f>_xlfn.XLOOKUP(C83,Data!$B$2:$B$154,Data!$F$2:$F$154,"N/A",0,1)</f>
        <v>2.4159890964511599E-2</v>
      </c>
    </row>
    <row r="84" spans="2:4" x14ac:dyDescent="0.3">
      <c r="B84" t="s">
        <v>415</v>
      </c>
      <c r="C84" t="s">
        <v>206</v>
      </c>
      <c r="D84">
        <f>_xlfn.XLOOKUP(C84,Data!$B$2:$B$154,Data!$F$2:$F$154,"N/A",0,1)</f>
        <v>2.7733597346452799E-3</v>
      </c>
    </row>
    <row r="85" spans="2:4" x14ac:dyDescent="0.3">
      <c r="B85" t="s">
        <v>416</v>
      </c>
      <c r="C85" t="s">
        <v>285</v>
      </c>
      <c r="D85">
        <f>_xlfn.XLOOKUP(C85,Data!$B$2:$B$154,Data!$F$2:$F$154,"N/A",0,1)</f>
        <v>2.2146754729915299E-2</v>
      </c>
    </row>
    <row r="86" spans="2:4" x14ac:dyDescent="0.3">
      <c r="B86" t="s">
        <v>417</v>
      </c>
      <c r="C86" s="4" t="s">
        <v>418</v>
      </c>
      <c r="D86">
        <f>D47</f>
        <v>4.4713151973758303E-2</v>
      </c>
    </row>
    <row r="87" spans="2:4" x14ac:dyDescent="0.3">
      <c r="B87" t="s">
        <v>419</v>
      </c>
      <c r="C87" t="s">
        <v>296</v>
      </c>
      <c r="D87">
        <f>_xlfn.XLOOKUP(C87,Data!$B$2:$B$154,Data!$F$2:$F$154,"N/A",0,1)</f>
        <v>2.1465706602103E-2</v>
      </c>
    </row>
    <row r="88" spans="2:4" x14ac:dyDescent="0.3">
      <c r="B88" t="s">
        <v>420</v>
      </c>
      <c r="C88" t="s">
        <v>218</v>
      </c>
      <c r="D88">
        <f>_xlfn.XLOOKUP(C88,Data!$B$2:$B$154,Data!$F$2:$F$154,"N/A",0,1)</f>
        <v>1.4869799930661801E-2</v>
      </c>
    </row>
    <row r="89" spans="2:4" x14ac:dyDescent="0.3">
      <c r="B89" t="s">
        <v>421</v>
      </c>
      <c r="C89" t="s">
        <v>187</v>
      </c>
      <c r="D89">
        <f>_xlfn.XLOOKUP(C89,Data!$B$2:$B$154,Data!$F$2:$F$154,"N/A",0,1)</f>
        <v>1.1446597320940799E-2</v>
      </c>
    </row>
    <row r="90" spans="2:4" x14ac:dyDescent="0.3">
      <c r="B90" t="s">
        <v>422</v>
      </c>
      <c r="C90" s="4" t="s">
        <v>423</v>
      </c>
      <c r="D90">
        <f>D107</f>
        <v>3.1644778092039302E-3</v>
      </c>
    </row>
    <row r="91" spans="2:4" x14ac:dyDescent="0.3">
      <c r="B91" t="s">
        <v>424</v>
      </c>
      <c r="C91" t="s">
        <v>153</v>
      </c>
      <c r="D91">
        <f>_xlfn.XLOOKUP(C91,Data!$B$2:$B$154,Data!$F$2:$F$154,"N/A",0,1)</f>
        <v>2.8284101134678601E-2</v>
      </c>
    </row>
    <row r="92" spans="2:4" x14ac:dyDescent="0.3">
      <c r="B92" t="s">
        <v>425</v>
      </c>
      <c r="C92" t="s">
        <v>193</v>
      </c>
      <c r="D92">
        <f>_xlfn.XLOOKUP(C92,Data!$B$2:$B$154,Data!$F$2:$F$154,"N/A",0,1)</f>
        <v>4.1148508986873196E-3</v>
      </c>
    </row>
    <row r="93" spans="2:4" x14ac:dyDescent="0.3">
      <c r="B93" t="s">
        <v>426</v>
      </c>
      <c r="C93" s="4" t="s">
        <v>427</v>
      </c>
      <c r="D93">
        <f>D107</f>
        <v>3.1644778092039302E-3</v>
      </c>
    </row>
    <row r="94" spans="2:4" x14ac:dyDescent="0.3">
      <c r="B94" t="s">
        <v>428</v>
      </c>
      <c r="C94" t="s">
        <v>232</v>
      </c>
      <c r="D94">
        <f>_xlfn.XLOOKUP(C94,Data!$B$2:$B$154,Data!$F$2:$F$154,"N/A",0,1)</f>
        <v>6.2850350678619799E-2</v>
      </c>
    </row>
    <row r="95" spans="2:4" x14ac:dyDescent="0.3">
      <c r="B95" t="s">
        <v>429</v>
      </c>
      <c r="C95" t="s">
        <v>248</v>
      </c>
      <c r="D95">
        <f>_xlfn.XLOOKUP(C95,Data!$B$2:$B$154,Data!$F$2:$F$154,"N/A",0,1)</f>
        <v>4.5775637747634601E-2</v>
      </c>
    </row>
    <row r="96" spans="2:4" x14ac:dyDescent="0.3">
      <c r="B96" t="s">
        <v>430</v>
      </c>
      <c r="C96" t="s">
        <v>226</v>
      </c>
      <c r="D96">
        <f>_xlfn.XLOOKUP(C96,Data!$B$2:$B$154,Data!$F$2:$F$154,"N/A",0,1)</f>
        <v>6.04604653175864E-2</v>
      </c>
    </row>
    <row r="97" spans="2:12" x14ac:dyDescent="0.3">
      <c r="B97" t="s">
        <v>431</v>
      </c>
      <c r="C97" t="s">
        <v>108</v>
      </c>
      <c r="D97">
        <f>_xlfn.XLOOKUP(C97,Data!$B$2:$B$154,Data!$F$2:$F$154,"N/A",0,1)</f>
        <v>7.5753155215781904E-3</v>
      </c>
    </row>
    <row r="98" spans="2:12" x14ac:dyDescent="0.3">
      <c r="B98" t="s">
        <v>432</v>
      </c>
      <c r="C98" t="s">
        <v>283</v>
      </c>
      <c r="D98">
        <f>_xlfn.XLOOKUP(C98,Data!$B$2:$B$154,Data!$F$2:$F$154,"N/A",0,1)</f>
        <v>8.0971076064078103E-3</v>
      </c>
    </row>
    <row r="99" spans="2:12" x14ac:dyDescent="0.3">
      <c r="B99" t="s">
        <v>433</v>
      </c>
      <c r="C99" t="s">
        <v>89</v>
      </c>
      <c r="D99">
        <f>_xlfn.XLOOKUP(C99,Data!$B$2:$B$154,Data!$F$2:$F$154,"N/A",0,1)</f>
        <v>1.7402880884112099E-2</v>
      </c>
    </row>
    <row r="100" spans="2:12" x14ac:dyDescent="0.3">
      <c r="B100" t="s">
        <v>434</v>
      </c>
      <c r="C100" t="s">
        <v>85</v>
      </c>
      <c r="D100">
        <f>_xlfn.XLOOKUP(C100,Data!$B$2:$B$154,Data!$F$2:$F$154,"N/A",0,1)</f>
        <v>5.0599595252835597E-2</v>
      </c>
    </row>
    <row r="101" spans="2:12" x14ac:dyDescent="0.3">
      <c r="B101" t="s">
        <v>435</v>
      </c>
      <c r="C101" t="s">
        <v>279</v>
      </c>
      <c r="D101">
        <f>_xlfn.XLOOKUP(C101,Data!$B$2:$B$154,Data!$F$2:$F$154,"N/A",0,1)</f>
        <v>3.2942402073218198E-2</v>
      </c>
    </row>
    <row r="102" spans="2:12" x14ac:dyDescent="0.3">
      <c r="B102" t="s">
        <v>436</v>
      </c>
      <c r="C102" t="s">
        <v>16</v>
      </c>
      <c r="D102">
        <f>_xlfn.XLOOKUP(C102,Data!$B$2:$B$154,Data!$F$2:$F$154,"N/A",0,1)</f>
        <v>1.98316269417015E-2</v>
      </c>
    </row>
    <row r="103" spans="2:12" x14ac:dyDescent="0.3">
      <c r="B103" t="s">
        <v>437</v>
      </c>
      <c r="C103" t="s">
        <v>32</v>
      </c>
      <c r="D103">
        <f>_xlfn.XLOOKUP(C103,Data!$B$2:$B$154,Data!$F$2:$F$154,"N/A",0,1)</f>
        <v>3.9295900073048298E-2</v>
      </c>
    </row>
    <row r="104" spans="2:12" x14ac:dyDescent="0.3">
      <c r="B104" t="s">
        <v>438</v>
      </c>
      <c r="C104" t="s">
        <v>145</v>
      </c>
      <c r="D104">
        <f>_xlfn.XLOOKUP(C104,Data!$B$2:$B$154,Data!$F$2:$F$154,"N/A",0,1)</f>
        <v>0.11061808241174299</v>
      </c>
    </row>
    <row r="105" spans="2:12" x14ac:dyDescent="0.3">
      <c r="B105" t="s">
        <v>439</v>
      </c>
      <c r="C105" t="s">
        <v>114</v>
      </c>
      <c r="D105">
        <f>_xlfn.XLOOKUP(C105,Data!$B$2:$B$154,Data!$F$2:$F$154,"N/A",0,1)</f>
        <v>1.7788017931103701E-2</v>
      </c>
    </row>
    <row r="106" spans="2:12" x14ac:dyDescent="0.3">
      <c r="B106" t="s">
        <v>440</v>
      </c>
      <c r="C106" t="s">
        <v>208</v>
      </c>
      <c r="D106">
        <f>_xlfn.XLOOKUP(C106,Data!$B$2:$B$154,Data!$F$2:$F$154,"N/A",0,1)</f>
        <v>1.13077814781438E-2</v>
      </c>
    </row>
    <row r="107" spans="2:12" x14ac:dyDescent="0.3">
      <c r="B107" t="s">
        <v>441</v>
      </c>
      <c r="C107" t="s">
        <v>242</v>
      </c>
      <c r="D107">
        <f>_xlfn.XLOOKUP(C107,Data!$B$2:$B$154,Data!$F$2:$F$154,"N/A",0,1)</f>
        <v>3.1644778092039302E-3</v>
      </c>
    </row>
    <row r="108" spans="2:12" x14ac:dyDescent="0.3">
      <c r="B108" t="s">
        <v>442</v>
      </c>
      <c r="C108" t="e">
        <v>#N/A</v>
      </c>
      <c r="D108">
        <f>AVERAGE(F108:G108)</f>
        <v>0.11697249433979336</v>
      </c>
      <c r="F108">
        <f>_xlfn.XLOOKUP(J108,$B$7:$B$107,$D$7:$D$107)</f>
        <v>7.8058130060345704E-2</v>
      </c>
      <c r="G108">
        <f>_xlfn.XLOOKUP(K108,$B$7:$B$107,$D$7:$D$107)</f>
        <v>0.15588685861924101</v>
      </c>
      <c r="J108" t="s">
        <v>363</v>
      </c>
      <c r="K108" t="s">
        <v>330</v>
      </c>
    </row>
    <row r="109" spans="2:12" x14ac:dyDescent="0.3">
      <c r="B109" t="s">
        <v>443</v>
      </c>
      <c r="C109" t="e">
        <v>#N/A</v>
      </c>
      <c r="D109">
        <f>AVERAGE(G109:H109)</f>
        <v>0.30621251468098848</v>
      </c>
      <c r="G109">
        <f>_xlfn.XLOOKUP(K109,$B$7:$B$107,$D$7:$D$107)</f>
        <v>0.41643257614455698</v>
      </c>
      <c r="H109">
        <f>_xlfn.XLOOKUP(L109,$B$7:$B$107,$D$7:$D$107)</f>
        <v>0.19599245321742001</v>
      </c>
      <c r="J109" t="s">
        <v>444</v>
      </c>
      <c r="K109" t="s">
        <v>335</v>
      </c>
      <c r="L109" t="s">
        <v>338</v>
      </c>
    </row>
    <row r="110" spans="2:12" x14ac:dyDescent="0.3">
      <c r="B110" t="s">
        <v>445</v>
      </c>
      <c r="C110" t="e">
        <v>#N/A</v>
      </c>
      <c r="D110">
        <f>AVERAGE(F110:H110)</f>
        <v>0.15743220173123501</v>
      </c>
      <c r="F110">
        <f>_xlfn.XLOOKUP(J110,$B$7:$B$107,$D$7:$D$107)</f>
        <v>0.15668429522770599</v>
      </c>
      <c r="G110">
        <f>_xlfn.XLOOKUP(K110,$B$7:$B$107,$D$7:$D$107)</f>
        <v>0.18759886008528401</v>
      </c>
      <c r="H110">
        <f>_xlfn.XLOOKUP(L110,$B$7:$B$107,$D$7:$D$107)</f>
        <v>0.128013449880715</v>
      </c>
      <c r="J110" t="s">
        <v>345</v>
      </c>
      <c r="K110" t="s">
        <v>390</v>
      </c>
      <c r="L110" t="s">
        <v>392</v>
      </c>
    </row>
    <row r="111" spans="2:12" x14ac:dyDescent="0.3">
      <c r="B111" t="s">
        <v>446</v>
      </c>
      <c r="C111" t="e">
        <v>#N/A</v>
      </c>
      <c r="D111">
        <f>AVERAGE(F111:G111)</f>
        <v>0.29436111554843497</v>
      </c>
      <c r="F111">
        <f>_xlfn.XLOOKUP(J111,$B$7:$B$107,$D$7:$D$107)</f>
        <v>0.41643257614455698</v>
      </c>
      <c r="G111">
        <f>_xlfn.XLOOKUP(K111,$B$7:$B$107,$D$7:$D$107)</f>
        <v>0.17228965495231299</v>
      </c>
      <c r="J111" t="s">
        <v>335</v>
      </c>
      <c r="K111" t="s">
        <v>337</v>
      </c>
    </row>
    <row r="112" spans="2:12" x14ac:dyDescent="0.3">
      <c r="B112" t="s">
        <v>447</v>
      </c>
      <c r="C112" t="e">
        <v>#N/A</v>
      </c>
      <c r="D112">
        <f>AVERAGE(F112:G112)</f>
        <v>0.18301958981943151</v>
      </c>
      <c r="F112">
        <f>_xlfn.XLOOKUP(J112,$B$7:$B$107,$D$7:$D$107)</f>
        <v>0.15588685861924101</v>
      </c>
      <c r="G112">
        <f>_xlfn.XLOOKUP(K112,$B$7:$B$107,$D$7:$D$107)</f>
        <v>0.210152321019622</v>
      </c>
      <c r="J112" t="s">
        <v>330</v>
      </c>
      <c r="K112" t="s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4977-E224-4D9D-B16A-9D39F87B1598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opLeftCell="A28" workbookViewId="0">
      <selection activeCell="B37" sqref="B37"/>
    </sheetView>
  </sheetViews>
  <sheetFormatPr defaultRowHeight="14.4" x14ac:dyDescent="0.3"/>
  <cols>
    <col min="1" max="1" width="7.77734375" customWidth="1"/>
    <col min="2" max="2" width="19.5546875" customWidth="1"/>
    <col min="3" max="3" width="11.6640625" customWidth="1"/>
    <col min="4" max="5" width="19.5546875" customWidth="1"/>
    <col min="6" max="6" width="15.6640625" customWidth="1"/>
    <col min="7" max="7" width="7.77734375" customWidth="1"/>
    <col min="8" max="8" width="31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8.1484122751827805E-4</v>
      </c>
      <c r="G2" t="s">
        <v>13</v>
      </c>
    </row>
    <row r="3" spans="1:8" x14ac:dyDescent="0.3">
      <c r="A3" t="s">
        <v>8</v>
      </c>
      <c r="B3" t="s">
        <v>14</v>
      </c>
      <c r="C3" t="s">
        <v>15</v>
      </c>
      <c r="D3" t="s">
        <v>11</v>
      </c>
      <c r="E3" t="s">
        <v>12</v>
      </c>
      <c r="F3">
        <v>1.13697982263303E-2</v>
      </c>
      <c r="G3" t="s">
        <v>13</v>
      </c>
    </row>
    <row r="4" spans="1:8" x14ac:dyDescent="0.3">
      <c r="A4" t="s">
        <v>8</v>
      </c>
      <c r="B4" t="s">
        <v>16</v>
      </c>
      <c r="C4" t="s">
        <v>17</v>
      </c>
      <c r="D4" t="s">
        <v>11</v>
      </c>
      <c r="E4" t="s">
        <v>12</v>
      </c>
      <c r="F4">
        <v>1.98316269417015E-2</v>
      </c>
      <c r="G4" t="s">
        <v>13</v>
      </c>
    </row>
    <row r="5" spans="1:8" x14ac:dyDescent="0.3">
      <c r="A5" t="s">
        <v>8</v>
      </c>
      <c r="B5" t="s">
        <v>18</v>
      </c>
      <c r="C5" t="s">
        <v>19</v>
      </c>
      <c r="D5" t="s">
        <v>11</v>
      </c>
      <c r="E5" t="s">
        <v>12</v>
      </c>
      <c r="F5">
        <v>5.7435519392722697E-3</v>
      </c>
      <c r="G5" t="s">
        <v>13</v>
      </c>
    </row>
    <row r="6" spans="1:8" x14ac:dyDescent="0.3">
      <c r="A6" t="s">
        <v>8</v>
      </c>
      <c r="B6" t="s">
        <v>20</v>
      </c>
      <c r="C6" t="s">
        <v>21</v>
      </c>
      <c r="D6" t="s">
        <v>11</v>
      </c>
      <c r="E6" t="s">
        <v>12</v>
      </c>
      <c r="F6">
        <v>4.8993963059743101E-2</v>
      </c>
      <c r="G6" t="s">
        <v>13</v>
      </c>
    </row>
    <row r="7" spans="1:8" x14ac:dyDescent="0.3">
      <c r="A7" t="s">
        <v>8</v>
      </c>
      <c r="B7" t="s">
        <v>22</v>
      </c>
      <c r="C7" t="s">
        <v>23</v>
      </c>
      <c r="D7" t="s">
        <v>11</v>
      </c>
      <c r="E7" t="s">
        <v>12</v>
      </c>
      <c r="F7">
        <v>1.9344639391299798E-2</v>
      </c>
      <c r="G7" t="s">
        <v>13</v>
      </c>
    </row>
    <row r="8" spans="1:8" x14ac:dyDescent="0.3">
      <c r="A8" t="s">
        <v>8</v>
      </c>
      <c r="B8" t="s">
        <v>24</v>
      </c>
      <c r="C8" t="s">
        <v>25</v>
      </c>
      <c r="D8" t="s">
        <v>11</v>
      </c>
      <c r="E8" t="s">
        <v>12</v>
      </c>
      <c r="F8">
        <v>9.3662506259213699E-2</v>
      </c>
      <c r="G8" t="s">
        <v>13</v>
      </c>
    </row>
    <row r="9" spans="1:8" x14ac:dyDescent="0.3">
      <c r="A9" t="s">
        <v>8</v>
      </c>
      <c r="B9" t="s">
        <v>26</v>
      </c>
      <c r="C9" t="s">
        <v>27</v>
      </c>
      <c r="D9" t="s">
        <v>11</v>
      </c>
      <c r="E9" t="s">
        <v>12</v>
      </c>
      <c r="F9">
        <v>0.19599245321742001</v>
      </c>
      <c r="G9" t="s">
        <v>13</v>
      </c>
    </row>
    <row r="10" spans="1:8" x14ac:dyDescent="0.3">
      <c r="A10" t="s">
        <v>8</v>
      </c>
      <c r="B10" t="s">
        <v>28</v>
      </c>
      <c r="C10" t="s">
        <v>29</v>
      </c>
      <c r="D10" t="s">
        <v>11</v>
      </c>
      <c r="E10" t="s">
        <v>12</v>
      </c>
      <c r="F10">
        <v>1.1971212432920699E-2</v>
      </c>
      <c r="G10" t="s">
        <v>13</v>
      </c>
    </row>
    <row r="11" spans="1:8" x14ac:dyDescent="0.3">
      <c r="A11" t="s">
        <v>8</v>
      </c>
      <c r="B11" t="s">
        <v>30</v>
      </c>
      <c r="C11" t="s">
        <v>31</v>
      </c>
      <c r="D11" t="s">
        <v>11</v>
      </c>
      <c r="E11" t="s">
        <v>12</v>
      </c>
      <c r="F11">
        <v>2.9165819365096399E-3</v>
      </c>
      <c r="G11" t="s">
        <v>13</v>
      </c>
    </row>
    <row r="12" spans="1:8" x14ac:dyDescent="0.3">
      <c r="A12" t="s">
        <v>8</v>
      </c>
      <c r="B12" t="s">
        <v>32</v>
      </c>
      <c r="C12" t="s">
        <v>33</v>
      </c>
      <c r="D12" t="s">
        <v>11</v>
      </c>
      <c r="E12" t="s">
        <v>12</v>
      </c>
      <c r="F12">
        <v>3.9295900073048298E-2</v>
      </c>
      <c r="G12" t="s">
        <v>13</v>
      </c>
    </row>
    <row r="13" spans="1:8" x14ac:dyDescent="0.3">
      <c r="A13" t="s">
        <v>8</v>
      </c>
      <c r="B13" t="s">
        <v>34</v>
      </c>
      <c r="C13" t="s">
        <v>35</v>
      </c>
      <c r="D13" t="s">
        <v>11</v>
      </c>
      <c r="E13" t="s">
        <v>12</v>
      </c>
      <c r="F13">
        <v>4.0722480797441299E-2</v>
      </c>
      <c r="G13" t="s">
        <v>13</v>
      </c>
    </row>
    <row r="14" spans="1:8" x14ac:dyDescent="0.3">
      <c r="A14" t="s">
        <v>8</v>
      </c>
      <c r="B14" t="s">
        <v>36</v>
      </c>
      <c r="C14" t="s">
        <v>37</v>
      </c>
      <c r="D14" t="s">
        <v>11</v>
      </c>
      <c r="E14" t="s">
        <v>12</v>
      </c>
      <c r="F14">
        <v>8.6473788993023798E-3</v>
      </c>
      <c r="G14" t="s">
        <v>13</v>
      </c>
    </row>
    <row r="15" spans="1:8" x14ac:dyDescent="0.3">
      <c r="A15" t="s">
        <v>8</v>
      </c>
      <c r="B15" t="s">
        <v>38</v>
      </c>
      <c r="C15" t="s">
        <v>39</v>
      </c>
      <c r="D15" t="s">
        <v>11</v>
      </c>
      <c r="E15" t="s">
        <v>12</v>
      </c>
      <c r="F15">
        <v>4.73512096385637E-2</v>
      </c>
      <c r="G15" t="s">
        <v>13</v>
      </c>
    </row>
    <row r="16" spans="1:8" x14ac:dyDescent="0.3">
      <c r="A16" t="s">
        <v>8</v>
      </c>
      <c r="B16" t="s">
        <v>40</v>
      </c>
      <c r="C16" t="s">
        <v>41</v>
      </c>
      <c r="D16" t="s">
        <v>11</v>
      </c>
      <c r="E16" t="s">
        <v>12</v>
      </c>
      <c r="F16">
        <v>0.19283278728685799</v>
      </c>
      <c r="G16" t="s">
        <v>13</v>
      </c>
    </row>
    <row r="17" spans="1:7" x14ac:dyDescent="0.3">
      <c r="A17" t="s">
        <v>8</v>
      </c>
      <c r="B17" t="s">
        <v>42</v>
      </c>
      <c r="C17" t="s">
        <v>43</v>
      </c>
      <c r="D17" t="s">
        <v>11</v>
      </c>
      <c r="E17" t="s">
        <v>12</v>
      </c>
      <c r="F17">
        <v>4.4786038512245902E-3</v>
      </c>
      <c r="G17" t="s">
        <v>13</v>
      </c>
    </row>
    <row r="18" spans="1:7" x14ac:dyDescent="0.3">
      <c r="A18" t="s">
        <v>8</v>
      </c>
      <c r="B18" t="s">
        <v>44</v>
      </c>
      <c r="C18" t="s">
        <v>45</v>
      </c>
      <c r="D18" t="s">
        <v>11</v>
      </c>
      <c r="E18" t="s">
        <v>12</v>
      </c>
      <c r="F18">
        <v>1.57601241127792E-3</v>
      </c>
      <c r="G18" t="s">
        <v>13</v>
      </c>
    </row>
    <row r="19" spans="1:7" x14ac:dyDescent="0.3">
      <c r="A19" t="s">
        <v>8</v>
      </c>
      <c r="B19" t="s">
        <v>362</v>
      </c>
      <c r="C19" t="s">
        <v>46</v>
      </c>
      <c r="D19" t="s">
        <v>11</v>
      </c>
      <c r="E19" t="s">
        <v>12</v>
      </c>
      <c r="F19">
        <v>1.21982794433065E-2</v>
      </c>
      <c r="G19" t="s">
        <v>13</v>
      </c>
    </row>
    <row r="20" spans="1:7" x14ac:dyDescent="0.3">
      <c r="A20" t="s">
        <v>8</v>
      </c>
      <c r="B20" t="s">
        <v>47</v>
      </c>
      <c r="C20" t="s">
        <v>48</v>
      </c>
      <c r="D20" t="s">
        <v>11</v>
      </c>
      <c r="E20" t="s">
        <v>12</v>
      </c>
      <c r="F20">
        <v>2.5778540298329801E-2</v>
      </c>
      <c r="G20" t="s">
        <v>13</v>
      </c>
    </row>
    <row r="21" spans="1:7" x14ac:dyDescent="0.3">
      <c r="A21" t="s">
        <v>8</v>
      </c>
      <c r="B21" t="s">
        <v>49</v>
      </c>
      <c r="C21" t="s">
        <v>50</v>
      </c>
      <c r="D21" t="s">
        <v>11</v>
      </c>
      <c r="E21" t="s">
        <v>12</v>
      </c>
      <c r="F21">
        <v>1.7467837453615201E-2</v>
      </c>
      <c r="G21" t="s">
        <v>13</v>
      </c>
    </row>
    <row r="22" spans="1:7" x14ac:dyDescent="0.3">
      <c r="A22" t="s">
        <v>8</v>
      </c>
      <c r="B22" t="s">
        <v>51</v>
      </c>
      <c r="C22" t="s">
        <v>52</v>
      </c>
      <c r="D22" t="s">
        <v>11</v>
      </c>
      <c r="E22" t="s">
        <v>12</v>
      </c>
      <c r="F22">
        <v>7.2348109300603106E-2</v>
      </c>
      <c r="G22" t="s">
        <v>13</v>
      </c>
    </row>
    <row r="23" spans="1:7" x14ac:dyDescent="0.3">
      <c r="A23" t="s">
        <v>8</v>
      </c>
      <c r="B23" t="s">
        <v>53</v>
      </c>
      <c r="C23" t="s">
        <v>54</v>
      </c>
      <c r="D23" t="s">
        <v>11</v>
      </c>
      <c r="E23" t="s">
        <v>12</v>
      </c>
      <c r="F23">
        <v>4.22917035602162E-2</v>
      </c>
      <c r="G23" t="s">
        <v>13</v>
      </c>
    </row>
    <row r="24" spans="1:7" x14ac:dyDescent="0.3">
      <c r="A24" t="s">
        <v>8</v>
      </c>
      <c r="B24" t="s">
        <v>55</v>
      </c>
      <c r="C24" t="s">
        <v>56</v>
      </c>
      <c r="D24" t="s">
        <v>11</v>
      </c>
      <c r="E24" t="s">
        <v>12</v>
      </c>
      <c r="F24">
        <v>5.57445383839573E-2</v>
      </c>
      <c r="G24" t="s">
        <v>13</v>
      </c>
    </row>
    <row r="25" spans="1:7" x14ac:dyDescent="0.3">
      <c r="A25" t="s">
        <v>8</v>
      </c>
      <c r="B25" t="s">
        <v>57</v>
      </c>
      <c r="C25" t="s">
        <v>58</v>
      </c>
      <c r="D25" t="s">
        <v>11</v>
      </c>
      <c r="E25" t="s">
        <v>12</v>
      </c>
      <c r="F25">
        <v>1.1757625897154699E-3</v>
      </c>
      <c r="G25" t="s">
        <v>13</v>
      </c>
    </row>
    <row r="26" spans="1:7" x14ac:dyDescent="0.3">
      <c r="A26" t="s">
        <v>8</v>
      </c>
      <c r="B26" t="s">
        <v>59</v>
      </c>
      <c r="C26" t="s">
        <v>60</v>
      </c>
      <c r="D26" t="s">
        <v>11</v>
      </c>
      <c r="E26" t="s">
        <v>12</v>
      </c>
      <c r="F26">
        <v>2.7247256063848901E-3</v>
      </c>
      <c r="G26" t="s">
        <v>13</v>
      </c>
    </row>
    <row r="27" spans="1:7" x14ac:dyDescent="0.3">
      <c r="A27" t="s">
        <v>8</v>
      </c>
      <c r="B27" t="s">
        <v>61</v>
      </c>
      <c r="C27" t="s">
        <v>62</v>
      </c>
      <c r="D27" t="s">
        <v>11</v>
      </c>
      <c r="E27" t="s">
        <v>12</v>
      </c>
      <c r="F27">
        <v>3.4984322291284398E-2</v>
      </c>
      <c r="G27" t="s">
        <v>13</v>
      </c>
    </row>
    <row r="28" spans="1:7" x14ac:dyDescent="0.3">
      <c r="A28" t="s">
        <v>8</v>
      </c>
      <c r="B28" t="s">
        <v>63</v>
      </c>
      <c r="C28" t="s">
        <v>64</v>
      </c>
      <c r="D28" t="s">
        <v>11</v>
      </c>
      <c r="E28" t="s">
        <v>12</v>
      </c>
      <c r="F28">
        <v>6.5061360660875096E-3</v>
      </c>
      <c r="G28" t="s">
        <v>13</v>
      </c>
    </row>
    <row r="29" spans="1:7" x14ac:dyDescent="0.3">
      <c r="A29" t="s">
        <v>8</v>
      </c>
      <c r="B29" t="s">
        <v>65</v>
      </c>
      <c r="C29" t="s">
        <v>66</v>
      </c>
      <c r="D29" t="s">
        <v>11</v>
      </c>
      <c r="E29" t="s">
        <v>12</v>
      </c>
      <c r="F29">
        <v>0.159758618756626</v>
      </c>
      <c r="G29" t="s">
        <v>13</v>
      </c>
    </row>
    <row r="30" spans="1:7" x14ac:dyDescent="0.3">
      <c r="A30" t="s">
        <v>8</v>
      </c>
      <c r="B30" t="s">
        <v>67</v>
      </c>
      <c r="C30" t="s">
        <v>68</v>
      </c>
      <c r="D30" t="s">
        <v>11</v>
      </c>
      <c r="E30" t="s">
        <v>12</v>
      </c>
      <c r="F30">
        <v>1.5268167524930701E-3</v>
      </c>
      <c r="G30" t="s">
        <v>13</v>
      </c>
    </row>
    <row r="31" spans="1:7" x14ac:dyDescent="0.3">
      <c r="A31" t="s">
        <v>8</v>
      </c>
      <c r="B31" t="s">
        <v>69</v>
      </c>
      <c r="C31" t="s">
        <v>70</v>
      </c>
      <c r="D31" t="s">
        <v>11</v>
      </c>
      <c r="E31" t="s">
        <v>12</v>
      </c>
      <c r="F31">
        <v>5.3850704952274599E-2</v>
      </c>
      <c r="G31" t="s">
        <v>13</v>
      </c>
    </row>
    <row r="32" spans="1:7" x14ac:dyDescent="0.3">
      <c r="A32" t="s">
        <v>8</v>
      </c>
      <c r="B32" t="s">
        <v>71</v>
      </c>
      <c r="C32" t="s">
        <v>72</v>
      </c>
      <c r="D32" t="s">
        <v>11</v>
      </c>
      <c r="E32" t="s">
        <v>12</v>
      </c>
      <c r="F32">
        <v>0.38448559332354698</v>
      </c>
      <c r="G32" t="s">
        <v>13</v>
      </c>
    </row>
    <row r="33" spans="1:7" x14ac:dyDescent="0.3">
      <c r="A33" t="s">
        <v>8</v>
      </c>
      <c r="B33" t="s">
        <v>73</v>
      </c>
      <c r="C33" t="s">
        <v>74</v>
      </c>
      <c r="D33" t="s">
        <v>11</v>
      </c>
      <c r="E33" t="s">
        <v>12</v>
      </c>
      <c r="F33">
        <v>1.76099599948344E-2</v>
      </c>
      <c r="G33" t="s">
        <v>13</v>
      </c>
    </row>
    <row r="34" spans="1:7" x14ac:dyDescent="0.3">
      <c r="A34" t="s">
        <v>8</v>
      </c>
      <c r="B34" t="s">
        <v>75</v>
      </c>
      <c r="C34" t="s">
        <v>76</v>
      </c>
      <c r="D34" t="s">
        <v>11</v>
      </c>
      <c r="E34" t="s">
        <v>12</v>
      </c>
      <c r="F34">
        <v>2.6206138781790099E-3</v>
      </c>
      <c r="G34" t="s">
        <v>13</v>
      </c>
    </row>
    <row r="35" spans="1:7" x14ac:dyDescent="0.3">
      <c r="A35" t="s">
        <v>8</v>
      </c>
      <c r="B35" t="s">
        <v>386</v>
      </c>
      <c r="C35" t="s">
        <v>77</v>
      </c>
      <c r="D35" t="s">
        <v>11</v>
      </c>
      <c r="E35" t="s">
        <v>12</v>
      </c>
      <c r="F35">
        <v>0.30624501361704898</v>
      </c>
      <c r="G35" t="s">
        <v>13</v>
      </c>
    </row>
    <row r="36" spans="1:7" x14ac:dyDescent="0.3">
      <c r="A36" t="s">
        <v>8</v>
      </c>
      <c r="B36" t="s">
        <v>78</v>
      </c>
      <c r="C36" t="s">
        <v>79</v>
      </c>
      <c r="D36" t="s">
        <v>11</v>
      </c>
      <c r="E36" t="s">
        <v>12</v>
      </c>
      <c r="F36">
        <v>3.2616624889109401E-2</v>
      </c>
      <c r="G36" t="s">
        <v>13</v>
      </c>
    </row>
    <row r="37" spans="1:7" x14ac:dyDescent="0.3">
      <c r="A37" t="s">
        <v>8</v>
      </c>
      <c r="B37" t="s">
        <v>409</v>
      </c>
      <c r="C37" t="s">
        <v>80</v>
      </c>
      <c r="D37" t="s">
        <v>11</v>
      </c>
      <c r="E37" t="s">
        <v>12</v>
      </c>
      <c r="F37">
        <v>7.93285109218155E-3</v>
      </c>
      <c r="G37" t="s">
        <v>13</v>
      </c>
    </row>
    <row r="38" spans="1:7" x14ac:dyDescent="0.3">
      <c r="A38" t="s">
        <v>8</v>
      </c>
      <c r="B38" t="s">
        <v>81</v>
      </c>
      <c r="C38" t="s">
        <v>82</v>
      </c>
      <c r="D38" t="s">
        <v>11</v>
      </c>
      <c r="E38" t="s">
        <v>12</v>
      </c>
      <c r="F38">
        <v>4.4954727706373002E-2</v>
      </c>
      <c r="G38" t="s">
        <v>13</v>
      </c>
    </row>
    <row r="39" spans="1:7" x14ac:dyDescent="0.3">
      <c r="A39" t="s">
        <v>8</v>
      </c>
      <c r="B39" t="s">
        <v>83</v>
      </c>
      <c r="C39" t="s">
        <v>84</v>
      </c>
      <c r="D39" t="s">
        <v>11</v>
      </c>
      <c r="E39" t="s">
        <v>12</v>
      </c>
      <c r="F39">
        <v>1.48690739613209E-2</v>
      </c>
      <c r="G39" t="s">
        <v>13</v>
      </c>
    </row>
    <row r="40" spans="1:7" x14ac:dyDescent="0.3">
      <c r="A40" t="s">
        <v>8</v>
      </c>
      <c r="B40" t="s">
        <v>85</v>
      </c>
      <c r="C40" t="s">
        <v>86</v>
      </c>
      <c r="D40" t="s">
        <v>11</v>
      </c>
      <c r="E40" t="s">
        <v>12</v>
      </c>
      <c r="F40">
        <v>5.0599595252835597E-2</v>
      </c>
      <c r="G40" t="s">
        <v>13</v>
      </c>
    </row>
    <row r="41" spans="1:7" x14ac:dyDescent="0.3">
      <c r="A41" t="s">
        <v>8</v>
      </c>
      <c r="B41" t="s">
        <v>87</v>
      </c>
      <c r="C41" t="s">
        <v>88</v>
      </c>
      <c r="D41" t="s">
        <v>11</v>
      </c>
      <c r="E41" t="s">
        <v>12</v>
      </c>
      <c r="F41">
        <v>1.3130327294928801E-2</v>
      </c>
      <c r="G41" t="s">
        <v>13</v>
      </c>
    </row>
    <row r="42" spans="1:7" x14ac:dyDescent="0.3">
      <c r="A42" t="s">
        <v>8</v>
      </c>
      <c r="B42" t="s">
        <v>89</v>
      </c>
      <c r="C42" t="s">
        <v>90</v>
      </c>
      <c r="D42" t="s">
        <v>11</v>
      </c>
      <c r="E42" t="s">
        <v>12</v>
      </c>
      <c r="F42">
        <v>1.7402880884112099E-2</v>
      </c>
      <c r="G42" t="s">
        <v>13</v>
      </c>
    </row>
    <row r="43" spans="1:7" x14ac:dyDescent="0.3">
      <c r="A43" t="s">
        <v>8</v>
      </c>
      <c r="B43" t="s">
        <v>391</v>
      </c>
      <c r="C43" t="s">
        <v>91</v>
      </c>
      <c r="D43" t="s">
        <v>11</v>
      </c>
      <c r="E43" t="s">
        <v>12</v>
      </c>
      <c r="F43">
        <v>0.18759886008528401</v>
      </c>
      <c r="G43" t="s">
        <v>13</v>
      </c>
    </row>
    <row r="44" spans="1:7" x14ac:dyDescent="0.3">
      <c r="A44" t="s">
        <v>8</v>
      </c>
      <c r="B44" t="s">
        <v>92</v>
      </c>
      <c r="C44" t="s">
        <v>93</v>
      </c>
      <c r="D44" t="s">
        <v>11</v>
      </c>
      <c r="E44" t="s">
        <v>12</v>
      </c>
      <c r="F44">
        <v>0.17228965495231299</v>
      </c>
      <c r="G44" t="s">
        <v>13</v>
      </c>
    </row>
    <row r="45" spans="1:7" x14ac:dyDescent="0.3">
      <c r="A45" t="s">
        <v>8</v>
      </c>
      <c r="B45" t="s">
        <v>94</v>
      </c>
      <c r="C45" t="s">
        <v>95</v>
      </c>
      <c r="D45" t="s">
        <v>11</v>
      </c>
      <c r="E45" t="s">
        <v>12</v>
      </c>
      <c r="F45">
        <v>2.0734624887941099E-2</v>
      </c>
      <c r="G45" t="s">
        <v>13</v>
      </c>
    </row>
    <row r="46" spans="1:7" x14ac:dyDescent="0.3">
      <c r="A46" t="s">
        <v>8</v>
      </c>
      <c r="B46" t="s">
        <v>96</v>
      </c>
      <c r="C46" t="s">
        <v>97</v>
      </c>
      <c r="D46" t="s">
        <v>11</v>
      </c>
      <c r="E46" t="s">
        <v>12</v>
      </c>
      <c r="F46">
        <v>3.54124615594551E-2</v>
      </c>
      <c r="G46" t="s">
        <v>13</v>
      </c>
    </row>
    <row r="47" spans="1:7" x14ac:dyDescent="0.3">
      <c r="A47" t="s">
        <v>8</v>
      </c>
      <c r="B47" t="s">
        <v>98</v>
      </c>
      <c r="C47" t="s">
        <v>99</v>
      </c>
      <c r="D47" t="s">
        <v>11</v>
      </c>
      <c r="E47" t="s">
        <v>12</v>
      </c>
      <c r="F47">
        <v>2.1626507310214399E-2</v>
      </c>
      <c r="G47" t="s">
        <v>13</v>
      </c>
    </row>
    <row r="48" spans="1:7" x14ac:dyDescent="0.3">
      <c r="A48" t="s">
        <v>8</v>
      </c>
      <c r="B48" t="s">
        <v>100</v>
      </c>
      <c r="C48" t="s">
        <v>101</v>
      </c>
      <c r="D48" t="s">
        <v>11</v>
      </c>
      <c r="E48" t="s">
        <v>12</v>
      </c>
      <c r="F48">
        <v>5.1528848985256902E-4</v>
      </c>
      <c r="G48" t="s">
        <v>13</v>
      </c>
    </row>
    <row r="49" spans="1:7" x14ac:dyDescent="0.3">
      <c r="A49" t="s">
        <v>8</v>
      </c>
      <c r="B49" t="s">
        <v>102</v>
      </c>
      <c r="C49" t="s">
        <v>103</v>
      </c>
      <c r="D49" t="s">
        <v>11</v>
      </c>
      <c r="E49" t="s">
        <v>12</v>
      </c>
      <c r="F49">
        <v>5.2283604095719097E-2</v>
      </c>
      <c r="G49" t="s">
        <v>13</v>
      </c>
    </row>
    <row r="50" spans="1:7" x14ac:dyDescent="0.3">
      <c r="A50" t="s">
        <v>8</v>
      </c>
      <c r="B50" t="s">
        <v>104</v>
      </c>
      <c r="C50" t="s">
        <v>105</v>
      </c>
      <c r="D50" t="s">
        <v>11</v>
      </c>
      <c r="E50" t="s">
        <v>12</v>
      </c>
      <c r="F50">
        <v>2.0933200117888101E-2</v>
      </c>
      <c r="G50" t="s">
        <v>13</v>
      </c>
    </row>
    <row r="51" spans="1:7" x14ac:dyDescent="0.3">
      <c r="A51" t="s">
        <v>8</v>
      </c>
      <c r="B51" t="s">
        <v>106</v>
      </c>
      <c r="C51" t="s">
        <v>107</v>
      </c>
      <c r="D51" t="s">
        <v>11</v>
      </c>
      <c r="E51" t="s">
        <v>12</v>
      </c>
      <c r="F51">
        <v>1.31426701155383E-3</v>
      </c>
      <c r="G51" t="s">
        <v>13</v>
      </c>
    </row>
    <row r="52" spans="1:7" x14ac:dyDescent="0.3">
      <c r="A52" t="s">
        <v>8</v>
      </c>
      <c r="B52" t="s">
        <v>108</v>
      </c>
      <c r="C52" t="s">
        <v>109</v>
      </c>
      <c r="D52" t="s">
        <v>11</v>
      </c>
      <c r="E52" t="s">
        <v>12</v>
      </c>
      <c r="F52">
        <v>7.5753155215781904E-3</v>
      </c>
      <c r="G52" t="s">
        <v>13</v>
      </c>
    </row>
    <row r="53" spans="1:7" x14ac:dyDescent="0.3">
      <c r="A53" t="s">
        <v>8</v>
      </c>
      <c r="B53" t="s">
        <v>110</v>
      </c>
      <c r="C53" t="s">
        <v>111</v>
      </c>
      <c r="D53" t="s">
        <v>11</v>
      </c>
      <c r="E53" t="s">
        <v>12</v>
      </c>
      <c r="F53">
        <v>0.124131365707637</v>
      </c>
      <c r="G53" t="s">
        <v>13</v>
      </c>
    </row>
    <row r="54" spans="1:7" x14ac:dyDescent="0.3">
      <c r="A54" t="s">
        <v>8</v>
      </c>
      <c r="B54" t="s">
        <v>112</v>
      </c>
      <c r="C54" t="s">
        <v>113</v>
      </c>
      <c r="D54" t="s">
        <v>11</v>
      </c>
      <c r="E54" t="s">
        <v>12</v>
      </c>
      <c r="F54">
        <v>0.210152321019622</v>
      </c>
      <c r="G54" t="s">
        <v>13</v>
      </c>
    </row>
    <row r="55" spans="1:7" x14ac:dyDescent="0.3">
      <c r="A55" t="s">
        <v>8</v>
      </c>
      <c r="B55" t="s">
        <v>114</v>
      </c>
      <c r="C55" t="s">
        <v>115</v>
      </c>
      <c r="D55" t="s">
        <v>11</v>
      </c>
      <c r="E55" t="s">
        <v>12</v>
      </c>
      <c r="F55">
        <v>1.7788017931103701E-2</v>
      </c>
      <c r="G55" t="s">
        <v>13</v>
      </c>
    </row>
    <row r="56" spans="1:7" x14ac:dyDescent="0.3">
      <c r="A56" t="s">
        <v>8</v>
      </c>
      <c r="B56" t="s">
        <v>116</v>
      </c>
      <c r="C56" t="s">
        <v>117</v>
      </c>
      <c r="D56" t="s">
        <v>11</v>
      </c>
      <c r="E56" t="s">
        <v>12</v>
      </c>
      <c r="F56">
        <v>0</v>
      </c>
      <c r="G56" t="s">
        <v>13</v>
      </c>
    </row>
    <row r="57" spans="1:7" x14ac:dyDescent="0.3">
      <c r="A57" t="s">
        <v>8</v>
      </c>
      <c r="B57" t="s">
        <v>118</v>
      </c>
      <c r="C57" t="s">
        <v>119</v>
      </c>
      <c r="D57" t="s">
        <v>11</v>
      </c>
      <c r="E57" t="s">
        <v>12</v>
      </c>
      <c r="F57">
        <v>1.3859753815391901E-2</v>
      </c>
      <c r="G57" t="s">
        <v>13</v>
      </c>
    </row>
    <row r="58" spans="1:7" x14ac:dyDescent="0.3">
      <c r="A58" t="s">
        <v>8</v>
      </c>
      <c r="B58" t="s">
        <v>120</v>
      </c>
      <c r="C58" t="s">
        <v>121</v>
      </c>
      <c r="D58" t="s">
        <v>11</v>
      </c>
      <c r="E58" t="s">
        <v>12</v>
      </c>
      <c r="F58">
        <v>0.41643257614455698</v>
      </c>
      <c r="G58" t="s">
        <v>13</v>
      </c>
    </row>
    <row r="59" spans="1:7" x14ac:dyDescent="0.3">
      <c r="A59" t="s">
        <v>8</v>
      </c>
      <c r="B59" t="s">
        <v>122</v>
      </c>
      <c r="C59" t="s">
        <v>123</v>
      </c>
      <c r="D59" t="s">
        <v>11</v>
      </c>
      <c r="E59" t="s">
        <v>12</v>
      </c>
      <c r="F59">
        <v>8.3080920095433206E-3</v>
      </c>
      <c r="G59" t="s">
        <v>13</v>
      </c>
    </row>
    <row r="60" spans="1:7" x14ac:dyDescent="0.3">
      <c r="A60" t="s">
        <v>8</v>
      </c>
      <c r="B60" t="s">
        <v>124</v>
      </c>
      <c r="C60" t="s">
        <v>125</v>
      </c>
      <c r="D60" t="s">
        <v>11</v>
      </c>
      <c r="E60" t="s">
        <v>12</v>
      </c>
      <c r="F60">
        <v>6.3297714842146899E-2</v>
      </c>
      <c r="G60" t="s">
        <v>13</v>
      </c>
    </row>
    <row r="61" spans="1:7" x14ac:dyDescent="0.3">
      <c r="A61" t="s">
        <v>8</v>
      </c>
      <c r="B61" t="s">
        <v>126</v>
      </c>
      <c r="C61" t="s">
        <v>127</v>
      </c>
      <c r="D61" t="s">
        <v>11</v>
      </c>
      <c r="E61" t="s">
        <v>12</v>
      </c>
      <c r="F61">
        <v>2.6135382181146201E-2</v>
      </c>
      <c r="G61" t="s">
        <v>13</v>
      </c>
    </row>
    <row r="62" spans="1:7" x14ac:dyDescent="0.3">
      <c r="A62" t="s">
        <v>8</v>
      </c>
      <c r="B62" t="s">
        <v>128</v>
      </c>
      <c r="C62" t="s">
        <v>129</v>
      </c>
      <c r="D62" t="s">
        <v>11</v>
      </c>
      <c r="E62" t="s">
        <v>12</v>
      </c>
      <c r="F62">
        <v>4.0141984321592598E-3</v>
      </c>
      <c r="G62" t="s">
        <v>13</v>
      </c>
    </row>
    <row r="63" spans="1:7" x14ac:dyDescent="0.3">
      <c r="A63" t="s">
        <v>8</v>
      </c>
      <c r="B63" t="s">
        <v>130</v>
      </c>
      <c r="C63" t="s">
        <v>131</v>
      </c>
      <c r="D63" t="s">
        <v>11</v>
      </c>
      <c r="E63" t="s">
        <v>12</v>
      </c>
      <c r="F63">
        <v>1.6556152443333399E-2</v>
      </c>
      <c r="G63" t="s">
        <v>13</v>
      </c>
    </row>
    <row r="64" spans="1:7" x14ac:dyDescent="0.3">
      <c r="A64" t="s">
        <v>8</v>
      </c>
      <c r="B64" t="s">
        <v>132</v>
      </c>
      <c r="C64" t="s">
        <v>133</v>
      </c>
      <c r="D64" t="s">
        <v>11</v>
      </c>
      <c r="E64" t="s">
        <v>12</v>
      </c>
      <c r="F64">
        <v>0.12724014246685</v>
      </c>
      <c r="G64" t="s">
        <v>13</v>
      </c>
    </row>
    <row r="65" spans="1:7" x14ac:dyDescent="0.3">
      <c r="A65" t="s">
        <v>8</v>
      </c>
      <c r="B65" t="s">
        <v>134</v>
      </c>
      <c r="C65" t="s">
        <v>135</v>
      </c>
      <c r="D65" t="s">
        <v>11</v>
      </c>
      <c r="E65" t="s">
        <v>12</v>
      </c>
      <c r="F65">
        <v>2.6265519695084501E-2</v>
      </c>
      <c r="G65" t="s">
        <v>13</v>
      </c>
    </row>
    <row r="66" spans="1:7" x14ac:dyDescent="0.3">
      <c r="A66" t="s">
        <v>8</v>
      </c>
      <c r="B66" t="s">
        <v>136</v>
      </c>
      <c r="C66" t="s">
        <v>137</v>
      </c>
      <c r="D66" t="s">
        <v>11</v>
      </c>
      <c r="E66" t="s">
        <v>12</v>
      </c>
      <c r="F66">
        <v>7.8772164749422294E-2</v>
      </c>
      <c r="G66" t="s">
        <v>13</v>
      </c>
    </row>
    <row r="67" spans="1:7" x14ac:dyDescent="0.3">
      <c r="A67" t="s">
        <v>8</v>
      </c>
      <c r="B67" t="s">
        <v>138</v>
      </c>
      <c r="C67" t="s">
        <v>139</v>
      </c>
      <c r="D67" t="s">
        <v>11</v>
      </c>
      <c r="E67" t="s">
        <v>12</v>
      </c>
      <c r="F67">
        <v>8.3665198793604498E-2</v>
      </c>
      <c r="G67" t="s">
        <v>13</v>
      </c>
    </row>
    <row r="68" spans="1:7" x14ac:dyDescent="0.3">
      <c r="A68" t="s">
        <v>8</v>
      </c>
      <c r="B68" t="s">
        <v>359</v>
      </c>
      <c r="C68" t="s">
        <v>140</v>
      </c>
      <c r="D68" t="s">
        <v>11</v>
      </c>
      <c r="E68" t="s">
        <v>12</v>
      </c>
      <c r="F68">
        <v>5.1953445291860002E-2</v>
      </c>
      <c r="G68" t="s">
        <v>13</v>
      </c>
    </row>
    <row r="69" spans="1:7" x14ac:dyDescent="0.3">
      <c r="A69" t="s">
        <v>8</v>
      </c>
      <c r="B69" t="s">
        <v>141</v>
      </c>
      <c r="C69" t="s">
        <v>142</v>
      </c>
      <c r="D69" t="s">
        <v>11</v>
      </c>
      <c r="E69" t="s">
        <v>12</v>
      </c>
      <c r="F69">
        <v>0</v>
      </c>
      <c r="G69" t="s">
        <v>13</v>
      </c>
    </row>
    <row r="70" spans="1:7" x14ac:dyDescent="0.3">
      <c r="A70" t="s">
        <v>8</v>
      </c>
      <c r="B70" t="s">
        <v>143</v>
      </c>
      <c r="C70" t="s">
        <v>144</v>
      </c>
      <c r="D70" t="s">
        <v>11</v>
      </c>
      <c r="E70" t="s">
        <v>12</v>
      </c>
      <c r="F70">
        <v>0.33684598261646398</v>
      </c>
      <c r="G70" t="s">
        <v>13</v>
      </c>
    </row>
    <row r="71" spans="1:7" x14ac:dyDescent="0.3">
      <c r="A71" t="s">
        <v>8</v>
      </c>
      <c r="B71" t="s">
        <v>145</v>
      </c>
      <c r="C71" t="s">
        <v>146</v>
      </c>
      <c r="D71" t="s">
        <v>11</v>
      </c>
      <c r="E71" t="s">
        <v>12</v>
      </c>
      <c r="F71">
        <v>0.11061808241174299</v>
      </c>
      <c r="G71" t="s">
        <v>13</v>
      </c>
    </row>
    <row r="72" spans="1:7" x14ac:dyDescent="0.3">
      <c r="A72" t="s">
        <v>8</v>
      </c>
      <c r="B72" t="s">
        <v>147</v>
      </c>
      <c r="C72" t="s">
        <v>148</v>
      </c>
      <c r="D72" t="s">
        <v>11</v>
      </c>
      <c r="E72" t="s">
        <v>12</v>
      </c>
      <c r="F72">
        <v>0.22792862735383901</v>
      </c>
      <c r="G72" t="s">
        <v>13</v>
      </c>
    </row>
    <row r="73" spans="1:7" x14ac:dyDescent="0.3">
      <c r="A73" t="s">
        <v>8</v>
      </c>
      <c r="B73" t="s">
        <v>149</v>
      </c>
      <c r="C73" t="s">
        <v>150</v>
      </c>
      <c r="D73" t="s">
        <v>11</v>
      </c>
      <c r="E73" t="s">
        <v>12</v>
      </c>
      <c r="F73">
        <v>1.11411839777466E-2</v>
      </c>
      <c r="G73" t="s">
        <v>13</v>
      </c>
    </row>
    <row r="74" spans="1:7" x14ac:dyDescent="0.3">
      <c r="A74" t="s">
        <v>8</v>
      </c>
      <c r="B74" t="s">
        <v>151</v>
      </c>
      <c r="C74" t="s">
        <v>152</v>
      </c>
      <c r="D74" t="s">
        <v>11</v>
      </c>
      <c r="E74" t="s">
        <v>12</v>
      </c>
      <c r="F74">
        <v>0.30083658781738198</v>
      </c>
      <c r="G74" t="s">
        <v>13</v>
      </c>
    </row>
    <row r="75" spans="1:7" x14ac:dyDescent="0.3">
      <c r="A75" t="s">
        <v>8</v>
      </c>
      <c r="B75" t="s">
        <v>153</v>
      </c>
      <c r="C75" t="s">
        <v>154</v>
      </c>
      <c r="D75" t="s">
        <v>11</v>
      </c>
      <c r="E75" t="s">
        <v>12</v>
      </c>
      <c r="F75">
        <v>2.8284101134678601E-2</v>
      </c>
      <c r="G75" t="s">
        <v>13</v>
      </c>
    </row>
    <row r="76" spans="1:7" x14ac:dyDescent="0.3">
      <c r="A76" t="s">
        <v>8</v>
      </c>
      <c r="B76" t="s">
        <v>155</v>
      </c>
      <c r="C76" t="s">
        <v>156</v>
      </c>
      <c r="D76" t="s">
        <v>11</v>
      </c>
      <c r="E76" t="s">
        <v>12</v>
      </c>
      <c r="F76">
        <v>4.21300566580163E-2</v>
      </c>
      <c r="G76" t="s">
        <v>13</v>
      </c>
    </row>
    <row r="77" spans="1:7" x14ac:dyDescent="0.3">
      <c r="A77" t="s">
        <v>8</v>
      </c>
      <c r="B77" t="s">
        <v>157</v>
      </c>
      <c r="C77" t="s">
        <v>158</v>
      </c>
      <c r="D77" t="s">
        <v>11</v>
      </c>
      <c r="E77" t="s">
        <v>12</v>
      </c>
      <c r="F77">
        <v>9.6822156298986897E-3</v>
      </c>
      <c r="G77" t="s">
        <v>13</v>
      </c>
    </row>
    <row r="78" spans="1:7" x14ac:dyDescent="0.3">
      <c r="A78" t="s">
        <v>8</v>
      </c>
      <c r="B78" t="s">
        <v>159</v>
      </c>
      <c r="C78" t="s">
        <v>160</v>
      </c>
      <c r="D78" t="s">
        <v>11</v>
      </c>
      <c r="E78" t="s">
        <v>12</v>
      </c>
      <c r="F78">
        <v>5.2145964825616398E-2</v>
      </c>
      <c r="G78" t="s">
        <v>13</v>
      </c>
    </row>
    <row r="79" spans="1:7" x14ac:dyDescent="0.3">
      <c r="A79" t="s">
        <v>8</v>
      </c>
      <c r="B79" t="s">
        <v>161</v>
      </c>
      <c r="C79" t="s">
        <v>162</v>
      </c>
      <c r="D79" t="s">
        <v>11</v>
      </c>
      <c r="E79" t="s">
        <v>12</v>
      </c>
      <c r="F79">
        <v>8.9066927118094108E-3</v>
      </c>
      <c r="G79" t="s">
        <v>13</v>
      </c>
    </row>
    <row r="80" spans="1:7" x14ac:dyDescent="0.3">
      <c r="A80" t="s">
        <v>8</v>
      </c>
      <c r="B80" t="s">
        <v>163</v>
      </c>
      <c r="C80" t="s">
        <v>164</v>
      </c>
      <c r="D80" t="s">
        <v>11</v>
      </c>
      <c r="E80" t="s">
        <v>12</v>
      </c>
      <c r="F80">
        <v>1.1576286821661501E-2</v>
      </c>
      <c r="G80" t="s">
        <v>13</v>
      </c>
    </row>
    <row r="81" spans="1:7" x14ac:dyDescent="0.3">
      <c r="A81" t="s">
        <v>8</v>
      </c>
      <c r="B81" t="s">
        <v>165</v>
      </c>
      <c r="C81" t="s">
        <v>166</v>
      </c>
      <c r="D81" t="s">
        <v>11</v>
      </c>
      <c r="E81" t="s">
        <v>12</v>
      </c>
      <c r="F81">
        <v>4.4479385573156997E-2</v>
      </c>
      <c r="G81" t="s">
        <v>13</v>
      </c>
    </row>
    <row r="82" spans="1:7" x14ac:dyDescent="0.3">
      <c r="A82" t="s">
        <v>8</v>
      </c>
      <c r="B82" t="s">
        <v>167</v>
      </c>
      <c r="C82" t="s">
        <v>168</v>
      </c>
      <c r="D82" t="s">
        <v>11</v>
      </c>
      <c r="E82" t="s">
        <v>12</v>
      </c>
      <c r="F82">
        <v>1.24204836754222E-2</v>
      </c>
      <c r="G82" t="s">
        <v>13</v>
      </c>
    </row>
    <row r="83" spans="1:7" x14ac:dyDescent="0.3">
      <c r="A83" t="s">
        <v>8</v>
      </c>
      <c r="B83" t="s">
        <v>169</v>
      </c>
      <c r="C83" t="s">
        <v>170</v>
      </c>
      <c r="D83" t="s">
        <v>11</v>
      </c>
      <c r="E83" t="s">
        <v>12</v>
      </c>
      <c r="F83">
        <v>7.8193886105483404E-2</v>
      </c>
      <c r="G83" t="s">
        <v>13</v>
      </c>
    </row>
    <row r="84" spans="1:7" x14ac:dyDescent="0.3">
      <c r="A84" t="s">
        <v>8</v>
      </c>
      <c r="B84" t="s">
        <v>171</v>
      </c>
      <c r="C84" t="s">
        <v>172</v>
      </c>
      <c r="D84" t="s">
        <v>11</v>
      </c>
      <c r="E84" t="s">
        <v>12</v>
      </c>
      <c r="F84">
        <v>5.7080501249279103E-2</v>
      </c>
      <c r="G84" t="s">
        <v>13</v>
      </c>
    </row>
    <row r="85" spans="1:7" x14ac:dyDescent="0.3">
      <c r="A85" t="s">
        <v>8</v>
      </c>
      <c r="B85" t="s">
        <v>173</v>
      </c>
      <c r="C85" t="s">
        <v>174</v>
      </c>
      <c r="D85" t="s">
        <v>11</v>
      </c>
      <c r="E85" t="s">
        <v>12</v>
      </c>
      <c r="F85">
        <v>3.9220146426926297E-3</v>
      </c>
      <c r="G85" t="s">
        <v>13</v>
      </c>
    </row>
    <row r="86" spans="1:7" x14ac:dyDescent="0.3">
      <c r="A86" t="s">
        <v>8</v>
      </c>
      <c r="B86" t="s">
        <v>175</v>
      </c>
      <c r="C86" t="s">
        <v>176</v>
      </c>
      <c r="D86" t="s">
        <v>11</v>
      </c>
      <c r="E86" t="s">
        <v>12</v>
      </c>
      <c r="F86">
        <v>2.4983490876338602E-3</v>
      </c>
      <c r="G86" t="s">
        <v>13</v>
      </c>
    </row>
    <row r="87" spans="1:7" x14ac:dyDescent="0.3">
      <c r="A87" t="s">
        <v>8</v>
      </c>
      <c r="B87" t="s">
        <v>177</v>
      </c>
      <c r="C87" t="s">
        <v>178</v>
      </c>
      <c r="D87" t="s">
        <v>11</v>
      </c>
      <c r="E87" t="s">
        <v>12</v>
      </c>
      <c r="F87">
        <v>0.15237377645235101</v>
      </c>
      <c r="G87" t="s">
        <v>13</v>
      </c>
    </row>
    <row r="88" spans="1:7" x14ac:dyDescent="0.3">
      <c r="A88" t="s">
        <v>8</v>
      </c>
      <c r="B88" t="s">
        <v>179</v>
      </c>
      <c r="C88" t="s">
        <v>180</v>
      </c>
      <c r="D88" t="s">
        <v>11</v>
      </c>
      <c r="E88" t="s">
        <v>12</v>
      </c>
      <c r="F88">
        <v>1.6781132506722299E-3</v>
      </c>
      <c r="G88" t="s">
        <v>13</v>
      </c>
    </row>
    <row r="89" spans="1:7" x14ac:dyDescent="0.3">
      <c r="A89" t="s">
        <v>8</v>
      </c>
      <c r="B89" t="s">
        <v>181</v>
      </c>
      <c r="C89" t="s">
        <v>182</v>
      </c>
      <c r="D89" t="s">
        <v>11</v>
      </c>
      <c r="E89" t="s">
        <v>12</v>
      </c>
      <c r="F89">
        <v>2.7276303589743801E-2</v>
      </c>
      <c r="G89" t="s">
        <v>13</v>
      </c>
    </row>
    <row r="90" spans="1:7" x14ac:dyDescent="0.3">
      <c r="A90" t="s">
        <v>8</v>
      </c>
      <c r="B90" t="s">
        <v>183</v>
      </c>
      <c r="C90" t="s">
        <v>184</v>
      </c>
      <c r="D90" t="s">
        <v>11</v>
      </c>
      <c r="E90" t="s">
        <v>12</v>
      </c>
      <c r="F90">
        <v>1.47540339157952E-2</v>
      </c>
      <c r="G90" t="s">
        <v>13</v>
      </c>
    </row>
    <row r="91" spans="1:7" x14ac:dyDescent="0.3">
      <c r="A91" t="s">
        <v>8</v>
      </c>
      <c r="B91" t="s">
        <v>185</v>
      </c>
      <c r="C91" t="s">
        <v>186</v>
      </c>
      <c r="D91" t="s">
        <v>11</v>
      </c>
      <c r="E91" t="s">
        <v>12</v>
      </c>
      <c r="F91">
        <v>0.170414120963436</v>
      </c>
      <c r="G91" t="s">
        <v>13</v>
      </c>
    </row>
    <row r="92" spans="1:7" x14ac:dyDescent="0.3">
      <c r="A92" t="s">
        <v>8</v>
      </c>
      <c r="B92" t="s">
        <v>187</v>
      </c>
      <c r="C92" t="s">
        <v>188</v>
      </c>
      <c r="D92" t="s">
        <v>11</v>
      </c>
      <c r="E92" t="s">
        <v>12</v>
      </c>
      <c r="F92">
        <v>1.1446597320940799E-2</v>
      </c>
      <c r="G92" t="s">
        <v>13</v>
      </c>
    </row>
    <row r="93" spans="1:7" x14ac:dyDescent="0.3">
      <c r="A93" t="s">
        <v>8</v>
      </c>
      <c r="B93" t="s">
        <v>189</v>
      </c>
      <c r="C93" t="s">
        <v>190</v>
      </c>
      <c r="D93" t="s">
        <v>11</v>
      </c>
      <c r="E93" t="s">
        <v>12</v>
      </c>
      <c r="F93">
        <v>5.6161446888029001E-3</v>
      </c>
      <c r="G93" t="s">
        <v>13</v>
      </c>
    </row>
    <row r="94" spans="1:7" x14ac:dyDescent="0.3">
      <c r="A94" t="s">
        <v>8</v>
      </c>
      <c r="B94" t="s">
        <v>191</v>
      </c>
      <c r="C94" t="s">
        <v>192</v>
      </c>
      <c r="D94" t="s">
        <v>11</v>
      </c>
      <c r="E94" t="s">
        <v>12</v>
      </c>
      <c r="F94">
        <v>4.6077722061848098E-2</v>
      </c>
      <c r="G94" t="s">
        <v>13</v>
      </c>
    </row>
    <row r="95" spans="1:7" x14ac:dyDescent="0.3">
      <c r="A95" t="s">
        <v>8</v>
      </c>
      <c r="B95" t="s">
        <v>193</v>
      </c>
      <c r="C95" t="s">
        <v>194</v>
      </c>
      <c r="D95" t="s">
        <v>11</v>
      </c>
      <c r="E95" t="s">
        <v>12</v>
      </c>
      <c r="F95">
        <v>4.1148508986873196E-3</v>
      </c>
      <c r="G95" t="s">
        <v>13</v>
      </c>
    </row>
    <row r="96" spans="1:7" x14ac:dyDescent="0.3">
      <c r="A96" t="s">
        <v>8</v>
      </c>
      <c r="B96" t="s">
        <v>195</v>
      </c>
      <c r="C96" t="s">
        <v>196</v>
      </c>
      <c r="D96" t="s">
        <v>11</v>
      </c>
      <c r="E96" t="s">
        <v>12</v>
      </c>
      <c r="F96">
        <v>2.0567526350322898E-2</v>
      </c>
      <c r="G96" t="s">
        <v>13</v>
      </c>
    </row>
    <row r="97" spans="1:7" x14ac:dyDescent="0.3">
      <c r="A97" t="s">
        <v>8</v>
      </c>
      <c r="B97" t="s">
        <v>197</v>
      </c>
      <c r="C97" t="s">
        <v>198</v>
      </c>
      <c r="D97" t="s">
        <v>11</v>
      </c>
      <c r="E97" t="s">
        <v>12</v>
      </c>
      <c r="F97">
        <v>1.15470312981527E-2</v>
      </c>
      <c r="G97" t="s">
        <v>13</v>
      </c>
    </row>
    <row r="98" spans="1:7" x14ac:dyDescent="0.3">
      <c r="A98" t="s">
        <v>8</v>
      </c>
      <c r="B98" t="s">
        <v>199</v>
      </c>
      <c r="C98" t="s">
        <v>200</v>
      </c>
      <c r="D98" t="s">
        <v>11</v>
      </c>
      <c r="E98" t="s">
        <v>12</v>
      </c>
      <c r="F98">
        <v>4.4483471721943899E-3</v>
      </c>
      <c r="G98" t="s">
        <v>13</v>
      </c>
    </row>
    <row r="99" spans="1:7" x14ac:dyDescent="0.3">
      <c r="A99" t="s">
        <v>8</v>
      </c>
      <c r="B99" t="s">
        <v>327</v>
      </c>
      <c r="C99" t="s">
        <v>201</v>
      </c>
      <c r="D99" t="s">
        <v>11</v>
      </c>
      <c r="E99" t="s">
        <v>12</v>
      </c>
      <c r="F99">
        <v>0.241812353941981</v>
      </c>
      <c r="G99" t="s">
        <v>13</v>
      </c>
    </row>
    <row r="100" spans="1:7" x14ac:dyDescent="0.3">
      <c r="A100" t="s">
        <v>8</v>
      </c>
      <c r="B100" t="s">
        <v>202</v>
      </c>
      <c r="C100" t="s">
        <v>203</v>
      </c>
      <c r="D100" t="s">
        <v>11</v>
      </c>
      <c r="E100" t="s">
        <v>12</v>
      </c>
      <c r="F100">
        <v>5.3898102769877998E-2</v>
      </c>
      <c r="G100" t="s">
        <v>13</v>
      </c>
    </row>
    <row r="101" spans="1:7" x14ac:dyDescent="0.3">
      <c r="A101" t="s">
        <v>8</v>
      </c>
      <c r="B101" t="s">
        <v>204</v>
      </c>
      <c r="C101" t="s">
        <v>205</v>
      </c>
      <c r="D101" t="s">
        <v>11</v>
      </c>
      <c r="E101" t="s">
        <v>12</v>
      </c>
      <c r="F101">
        <v>1.50311660522777E-2</v>
      </c>
      <c r="G101" t="s">
        <v>13</v>
      </c>
    </row>
    <row r="102" spans="1:7" x14ac:dyDescent="0.3">
      <c r="A102" t="s">
        <v>8</v>
      </c>
      <c r="B102" t="s">
        <v>206</v>
      </c>
      <c r="C102" t="s">
        <v>207</v>
      </c>
      <c r="D102" t="s">
        <v>11</v>
      </c>
      <c r="E102" t="s">
        <v>12</v>
      </c>
      <c r="F102">
        <v>2.7733597346452799E-3</v>
      </c>
      <c r="G102" t="s">
        <v>13</v>
      </c>
    </row>
    <row r="103" spans="1:7" x14ac:dyDescent="0.3">
      <c r="A103" t="s">
        <v>8</v>
      </c>
      <c r="B103" t="s">
        <v>208</v>
      </c>
      <c r="C103" t="s">
        <v>209</v>
      </c>
      <c r="D103" t="s">
        <v>11</v>
      </c>
      <c r="E103" t="s">
        <v>12</v>
      </c>
      <c r="F103">
        <v>1.13077814781438E-2</v>
      </c>
      <c r="G103" t="s">
        <v>13</v>
      </c>
    </row>
    <row r="104" spans="1:7" x14ac:dyDescent="0.3">
      <c r="A104" t="s">
        <v>8</v>
      </c>
      <c r="B104" t="s">
        <v>210</v>
      </c>
      <c r="C104" t="s">
        <v>211</v>
      </c>
      <c r="D104" t="s">
        <v>11</v>
      </c>
      <c r="E104" t="s">
        <v>12</v>
      </c>
      <c r="F104">
        <v>2.7687575209378899E-2</v>
      </c>
      <c r="G104" t="s">
        <v>13</v>
      </c>
    </row>
    <row r="105" spans="1:7" x14ac:dyDescent="0.3">
      <c r="A105" t="s">
        <v>8</v>
      </c>
      <c r="B105" t="s">
        <v>212</v>
      </c>
      <c r="C105" t="s">
        <v>213</v>
      </c>
      <c r="D105" t="s">
        <v>11</v>
      </c>
      <c r="E105" t="s">
        <v>12</v>
      </c>
      <c r="F105">
        <v>7.43925129168405E-2</v>
      </c>
      <c r="G105" t="s">
        <v>13</v>
      </c>
    </row>
    <row r="106" spans="1:7" x14ac:dyDescent="0.3">
      <c r="A106" t="s">
        <v>8</v>
      </c>
      <c r="B106" t="s">
        <v>214</v>
      </c>
      <c r="C106" t="s">
        <v>215</v>
      </c>
      <c r="D106" t="s">
        <v>11</v>
      </c>
      <c r="E106" t="s">
        <v>12</v>
      </c>
      <c r="F106">
        <v>4.4713151973758303E-2</v>
      </c>
      <c r="G106" t="s">
        <v>13</v>
      </c>
    </row>
    <row r="107" spans="1:7" x14ac:dyDescent="0.3">
      <c r="A107" t="s">
        <v>8</v>
      </c>
      <c r="B107" t="s">
        <v>216</v>
      </c>
      <c r="C107" t="s">
        <v>217</v>
      </c>
      <c r="D107" t="s">
        <v>11</v>
      </c>
      <c r="E107" t="s">
        <v>12</v>
      </c>
      <c r="F107">
        <v>2.1881553943333E-2</v>
      </c>
      <c r="G107" t="s">
        <v>13</v>
      </c>
    </row>
    <row r="108" spans="1:7" x14ac:dyDescent="0.3">
      <c r="A108" t="s">
        <v>8</v>
      </c>
      <c r="B108" t="s">
        <v>218</v>
      </c>
      <c r="C108" t="s">
        <v>219</v>
      </c>
      <c r="D108" t="s">
        <v>11</v>
      </c>
      <c r="E108" t="s">
        <v>12</v>
      </c>
      <c r="F108">
        <v>1.4869799930661801E-2</v>
      </c>
      <c r="G108" t="s">
        <v>13</v>
      </c>
    </row>
    <row r="109" spans="1:7" x14ac:dyDescent="0.3">
      <c r="A109" t="s">
        <v>8</v>
      </c>
      <c r="B109" t="s">
        <v>220</v>
      </c>
      <c r="C109" t="s">
        <v>221</v>
      </c>
      <c r="D109" t="s">
        <v>11</v>
      </c>
      <c r="E109" t="s">
        <v>12</v>
      </c>
      <c r="F109">
        <v>4.7759741614882903E-3</v>
      </c>
      <c r="G109" t="s">
        <v>13</v>
      </c>
    </row>
    <row r="110" spans="1:7" x14ac:dyDescent="0.3">
      <c r="A110" t="s">
        <v>8</v>
      </c>
      <c r="B110" t="s">
        <v>222</v>
      </c>
      <c r="C110" t="s">
        <v>223</v>
      </c>
      <c r="D110" t="s">
        <v>11</v>
      </c>
      <c r="E110" t="s">
        <v>12</v>
      </c>
      <c r="F110">
        <v>1.9856115950603399E-2</v>
      </c>
      <c r="G110" t="s">
        <v>13</v>
      </c>
    </row>
    <row r="111" spans="1:7" x14ac:dyDescent="0.3">
      <c r="A111" t="s">
        <v>8</v>
      </c>
      <c r="B111" t="s">
        <v>224</v>
      </c>
      <c r="C111" t="s">
        <v>225</v>
      </c>
      <c r="D111" t="s">
        <v>11</v>
      </c>
      <c r="E111" t="s">
        <v>12</v>
      </c>
      <c r="F111">
        <v>3.8850159492641402E-2</v>
      </c>
      <c r="G111" t="s">
        <v>13</v>
      </c>
    </row>
    <row r="112" spans="1:7" x14ac:dyDescent="0.3">
      <c r="A112" t="s">
        <v>8</v>
      </c>
      <c r="B112" t="s">
        <v>226</v>
      </c>
      <c r="C112" t="s">
        <v>227</v>
      </c>
      <c r="D112" t="s">
        <v>11</v>
      </c>
      <c r="E112" t="s">
        <v>12</v>
      </c>
      <c r="F112">
        <v>6.04604653175864E-2</v>
      </c>
      <c r="G112" t="s">
        <v>13</v>
      </c>
    </row>
    <row r="113" spans="1:7" x14ac:dyDescent="0.3">
      <c r="A113" t="s">
        <v>8</v>
      </c>
      <c r="B113" t="s">
        <v>228</v>
      </c>
      <c r="C113" t="s">
        <v>229</v>
      </c>
      <c r="D113" t="s">
        <v>11</v>
      </c>
      <c r="E113" t="s">
        <v>12</v>
      </c>
      <c r="F113">
        <v>0.15668429522770599</v>
      </c>
      <c r="G113" t="s">
        <v>13</v>
      </c>
    </row>
    <row r="114" spans="1:7" x14ac:dyDescent="0.3">
      <c r="A114" t="s">
        <v>8</v>
      </c>
      <c r="B114" t="s">
        <v>230</v>
      </c>
      <c r="C114" t="s">
        <v>231</v>
      </c>
      <c r="D114" t="s">
        <v>11</v>
      </c>
      <c r="E114" t="s">
        <v>12</v>
      </c>
      <c r="F114">
        <v>7.8058130060345704E-2</v>
      </c>
      <c r="G114" t="s">
        <v>13</v>
      </c>
    </row>
    <row r="115" spans="1:7" x14ac:dyDescent="0.3">
      <c r="A115" t="s">
        <v>8</v>
      </c>
      <c r="B115" t="s">
        <v>232</v>
      </c>
      <c r="C115" t="s">
        <v>233</v>
      </c>
      <c r="D115" t="s">
        <v>11</v>
      </c>
      <c r="E115" t="s">
        <v>12</v>
      </c>
      <c r="F115">
        <v>6.2850350678619799E-2</v>
      </c>
      <c r="G115" t="s">
        <v>13</v>
      </c>
    </row>
    <row r="116" spans="1:7" x14ac:dyDescent="0.3">
      <c r="A116" t="s">
        <v>8</v>
      </c>
      <c r="B116" t="s">
        <v>376</v>
      </c>
      <c r="C116" t="s">
        <v>234</v>
      </c>
      <c r="D116" t="s">
        <v>11</v>
      </c>
      <c r="E116" t="s">
        <v>12</v>
      </c>
      <c r="F116">
        <v>0.32981852947135498</v>
      </c>
      <c r="G116" t="s">
        <v>13</v>
      </c>
    </row>
    <row r="117" spans="1:7" x14ac:dyDescent="0.3">
      <c r="A117" t="s">
        <v>8</v>
      </c>
      <c r="B117" t="s">
        <v>235</v>
      </c>
      <c r="C117" t="s">
        <v>236</v>
      </c>
      <c r="D117" t="s">
        <v>11</v>
      </c>
      <c r="E117" t="s">
        <v>12</v>
      </c>
      <c r="F117">
        <v>1.09338354529054E-2</v>
      </c>
      <c r="G117" t="s">
        <v>13</v>
      </c>
    </row>
    <row r="118" spans="1:7" x14ac:dyDescent="0.3">
      <c r="A118" t="s">
        <v>8</v>
      </c>
      <c r="B118" t="s">
        <v>237</v>
      </c>
      <c r="C118" t="s">
        <v>238</v>
      </c>
      <c r="D118" t="s">
        <v>11</v>
      </c>
      <c r="E118" t="s">
        <v>12</v>
      </c>
      <c r="F118">
        <v>8.6475371829098993E-2</v>
      </c>
      <c r="G118" t="s">
        <v>13</v>
      </c>
    </row>
    <row r="119" spans="1:7" x14ac:dyDescent="0.3">
      <c r="A119" t="s">
        <v>8</v>
      </c>
      <c r="B119" t="s">
        <v>399</v>
      </c>
      <c r="C119" t="s">
        <v>239</v>
      </c>
      <c r="D119" t="s">
        <v>11</v>
      </c>
      <c r="E119" t="s">
        <v>12</v>
      </c>
      <c r="F119">
        <v>9.4699366892482498E-2</v>
      </c>
      <c r="G119" t="s">
        <v>13</v>
      </c>
    </row>
    <row r="120" spans="1:7" x14ac:dyDescent="0.3">
      <c r="A120" t="s">
        <v>8</v>
      </c>
      <c r="B120" t="s">
        <v>240</v>
      </c>
      <c r="C120" t="s">
        <v>241</v>
      </c>
      <c r="D120" t="s">
        <v>11</v>
      </c>
      <c r="E120" t="s">
        <v>12</v>
      </c>
      <c r="F120">
        <v>3.72390804029402E-3</v>
      </c>
      <c r="G120" t="s">
        <v>13</v>
      </c>
    </row>
    <row r="121" spans="1:7" x14ac:dyDescent="0.3">
      <c r="A121" t="s">
        <v>8</v>
      </c>
      <c r="B121" t="s">
        <v>242</v>
      </c>
      <c r="C121" t="s">
        <v>243</v>
      </c>
      <c r="D121" t="s">
        <v>11</v>
      </c>
      <c r="E121" t="s">
        <v>12</v>
      </c>
      <c r="F121">
        <v>3.1644778092039302E-3</v>
      </c>
      <c r="G121" t="s">
        <v>13</v>
      </c>
    </row>
    <row r="122" spans="1:7" x14ac:dyDescent="0.3">
      <c r="A122" t="s">
        <v>8</v>
      </c>
      <c r="B122" t="s">
        <v>244</v>
      </c>
      <c r="C122" t="s">
        <v>245</v>
      </c>
      <c r="D122" t="s">
        <v>11</v>
      </c>
      <c r="E122" t="s">
        <v>12</v>
      </c>
      <c r="F122">
        <v>7.2608581113119894E-2</v>
      </c>
      <c r="G122" t="s">
        <v>13</v>
      </c>
    </row>
    <row r="123" spans="1:7" x14ac:dyDescent="0.3">
      <c r="A123" t="s">
        <v>8</v>
      </c>
      <c r="B123" t="s">
        <v>246</v>
      </c>
      <c r="C123" t="s">
        <v>247</v>
      </c>
      <c r="D123" t="s">
        <v>11</v>
      </c>
      <c r="E123" t="s">
        <v>12</v>
      </c>
      <c r="F123">
        <v>1.1910190753308601E-2</v>
      </c>
      <c r="G123" t="s">
        <v>13</v>
      </c>
    </row>
    <row r="124" spans="1:7" x14ac:dyDescent="0.3">
      <c r="A124" t="s">
        <v>8</v>
      </c>
      <c r="B124" t="s">
        <v>248</v>
      </c>
      <c r="C124" t="s">
        <v>249</v>
      </c>
      <c r="D124" t="s">
        <v>11</v>
      </c>
      <c r="E124" t="s">
        <v>12</v>
      </c>
      <c r="F124">
        <v>4.5775637747634601E-2</v>
      </c>
      <c r="G124" t="s">
        <v>13</v>
      </c>
    </row>
    <row r="125" spans="1:7" x14ac:dyDescent="0.3">
      <c r="A125" t="s">
        <v>8</v>
      </c>
      <c r="B125" t="s">
        <v>250</v>
      </c>
      <c r="C125" t="s">
        <v>251</v>
      </c>
      <c r="D125" t="s">
        <v>11</v>
      </c>
      <c r="E125" t="s">
        <v>12</v>
      </c>
      <c r="F125">
        <v>0.2483167344952</v>
      </c>
      <c r="G125" t="s">
        <v>13</v>
      </c>
    </row>
    <row r="126" spans="1:7" x14ac:dyDescent="0.3">
      <c r="A126" t="s">
        <v>8</v>
      </c>
      <c r="B126" t="s">
        <v>393</v>
      </c>
      <c r="C126" t="s">
        <v>252</v>
      </c>
      <c r="D126" t="s">
        <v>11</v>
      </c>
      <c r="E126" t="s">
        <v>12</v>
      </c>
      <c r="F126">
        <v>0.128013449880715</v>
      </c>
      <c r="G126" t="s">
        <v>13</v>
      </c>
    </row>
    <row r="127" spans="1:7" x14ac:dyDescent="0.3">
      <c r="A127" t="s">
        <v>8</v>
      </c>
      <c r="B127" t="s">
        <v>253</v>
      </c>
      <c r="C127" t="s">
        <v>254</v>
      </c>
      <c r="D127" t="s">
        <v>11</v>
      </c>
      <c r="E127" t="s">
        <v>12</v>
      </c>
      <c r="F127">
        <v>0.111795149517465</v>
      </c>
      <c r="G127" t="s">
        <v>13</v>
      </c>
    </row>
    <row r="128" spans="1:7" x14ac:dyDescent="0.3">
      <c r="A128" t="s">
        <v>8</v>
      </c>
      <c r="B128" t="s">
        <v>255</v>
      </c>
      <c r="C128" t="s">
        <v>256</v>
      </c>
      <c r="D128" t="s">
        <v>11</v>
      </c>
      <c r="E128" t="s">
        <v>12</v>
      </c>
      <c r="F128">
        <v>5.1602220557091599E-2</v>
      </c>
      <c r="G128" t="s">
        <v>13</v>
      </c>
    </row>
    <row r="129" spans="1:7" x14ac:dyDescent="0.3">
      <c r="A129" t="s">
        <v>8</v>
      </c>
      <c r="B129" t="s">
        <v>257</v>
      </c>
      <c r="C129" t="s">
        <v>258</v>
      </c>
      <c r="D129" t="s">
        <v>11</v>
      </c>
      <c r="E129" t="s">
        <v>12</v>
      </c>
      <c r="F129">
        <v>0.15588685861924101</v>
      </c>
      <c r="G129" t="s">
        <v>13</v>
      </c>
    </row>
    <row r="130" spans="1:7" x14ac:dyDescent="0.3">
      <c r="A130" t="s">
        <v>8</v>
      </c>
      <c r="B130" t="s">
        <v>259</v>
      </c>
      <c r="C130" t="s">
        <v>260</v>
      </c>
      <c r="D130" t="s">
        <v>11</v>
      </c>
      <c r="E130" t="s">
        <v>12</v>
      </c>
      <c r="F130">
        <v>2.4159890964511599E-2</v>
      </c>
      <c r="G130" t="s">
        <v>13</v>
      </c>
    </row>
    <row r="131" spans="1:7" x14ac:dyDescent="0.3">
      <c r="A131" t="s">
        <v>8</v>
      </c>
      <c r="B131" t="s">
        <v>261</v>
      </c>
      <c r="C131" t="s">
        <v>262</v>
      </c>
      <c r="D131" t="s">
        <v>11</v>
      </c>
      <c r="E131" t="s">
        <v>12</v>
      </c>
      <c r="F131">
        <v>9.0552994423932793E-3</v>
      </c>
      <c r="G131" t="s">
        <v>13</v>
      </c>
    </row>
    <row r="132" spans="1:7" x14ac:dyDescent="0.3">
      <c r="A132" t="s">
        <v>8</v>
      </c>
      <c r="B132" t="s">
        <v>263</v>
      </c>
      <c r="C132" t="s">
        <v>264</v>
      </c>
      <c r="D132" t="s">
        <v>11</v>
      </c>
      <c r="E132" t="s">
        <v>12</v>
      </c>
      <c r="F132">
        <v>7.7674966965699498E-3</v>
      </c>
      <c r="G132" t="s">
        <v>13</v>
      </c>
    </row>
    <row r="133" spans="1:7" x14ac:dyDescent="0.3">
      <c r="A133" t="s">
        <v>8</v>
      </c>
      <c r="B133" t="s">
        <v>265</v>
      </c>
      <c r="C133" t="s">
        <v>266</v>
      </c>
      <c r="D133" t="s">
        <v>11</v>
      </c>
      <c r="E133" t="s">
        <v>12</v>
      </c>
      <c r="F133">
        <v>0.18126004286487599</v>
      </c>
      <c r="G133" t="s">
        <v>13</v>
      </c>
    </row>
    <row r="134" spans="1:7" x14ac:dyDescent="0.3">
      <c r="A134" t="s">
        <v>8</v>
      </c>
      <c r="B134" t="s">
        <v>267</v>
      </c>
      <c r="C134" t="s">
        <v>268</v>
      </c>
      <c r="D134" t="s">
        <v>11</v>
      </c>
      <c r="E134" t="s">
        <v>12</v>
      </c>
      <c r="F134">
        <v>0.30515661676835298</v>
      </c>
      <c r="G134" t="s">
        <v>13</v>
      </c>
    </row>
    <row r="135" spans="1:7" x14ac:dyDescent="0.3">
      <c r="A135" t="s">
        <v>8</v>
      </c>
      <c r="B135" t="s">
        <v>269</v>
      </c>
      <c r="C135" t="s">
        <v>270</v>
      </c>
      <c r="D135" t="s">
        <v>11</v>
      </c>
      <c r="E135" t="s">
        <v>12</v>
      </c>
      <c r="F135">
        <v>4.4305636604565699E-3</v>
      </c>
      <c r="G135" t="s">
        <v>13</v>
      </c>
    </row>
    <row r="136" spans="1:7" x14ac:dyDescent="0.3">
      <c r="A136" t="s">
        <v>8</v>
      </c>
      <c r="B136" t="s">
        <v>271</v>
      </c>
      <c r="C136" t="s">
        <v>272</v>
      </c>
      <c r="D136" t="s">
        <v>11</v>
      </c>
      <c r="E136" t="s">
        <v>12</v>
      </c>
      <c r="F136">
        <v>7.7638421423895203E-3</v>
      </c>
      <c r="G136" t="s">
        <v>13</v>
      </c>
    </row>
    <row r="137" spans="1:7" x14ac:dyDescent="0.3">
      <c r="A137" t="s">
        <v>8</v>
      </c>
      <c r="B137" t="s">
        <v>273</v>
      </c>
      <c r="C137" t="s">
        <v>274</v>
      </c>
      <c r="D137" t="s">
        <v>11</v>
      </c>
      <c r="E137" t="s">
        <v>12</v>
      </c>
      <c r="F137">
        <v>0.123679450675829</v>
      </c>
      <c r="G137" t="s">
        <v>13</v>
      </c>
    </row>
    <row r="138" spans="1:7" x14ac:dyDescent="0.3">
      <c r="A138" t="s">
        <v>8</v>
      </c>
      <c r="B138" t="s">
        <v>275</v>
      </c>
      <c r="C138" t="s">
        <v>276</v>
      </c>
      <c r="D138" t="s">
        <v>11</v>
      </c>
      <c r="E138" t="s">
        <v>12</v>
      </c>
      <c r="F138">
        <v>0</v>
      </c>
      <c r="G138" t="s">
        <v>13</v>
      </c>
    </row>
    <row r="139" spans="1:7" x14ac:dyDescent="0.3">
      <c r="A139" t="s">
        <v>8</v>
      </c>
      <c r="B139" t="s">
        <v>277</v>
      </c>
      <c r="C139" t="s">
        <v>278</v>
      </c>
      <c r="D139" t="s">
        <v>11</v>
      </c>
      <c r="E139" t="s">
        <v>12</v>
      </c>
      <c r="F139">
        <v>3.5560870076195801E-2</v>
      </c>
      <c r="G139" t="s">
        <v>13</v>
      </c>
    </row>
    <row r="140" spans="1:7" x14ac:dyDescent="0.3">
      <c r="A140" t="s">
        <v>8</v>
      </c>
      <c r="B140" t="s">
        <v>279</v>
      </c>
      <c r="C140" t="s">
        <v>280</v>
      </c>
      <c r="D140" t="s">
        <v>11</v>
      </c>
      <c r="E140" t="s">
        <v>12</v>
      </c>
      <c r="F140">
        <v>3.2942402073218198E-2</v>
      </c>
      <c r="G140" t="s">
        <v>13</v>
      </c>
    </row>
    <row r="141" spans="1:7" x14ac:dyDescent="0.3">
      <c r="A141" t="s">
        <v>8</v>
      </c>
      <c r="B141" t="s">
        <v>281</v>
      </c>
      <c r="C141" t="s">
        <v>282</v>
      </c>
      <c r="D141" t="s">
        <v>11</v>
      </c>
      <c r="E141" t="s">
        <v>12</v>
      </c>
      <c r="F141">
        <v>0.12913773539662299</v>
      </c>
      <c r="G141" t="s">
        <v>13</v>
      </c>
    </row>
    <row r="142" spans="1:7" x14ac:dyDescent="0.3">
      <c r="A142" t="s">
        <v>8</v>
      </c>
      <c r="B142" t="s">
        <v>283</v>
      </c>
      <c r="C142" t="s">
        <v>284</v>
      </c>
      <c r="D142" t="s">
        <v>11</v>
      </c>
      <c r="E142" t="s">
        <v>12</v>
      </c>
      <c r="F142">
        <v>8.0971076064078103E-3</v>
      </c>
      <c r="G142" t="s">
        <v>13</v>
      </c>
    </row>
    <row r="143" spans="1:7" x14ac:dyDescent="0.3">
      <c r="A143" t="s">
        <v>8</v>
      </c>
      <c r="B143" t="s">
        <v>285</v>
      </c>
      <c r="C143" t="s">
        <v>286</v>
      </c>
      <c r="D143" t="s">
        <v>11</v>
      </c>
      <c r="E143" t="s">
        <v>12</v>
      </c>
      <c r="F143">
        <v>2.2146754729915299E-2</v>
      </c>
      <c r="G143" t="s">
        <v>13</v>
      </c>
    </row>
    <row r="144" spans="1:7" x14ac:dyDescent="0.3">
      <c r="A144" t="s">
        <v>8</v>
      </c>
      <c r="B144" t="s">
        <v>287</v>
      </c>
      <c r="C144" t="s">
        <v>288</v>
      </c>
      <c r="D144" t="s">
        <v>11</v>
      </c>
      <c r="E144" t="s">
        <v>12</v>
      </c>
      <c r="F144">
        <v>0.12273672095820599</v>
      </c>
      <c r="G144" t="s">
        <v>13</v>
      </c>
    </row>
    <row r="145" spans="1:7" x14ac:dyDescent="0.3">
      <c r="A145" t="s">
        <v>8</v>
      </c>
      <c r="B145" t="s">
        <v>289</v>
      </c>
      <c r="C145" t="s">
        <v>290</v>
      </c>
      <c r="D145" t="s">
        <v>11</v>
      </c>
      <c r="E145" t="s">
        <v>12</v>
      </c>
      <c r="F145">
        <v>0.168947390081501</v>
      </c>
      <c r="G145" t="s">
        <v>13</v>
      </c>
    </row>
    <row r="146" spans="1:7" x14ac:dyDescent="0.3">
      <c r="A146" t="s">
        <v>8</v>
      </c>
      <c r="B146" t="s">
        <v>291</v>
      </c>
      <c r="C146" t="s">
        <v>292</v>
      </c>
      <c r="D146" t="s">
        <v>11</v>
      </c>
      <c r="E146" t="s">
        <v>12</v>
      </c>
      <c r="F146">
        <v>5.6143944568301102E-3</v>
      </c>
      <c r="G146" t="s">
        <v>13</v>
      </c>
    </row>
    <row r="147" spans="1:7" x14ac:dyDescent="0.3">
      <c r="A147" t="s">
        <v>8</v>
      </c>
      <c r="B147" t="s">
        <v>332</v>
      </c>
      <c r="C147" t="s">
        <v>293</v>
      </c>
      <c r="D147" t="s">
        <v>11</v>
      </c>
      <c r="E147" t="s">
        <v>12</v>
      </c>
      <c r="F147">
        <v>0.31647163964398001</v>
      </c>
      <c r="G147" t="s">
        <v>13</v>
      </c>
    </row>
    <row r="148" spans="1:7" x14ac:dyDescent="0.3">
      <c r="A148" t="s">
        <v>8</v>
      </c>
      <c r="B148" t="s">
        <v>294</v>
      </c>
      <c r="C148" t="s">
        <v>295</v>
      </c>
      <c r="D148" t="s">
        <v>11</v>
      </c>
      <c r="E148" t="s">
        <v>12</v>
      </c>
      <c r="F148">
        <v>2.4997427350059099E-2</v>
      </c>
      <c r="G148" t="s">
        <v>13</v>
      </c>
    </row>
    <row r="149" spans="1:7" x14ac:dyDescent="0.3">
      <c r="A149" t="s">
        <v>8</v>
      </c>
      <c r="B149" t="s">
        <v>296</v>
      </c>
      <c r="C149" t="s">
        <v>297</v>
      </c>
      <c r="D149" t="s">
        <v>11</v>
      </c>
      <c r="E149" t="s">
        <v>12</v>
      </c>
      <c r="F149">
        <v>2.1465706602103E-2</v>
      </c>
      <c r="G149" t="s">
        <v>13</v>
      </c>
    </row>
    <row r="150" spans="1:7" x14ac:dyDescent="0.3">
      <c r="A150" t="s">
        <v>8</v>
      </c>
      <c r="B150" t="s">
        <v>298</v>
      </c>
      <c r="C150" t="s">
        <v>299</v>
      </c>
      <c r="D150" t="s">
        <v>11</v>
      </c>
      <c r="E150" t="s">
        <v>12</v>
      </c>
      <c r="F150">
        <v>9.2390423532084705E-3</v>
      </c>
      <c r="G150" t="s">
        <v>13</v>
      </c>
    </row>
    <row r="151" spans="1:7" x14ac:dyDescent="0.3">
      <c r="A151" t="s">
        <v>8</v>
      </c>
      <c r="B151" t="s">
        <v>300</v>
      </c>
      <c r="C151" t="s">
        <v>301</v>
      </c>
      <c r="D151" t="s">
        <v>11</v>
      </c>
      <c r="E151" t="s">
        <v>12</v>
      </c>
      <c r="F151">
        <v>0.11241385578329401</v>
      </c>
      <c r="G151" t="s">
        <v>13</v>
      </c>
    </row>
    <row r="152" spans="1:7" x14ac:dyDescent="0.3">
      <c r="A152" t="s">
        <v>8</v>
      </c>
      <c r="B152" t="s">
        <v>302</v>
      </c>
      <c r="C152" t="s">
        <v>303</v>
      </c>
      <c r="D152" t="s">
        <v>11</v>
      </c>
      <c r="E152" t="s">
        <v>12</v>
      </c>
      <c r="F152">
        <v>0</v>
      </c>
      <c r="G152" t="s">
        <v>13</v>
      </c>
    </row>
    <row r="153" spans="1:7" x14ac:dyDescent="0.3">
      <c r="A153" t="s">
        <v>8</v>
      </c>
      <c r="B153" t="s">
        <v>304</v>
      </c>
      <c r="C153" t="s">
        <v>305</v>
      </c>
      <c r="D153" t="s">
        <v>11</v>
      </c>
      <c r="E153" t="s">
        <v>12</v>
      </c>
      <c r="F153">
        <v>6.8080039825276798E-3</v>
      </c>
      <c r="G153" t="s">
        <v>13</v>
      </c>
    </row>
    <row r="154" spans="1:7" x14ac:dyDescent="0.3">
      <c r="A154" t="s">
        <v>8</v>
      </c>
      <c r="B154" t="s">
        <v>306</v>
      </c>
      <c r="C154" t="s">
        <v>307</v>
      </c>
      <c r="D154" t="s">
        <v>11</v>
      </c>
      <c r="E154" t="s">
        <v>12</v>
      </c>
      <c r="F154">
        <v>7.5752214875452698E-3</v>
      </c>
      <c r="G15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7.77734375" customWidth="1"/>
    <col min="2" max="2" width="27.33203125" customWidth="1"/>
  </cols>
  <sheetData>
    <row r="1" spans="1:2" x14ac:dyDescent="0.3">
      <c r="A1" t="s">
        <v>308</v>
      </c>
      <c r="B1" t="s">
        <v>309</v>
      </c>
    </row>
    <row r="2" spans="1:2" x14ac:dyDescent="0.3">
      <c r="A2" t="s">
        <v>310</v>
      </c>
      <c r="B2" t="s">
        <v>311</v>
      </c>
    </row>
    <row r="3" spans="1:2" x14ac:dyDescent="0.3">
      <c r="A3" t="s">
        <v>312</v>
      </c>
      <c r="B3" t="s">
        <v>313</v>
      </c>
    </row>
    <row r="4" spans="1:2" x14ac:dyDescent="0.3">
      <c r="A4" t="s">
        <v>314</v>
      </c>
      <c r="B4" t="s">
        <v>315</v>
      </c>
    </row>
    <row r="5" spans="1:2" x14ac:dyDescent="0.3">
      <c r="A5" t="s">
        <v>13</v>
      </c>
      <c r="B5" t="s">
        <v>316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CB9ECB3B0DFE42A61CA68338208089" ma:contentTypeVersion="10" ma:contentTypeDescription="Ein neues Dokument erstellen." ma:contentTypeScope="" ma:versionID="32c5804f83d42255678497615c7cdf27">
  <xsd:schema xmlns:xsd="http://www.w3.org/2001/XMLSchema" xmlns:xs="http://www.w3.org/2001/XMLSchema" xmlns:p="http://schemas.microsoft.com/office/2006/metadata/properties" xmlns:ns2="938da60d-4642-413d-85aa-e98b25a009ac" xmlns:ns3="9baeeacb-e513-4050-b326-d2145e9eb1ca" targetNamespace="http://schemas.microsoft.com/office/2006/metadata/properties" ma:root="true" ma:fieldsID="275f817f2ad96d0554193fb5d0e68d48" ns2:_="" ns3:_="">
    <xsd:import namespace="938da60d-4642-413d-85aa-e98b25a009ac"/>
    <xsd:import namespace="9baeeacb-e513-4050-b326-d2145e9eb1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a60d-4642-413d-85aa-e98b25a00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a14e36f-e084-4b04-bba6-548b1473dc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aeeacb-e513-4050-b326-d2145e9eb1c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96d2ee-de58-4e75-a6ca-1ac75aeec518}" ma:internalName="TaxCatchAll" ma:showField="CatchAllData" ma:web="9baeeacb-e513-4050-b326-d2145e9eb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aeeacb-e513-4050-b326-d2145e9eb1ca" xsi:nil="true"/>
    <lcf76f155ced4ddcb4097134ff3c332f xmlns="938da60d-4642-413d-85aa-e98b25a009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67BFB2-777C-4E52-998D-F83B5691273F}"/>
</file>

<file path=customXml/itemProps2.xml><?xml version="1.0" encoding="utf-8"?>
<ds:datastoreItem xmlns:ds="http://schemas.openxmlformats.org/officeDocument/2006/customXml" ds:itemID="{B9139A40-8CB3-4F91-822E-22B22226403B}"/>
</file>

<file path=customXml/itemProps3.xml><?xml version="1.0" encoding="utf-8"?>
<ds:datastoreItem xmlns:ds="http://schemas.openxmlformats.org/officeDocument/2006/customXml" ds:itemID="{E922280C-6BA1-4C50-8910-DB994C39DF0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Output&gt;&gt;</vt:lpstr>
      <vt:lpstr>Output</vt:lpstr>
      <vt:lpstr>Raw&gt;&gt;</vt:lpstr>
      <vt:lpstr>Data</vt:lpstr>
      <vt:lpstr>ValueType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Rohkämper, Felix Balthasar</cp:lastModifiedBy>
  <dcterms:created xsi:type="dcterms:W3CDTF">2026-04-09T07:10:46Z</dcterms:created>
  <dcterms:modified xsi:type="dcterms:W3CDTF">2026-04-09T07:23:41Z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0x0101005BCB9ECB3B0DFE42A61CA68338208089</vt:lpwstr>
  </property>
</Properties>
</file>