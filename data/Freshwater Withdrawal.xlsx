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u.sharepoint.com/sites/MasterThesis_hkmy77/Freigegebene Dokumente/General/03_Data/04_Variable Selection/Variables prepped/"/>
    </mc:Choice>
  </mc:AlternateContent>
  <xr:revisionPtr revIDLastSave="39" documentId="8_{DCD75F9F-77A4-4702-83E7-B0AD84D085C0}" xr6:coauthVersionLast="47" xr6:coauthVersionMax="47" xr10:uidLastSave="{0185679C-8FF5-4F86-AB55-F125999F9C69}"/>
  <bookViews>
    <workbookView xWindow="-120" yWindow="-18120" windowWidth="29040" windowHeight="17520" activeTab="1" xr2:uid="{49473D74-CEEF-40A9-B6AC-28494A25D48E}"/>
  </bookViews>
  <sheets>
    <sheet name="Output&gt;&gt;" sheetId="5" r:id="rId1"/>
    <sheet name="Output" sheetId="6" r:id="rId2"/>
    <sheet name="Edit&gt;&gt;" sheetId="3" r:id="rId3"/>
    <sheet name="ED_Freshwater" sheetId="4" r:id="rId4"/>
    <sheet name="Raw&gt;&gt;" sheetId="2" r:id="rId5"/>
    <sheet name="WB_WDI_ER_H2O_FWST_ZS_WIDEF (1)" sheetId="1" r:id="rId6"/>
  </sheets>
  <calcPr calcId="0"/>
</workbook>
</file>

<file path=xl/calcChain.xml><?xml version="1.0" encoding="utf-8"?>
<calcChain xmlns="http://schemas.openxmlformats.org/spreadsheetml/2006/main">
  <c r="CX81" i="4" l="1"/>
  <c r="CX54" i="4"/>
  <c r="D8" i="6"/>
  <c r="D9" i="6"/>
  <c r="D10" i="6"/>
  <c r="F112" i="6" s="1"/>
  <c r="D11" i="6"/>
  <c r="D12" i="6"/>
  <c r="D13" i="6"/>
  <c r="D14" i="6"/>
  <c r="D15" i="6"/>
  <c r="D16" i="6"/>
  <c r="G111" i="6" s="1"/>
  <c r="D17" i="6"/>
  <c r="H109" i="6" s="1"/>
  <c r="D18" i="6"/>
  <c r="D59" i="6" s="1"/>
  <c r="D19" i="6"/>
  <c r="D20" i="6"/>
  <c r="D21" i="6"/>
  <c r="G112" i="6" s="1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60" i="6"/>
  <c r="D61" i="6"/>
  <c r="D62" i="6"/>
  <c r="D63" i="6"/>
  <c r="D64" i="6"/>
  <c r="D65" i="6"/>
  <c r="D66" i="6"/>
  <c r="D67" i="6"/>
  <c r="D68" i="6"/>
  <c r="D69" i="6"/>
  <c r="D70" i="6"/>
  <c r="D71" i="6"/>
  <c r="D72" i="6"/>
  <c r="D73" i="6"/>
  <c r="D74" i="6"/>
  <c r="D75" i="6"/>
  <c r="D76" i="6"/>
  <c r="D77" i="6"/>
  <c r="D78" i="6"/>
  <c r="D79" i="6"/>
  <c r="D80" i="6"/>
  <c r="D81" i="6"/>
  <c r="D82" i="6"/>
  <c r="D83" i="6"/>
  <c r="D84" i="6"/>
  <c r="D85" i="6"/>
  <c r="D86" i="6"/>
  <c r="D87" i="6"/>
  <c r="D88" i="6"/>
  <c r="D89" i="6"/>
  <c r="D90" i="6"/>
  <c r="D91" i="6"/>
  <c r="D92" i="6"/>
  <c r="D93" i="6"/>
  <c r="D94" i="6"/>
  <c r="D95" i="6"/>
  <c r="D96" i="6"/>
  <c r="D97" i="6"/>
  <c r="D98" i="6"/>
  <c r="D99" i="6"/>
  <c r="D100" i="6"/>
  <c r="D101" i="6"/>
  <c r="D102" i="6"/>
  <c r="D103" i="6"/>
  <c r="D104" i="6"/>
  <c r="D105" i="6"/>
  <c r="D106" i="6"/>
  <c r="D107" i="6"/>
  <c r="D44" i="6" s="1"/>
  <c r="D7" i="6"/>
  <c r="F111" i="6"/>
  <c r="H110" i="6"/>
  <c r="G110" i="6"/>
  <c r="F110" i="6"/>
  <c r="G109" i="6"/>
  <c r="G108" i="6"/>
  <c r="F108" i="6"/>
  <c r="D108" i="6" s="1"/>
  <c r="D110" i="6" l="1"/>
  <c r="D111" i="6"/>
  <c r="D112" i="6"/>
  <c r="D109" i="6"/>
</calcChain>
</file>

<file path=xl/sharedStrings.xml><?xml version="1.0" encoding="utf-8"?>
<sst xmlns="http://schemas.openxmlformats.org/spreadsheetml/2006/main" count="7394" uniqueCount="631">
  <si>
    <t>STRUCTURE,STRUCTURE_ID,ACTION,FREQ,REF_AREA,INDICATOR,SEX,AGE,URBANISATION,UNIT_MEASURE,COMP_BREAKDOWN_1,COMP_BREAKDOWN_2,COMP_BREAKDOWN_3,AGG_METHOD,UNIT_TYPE,DECIMALS,DATABASE_ID,TIME_FORMAT,COMMENT_TS,UNIT_MULT,DATA_SOURCE,OBS_CONF,OBS_STATUS,FREQ_LABEL,REF_AREA_LABEL,INDICATOR_LABEL,SEX_LABEL,AGE_LABEL,URBANISATION_LABEL,UNIT_MEASURE_LABEL,COMP_BREAKDOWN_1_LABEL,COMP_BREAKDOWN_2_LABEL,COMP_BREAKDOWN_3_LABEL,AGG_METHOD_LABEL,UNIT_TYPE_LABEL,DECIMALS_LABEL,DATABASE_ID_LABEL,TIME_FORMAT_LABEL,UNIT_MULT_LABEL,OBS_STATUS_LABEL,OBS_CONF_LABEL,1962,1963,1964,1965,1966,1967,1968,1969,1970,1971,1972,1973,1974,1975,1976,1977,1978,1979,1980,1981,1982,1983,1984,1985,1986,1987,1988,1989,1990,1991,1992,1993,1994,1995,1996,1997,1998,1999,2000,2001,2002,2003,2004,2005,2006,2007,2008,2009,2010,2011,2012,2013,2014,2015,2016,2017,2018,2019,2020,2021,2022</t>
  </si>
  <si>
    <t>datastructure,WB.DATA360:DS_DATA360(1.3),I,A,VNM,WB_WDI_ER_H2O_FWST_ZS,_T,_T,_T,PT_FRSH_WAT_RSC,_Z,_Z,_Z,_Z,RATIO,2,WB_WDI,P1Y,Level of water stress: freshwater withdrawal as a proportion of available freshwater resources,0,WB_WDI,PU,A,Annual,Vietnam,Level of water stress: freshwater withdrawal as a proportion of available freshwater resources,Total,All age ranges or no breakdown by age,Total,Percentage of freshwater resources,Not Applicable,Not Applicable,Not Applicable,Not Applicable,Ratio,Two,World Development Indicators (WDI),Annual,Units,Normal value,Public,,,,,,,,,,,,,,,,,,,8.385010631,8.713235294,9.041459958,9.369684621,9.697909284,10.02613395,10.30288802,10.5796421,10.85639617,11.13315025,11.40990432,11.85940822,12.30891212,12.75841602,13.20791992,13.65742381,14.10692771,14.55643161,15.00593551,15.4554394,15.9049433,16.35745925,16.80997519,17.22373317,17.67624911,18.13031538,18.13031538,18.13031538,18.13031538,18.13031538,18.13031538,18.13031538,18.13031538,18.13031538,18.13031538,18.13031538,18.13031538,18.13031538,18.13031538,18.13031538,18.13031538,18.13031538,18.13031538</t>
  </si>
  <si>
    <t>datastructure,WB.DATA360:DS_DATA360(1.3),I,A,NGA,WB_WDI_ER_H2O_FWST_ZS,_T,_T,_T,PT_FRSH_WAT_RSC,_Z,_Z,_Z,_Z,RATIO,2,WB_WDI,P1Y,Level of water stress: freshwater withdrawal as a proportion of available freshwater resources,0,WB_WDI,PU,A,Annual,Nigeria,Level of water stress: freshwater withdrawal as a proportion of available freshwater resources,Total,All age ranges or no breakdown by age,Total,Percentage of freshwater resources,Not Applicable,Not Applicable,Not Applicable,Not Applicable,Ratio,Two,World Development Indicators (WDI),Annual,Units,Normal value,Public,,,,,,,,,,,,,,,,,,,,,,,,,,4.333333333,4.6143709,4.895766249,5.174657126,5.455873584,5.737090042,6.0183065,6.299522958,6.580739416,6.861955874,7.143709004,7.42438879,7.705784138,7.986821705,8.183410853,8.38,8.576589147,8.773178295,8.969767442,9.109457364,9.249147287,9.388837209,9.528527132,9.668217054,9.668217054,9.668217054,9.668217054,9.668217054,9.668217054,9.668217054,9.668217054,9.668217054,9.668217054,9.668217054,9.668217054,9.668217054</t>
  </si>
  <si>
    <t>datastructure,WB.DATA360:DS_DATA360(1.3),I,A,SVN,WB_WDI_ER_H2O_FWST_ZS,_T,_T,_T,PT_FRSH_WAT_RSC,_Z,_Z,_Z,_Z,RATIO,2,WB_WDI,P1Y,Level of water stress: freshwater withdrawal as a proportion of available freshwater resources,0,WB_WDI,PU,A,Annual,Slovenia,Level of water stress: freshwater withdrawal as a proportion of available freshwater resources,Total,All age ranges or no breakdown by age,Total,Percentage of freshwater resources,Not Applicable,Not Applicable,Not Applicable,Not Applicable,Ratio,Two,World Development Indicators (WDI),Annual,Units,Normal value,Public,,,,,,,,,,,,,,,,,,,,,,,,,,,,,,,,,,,,,,,,,6.079783638,6.134775749,6.189767861,6.244759973,6.284651792,6.324543611,7.031778229,6.373901285,6.257606491,5.749154834,6.274509804,7.813387424,6.628127113,6.064908722,5.999323868,6.29749831,6.497633536,6.382691007,6.781609195,6.29479378,5.591615957</t>
  </si>
  <si>
    <t>datastructure,WB.DATA360:DS_DATA360(1.3),I,A,CAN,WB_WDI_ER_H2O_FWST_ZS,_T,_T,_T,PT_FRSH_WAT_RSC,_Z,_Z,_Z,_Z,RATIO,2,WB_WDI,P1Y,Level of water stress: freshwater withdrawal as a proportion of available freshwater resources,0,WB_WDI,PU,A,Annual,Canada,Level of water stress: freshwater withdrawal as a proportion of available freshwater resources,Total,All age ranges or no breakdown by age,Total,Percentage of freshwater resources,Not Applicable,Not Applicable,Not Applicable,Not Applicable,Ratio,Two,World Development Indicators (WDI),Annual,Units,Normal value,Public,,,,,,,,,,,,,,,,,,,,,,,,,4.346035015,4.405581874,4.465128733,4.524675592,4.584222451,4.64376931,4.584449022,4.525128733,4.465808445,4.406488157,4.347167868,4.338800674,4.33043348,4.322066286,4.313699092,4.305331898,4.296964704,4.28859751,4.280230316,4.271863121,4.263495927,4.255128733,4.125365603,3.995602472,3.830962925,3.666323378,3.752832132,3.839340886,3.759526262,3.679711638,3.706642637,3.733573635,3.733573635,3.733573635,3.733573635,3.720700309,3.720700309</t>
  </si>
  <si>
    <t>datastructure,WB.DATA360:DS_DATA360(1.3),I,A,EST,WB_WDI_ER_H2O_FWST_ZS,_T,_T,_T,PT_FRSH_WAT_RSC,_Z,_Z,_Z,_Z,RATIO,2,WB_WDI,P1Y,Level of water stress: freshwater withdrawal as a proportion of available freshwater resources,0,WB_WDI,PU,A,Annual,Estonia,Level of water stress: freshwater withdrawal as a proportion of available freshwater resources,Total,All age ranges or no breakdown by age,Total,Percentage of freshwater resources,Not Applicable,Not Applicable,Not Applicable,Not Applicable,Ratio,Two,World Development Indicators (WDI),Annual,Units,Normal value,Public,,,,,,,,,,,,,,,,,,,,,,,,,,,,,,,28.46320346,23.87445887,19.28571429,14.6969697,14.78262214,14.86827458,14.95392703,15.03957947,15.12523191,15.21088435,15.2965368,16.20670996,17.11688312,18.02705628,18.93722944,19.8474026,17.35930736,14.91341991,19.93506494,20.28138528,17.65151515,18.91774892,18.61471861,17.4820632,18.95454545,19.31709957,17.40844156,10.89231602,9.231085498,10.81980133,13.04628519</t>
  </si>
  <si>
    <t>datastructure,WB.DATA360:DS_DATA360(1.3),I,A,BFA,WB_WDI_ER_H2O_FWST_ZS,_T,_T,_T,PT_FRSH_WAT_RSC,_Z,_Z,_Z,_Z,RATIO,2,WB_WDI,P1Y,Level of water stress: freshwater withdrawal as a proportion of available freshwater resources,0,WB_WDI,PU,A,Annual,Burkina Faso,Level of water stress: freshwater withdrawal as a proportion of available freshwater resources,Total,All age ranges or no breakdown by age,Total,Percentage of freshwater resources,Not Applicable,Not Applicable,Not Applicable,Not Applicable,Ratio,Two,World Development Indicators (WDI),Annual,Units,Normal value,Public,,,,,,,,,,,,,,,,,,,,,,,,2.772466539,2.889866157,3.007265774,3.124665392,3.24206501,3.359464627,3.477055449,3.594646272,3.778627576,3.96260888,4.146590185,4.330571489,4.514552794,5.544933078,5.86998088,6.195028681,6.520076482,6.845124283,7.170172084,7.495219885,7.820267686,7.820267686,7.820267686,7.820267686,7.820267686,7.820267686,7.820267686,7.820267686,7.820267686,7.820267686,7.820267686,7.820267686,7.820267686,7.820267686,7.820267686,7.820267686,7.820267686,7.820267686</t>
  </si>
  <si>
    <t>datastructure,WB.DATA360:DS_DATA360(1.3),I,A,QAT,WB_WDI_ER_H2O_FWST_ZS,_T,_T,_T,PT_FRSH_WAT_RSC,_Z,_Z,_Z,_Z,RATIO,2,WB_WDI,P1Y,Level of water stress: freshwater withdrawal as a proportion of available freshwater resources,0,WB_WDI,PU,A,Annual,Qatar,Level of water stress: freshwater withdrawal as a proportion of available freshwater resources,Total,All age ranges or no breakdown by age,Total,Percentage of freshwater resources,Not Applicable,Not Applicable,Not Applicable,Not Applicable,Ratio,Two,World Development Indicators (WDI),Annual,Units,Normal value,Public,,,,,,,,,,,,,,258.6206897,270.862069,283.1034483,295.3448276,307.5862069,319.8275862,332.0689655,344.3103448,356.5517241,368.7931034,381.0344828,393.2758621,405.5172414,417.7586207,430.0,330.1724138,327.7586207,325.3448276,322.9310345,277.0689655,277.9885057,278.908046,279.8275862,280.7471264,281.6666667,282.5862069,300.8965517,321.9655172,341.6551724,361.3448276,374.137931,381.2931034,388.4482759,395.6034483,402.7586207,409.9137931,417.0689655,424.2241379,431.3793103,434.6551724,431.0344828,432.4137931,431.0344828,431.0344828,431.0344828,431.0344828,431.0344828,431.0344828</t>
  </si>
  <si>
    <t>datastructure,WB.DATA360:DS_DATA360(1.3),I,A,HUN,WB_WDI_ER_H2O_FWST_ZS,_T,_T,_T,PT_FRSH_WAT_RSC,_Z,_Z,_Z,_Z,RATIO,2,WB_WDI,P1Y,Level of water stress: freshwater withdrawal as a proportion of available freshwater resources,0,WB_WDI,PU,A,Annual,Hungary,Level of water stress: freshwater withdrawal as a proportion of available freshwater resources,Total,All age ranges or no breakdown by age,Total,Percentage of freshwater resources,Not Applicable,Not Applicable,Not Applicable,Not Applicable,Ratio,Two,World Development Indicators (WDI),Annual,Units,Normal value,Public,,,,,,,,,5.147495682,5.487875648,5.828255613,6.168635579,6.509015544,6.84939551,7.139274611,7.429153713,7.719032815,8.008911917,8.298791019,8.832642487,9.366493955,9.900345423,10.43419689,10.96804836,11.16210215,11.35615593,11.55020972,11.74426351,11.9383173,12.13237108,12.32642487,11.84006908,11.3537133,10.86735751,10.38100173,10.30886586,10.23672999,10.16459413,10.09245826,10.02032239,9.948186529,9.853770869,9.75935521,9.664939551,9.570523892,9.476108233,9.381692573,10.95336788,9.274611399,9.02417962,8.723661485,9.067357513,6.775474957,6.960276339,6.837651123,8.180518135,8.494752155,7.708246978,7.739896373,7.718307427,8.108497409</t>
  </si>
  <si>
    <t>datastructure,WB.DATA360:DS_DATA360(1.3),I,A,TKM,WB_WDI_ER_H2O_FWST_ZS,_T,_T,_T,PT_FRSH_WAT_RSC,_Z,_Z,_Z,_Z,RATIO,2,WB_WDI,P1Y,Level of water stress: freshwater withdrawal as a proportion of available freshwater resources,0,WB_WDI,PU,A,Annual,Turkmenistan,Level of water stress: freshwater withdrawal as a proportion of available freshwater resources,Total,All age ranges or no breakdown by age,Total,Percentage of freshwater resources,Not Applicable,Not Applicable,Not Applicable,Not Applicable,Ratio,Two,World Development Indicators (WDI),Annual,Units,Normal value,Public,,,,,,,,,,,,,,,,,,,,,,,,,,,,,,,,,122.0917053,123.0612227,124.0307402,125.0002576,125.969775,126.9392925,127.9088099,130.9362871,133.9637644,136.9912416,143.5600206,143.5600206,143.5600206,143.6902112,143.8204019,143.9505925,144.0807831,144.2109737,144.3411643,144.471355,144.6015456,144.7317362,144.8619268,148.6666667,138.4853168,142.7516744,135.2138073,135.2138073,135.2138073</t>
  </si>
  <si>
    <t>datastructure,WB.DATA360:DS_DATA360(1.3),I,A,LBR,WB_WDI_ER_H2O_FWST_ZS,_T,_T,_T,PT_FRSH_WAT_RSC,_Z,_Z,_Z,_Z,RATIO,2,WB_WDI,P1Y,Level of water stress: freshwater withdrawal as a proportion of available freshwater resources,0,WB_WDI,PU,A,Annual,Liberia,Level of water stress: freshwater withdrawal as a proportion of available freshwater resources,Total,All age ranges or no breakdown by age,Total,Percentage of freshwater resources,Not Applicable,Not Applicable,Not Applicable,Not Applicable,Ratio,Two,World Development Indicators (WDI),Annual,Units,Normal value,Public,,,,,,,,,,,,,,,,,,,,,,,,,,0.235507246,0.235618729,0.235730212,0.235841695,0.235953177,0.23606466,0.236176143,0.236287625,0.236399108,0.236510591,0.236622074,0.236733556,0.236845039,0.236956522,0.242427536,0.247898551,0.253369565,0.25884058,0.264311594,0.264311594,0.264311594,0.264311594,0.264311594,0.264311594,0.264311594,0.264311594,0.264311594,0.264311594,0.264311594,0.264311594,0.264311594,0.264311594,0.264311594,0.264311594,0.264311594,0.264311594</t>
  </si>
  <si>
    <t>datastructure,WB.DATA360:DS_DATA360(1.3),I,A,TJK,WB_WDI_ER_H2O_FWST_ZS,_T,_T,_T,PT_FRSH_WAT_RSC,_Z,_Z,_Z,_Z,RATIO,2,WB_WDI,P1Y,Level of water stress: freshwater withdrawal as a proportion of available freshwater resources,0,WB_WDI,PU,A,Annual,Tajikistan,Level of water stress: freshwater withdrawal as a proportion of available freshwater resources,Total,All age ranges or no breakdown by age,Total,Percentage of freshwater resources,Not Applicable,Not Applicable,Not Applicable,Not Applicable,Ratio,Two,World Development Indicators (WDI),Annual,Units,Normal value,Public,,,,,,,,,,,,,,,,,,,,,,,,,,,,,,,,,75.99947223,76.86700092,77.73452962,78.60205832,79.46958702,80.33711571,81.20464441,79.97954875,78.75445309,77.52935744,76.30426178,75.07916612,73.85407046,73.28598027,72.71789008,72.14979989,71.58170969,71.0136195,70.44552931,69.87743912,69.30934893,68.74125874,57.7186964,52.69824515,64.48080222,69.94326428,69.94326428,69.94326428,69.94326428</t>
  </si>
  <si>
    <t>datastructure,WB.DATA360:DS_DATA360(1.3),I,A,CPV,WB_WDI_ER_H2O_FWST_ZS,_T,_T,_T,PT_FRSH_WAT_RSC,_Z,_Z,_Z,_Z,RATIO,2,WB_WDI,P1Y,Level of water stress: freshwater withdrawal as a proportion of available freshwater resources,0,WB_WDI,PU,A,Annual,Cabo Verde,Level of water stress: freshwater withdrawal as a proportion of available freshwater resources,Total,All age ranges or no breakdown by age,Total,Percentage of freshwater resources,Not Applicable,Not Applicable,Not Applicable,Not Applicable,Ratio,Two,World Development Indicators (WDI),Annual,Units,Normal value,Public,,,,,,,,,,,,,,,,,,,,,,,,,,,,,,,,,,,,,,,,7.183333333,8.534208704,9.885084074,11.23595944,13.60403437,15.9721093,18.34018422,20.70825915,23.07633407,25.444409,27.81248393,30.18055885,32.54863378,34.9167087,37.28478363,39.65285856,42.02093348,44.38900841,48.95751,68.94373667,57.17750667,59.68371</t>
  </si>
  <si>
    <t>datastructure,WB.DATA360:DS_DATA360(1.3),I,A,DZA,WB_WDI_ER_H2O_FWST_ZS,_T,_T,_T,PT_FRSH_WAT_RSC,_Z,_Z,_Z,_Z,RATIO,2,WB_WDI,P1Y,Level of water stress: freshwater withdrawal as a proportion of available freshwater resources,0,WB_WDI,PU,A,Annual,Algeria,Level of water stress: freshwater withdrawal as a proportion of available freshwater resources,Total,All age ranges or no breakdown by age,Total,Percentage of freshwater resources,Not Applicable,Not Applicable,Not Applicable,Not Applicable,Ratio,Two,World Development Indicators (WDI),Annual,Units,Normal value,Public,,,,,,,,,28.14126917,29.54833263,30.95539609,32.36245955,33.76952301,35.17658646,36.58364992,37.99071338,39.39777684,40.8048403,42.21190376,43.61896722,45.02603067,46.43309413,47.84015759,49.24722105,52.06134797,54.87547488,57.6896018,60.50372872,62.41733502,64.1017179,65.78610077,67.47048365,69.15486652,70.8392494,72.52363227,74.20801515,75.89239802,77.57678089,79.26116377,81.71052014,85.03737246,87.52280082,90.00822919,92.49365755,94.97908592,97.46451429,99.94994265,102.435371,104.9207994,107.4062277,109.7509498,115.1634539,120.575958,125.9884621,129.8719572,137.9203602,141.7991651,145.6779701,149.556775,140.5937808,144.8149712</t>
  </si>
  <si>
    <t>datastructure,WB.DATA360:DS_DATA360(1.3),I,A,ARE,WB_WDI_ER_H2O_FWST_ZS,_T,_T,_T,PT_FRSH_WAT_RSC,_Z,_Z,_Z,_Z,RATIO,2,WB_WDI,P1Y,Level of water stress: freshwater withdrawal as a proportion of available freshwater resources,0,WB_WDI,PU,A,Annual,United Arab Emirates,Level of water stress: freshwater withdrawal as a proportion of available freshwater resources,Total,All age ranges or no breakdown by age,Total,Percentage of freshwater resources,Not Applicable,Not Applicable,Not Applicable,Not Applicable,Ratio,Two,World Development Indicators (WDI),Annual,Units,Normal value,Public,,,,,,,,,,,,,,,,,,,600.0,653.6888889,707.3777778,761.0666667,814.7555556,868.4444444,922.1333333,975.8222222,1029.511111,1083.2,1028.222222,1052.311111,1076.4,1100.488889,1124.577778,1148.666667,1254.813333,1360.96,1467.106667,1573.253333,1555.866667,1527.928889,1499.991111,1472.053333,1669.36,1866.666667,1849.636364,1832.606061,1815.575758,1798.545455,1781.515152,1764.484848,1747.454545,1730.424242,1713.393939,1696.363636,1679.333333,1630.0,1667.333333,1628.666667,1587.333333,1533.333333,1509.933333</t>
  </si>
  <si>
    <t>datastructure,WB.DATA360:DS_DATA360(1.3),I,A,ETH,WB_WDI_ER_H2O_FWST_ZS,_T,_T,_T,PT_FRSH_WAT_RSC,_Z,_Z,_Z,_Z,RATIO,2,WB_WDI,P1Y,Level of water stress: freshwater withdrawal as a proportion of available freshwater resources,0,WB_WDI,PU,A,Annual,Ethiopia,Level of water stress: freshwater withdrawal as a proportion of available freshwater resources,Total,All age ranges or no breakdown by age,Total,Percentage of freshwater resources,Not Applicable,Not Applicable,Not Applicable,Not Applicable,Ratio,Two,World Development Indicators (WDI),Annual,Units,Normal value,Public,,,,,,,,,,,,,,,,,,,,,,,,,,,,,,,,,,,,,,,,,16.9969419,19.34464832,21.69235474,24.04006116,24.78707256,25.53514039,26.28268001,27.02810676,27.77511815,28.52212955,29.26914095,30.01615235,30.76316375,31.51017515,32.26299694,32.25718654,32.25718654,32.25718654,32.25718654,32.25718654,32.25718654</t>
  </si>
  <si>
    <t>datastructure,WB.DATA360:DS_DATA360(1.3),I,A,PRT,WB_WDI_ER_H2O_FWST_ZS,_T,_T,_T,PT_FRSH_WAT_RSC,_Z,_Z,_Z,_Z,RATIO,2,WB_WDI,P1Y,Level of water stress: freshwater withdrawal as a proportion of available freshwater resources,0,WB_WDI,PU,A,Annual,Portugal,Level of water stress: freshwater withdrawal as a proportion of available freshwater resources,Total,All age ranges or no breakdown by age,Total,Percentage of freshwater resources,Not Applicable,Not Applicable,Not Applicable,Not Applicable,Ratio,Two,World Development Indicators (WDI),Annual,Units,Normal value,Public,,,,,,,,,,,,,,,,,,,,,,,,,,,,,,17.27627085,20.23339744,23.19052403,26.14765062,25.82301444,24.67257958,23.52214472,22.37170987,21.90282004,21.42790249,20.95901266,20.49012284,20.02123301,19.55234318,19.08345336,18.20131976,18.37653205,18.24249325,18.10845445,17.97441565,17.84037684,17.70633804,17.57229924,17.43826044,17.30422164,17.17018284,12.37988748,12.31571228,12.31571228,12.31571228,12.31571228,12.31571228</t>
  </si>
  <si>
    <t>datastructure,WB.DATA360:DS_DATA360(1.3),I,A,BOL,WB_WDI_ER_H2O_FWST_ZS,_T,_T,_T,PT_FRSH_WAT_RSC,_Z,_Z,_Z,_Z,RATIO,2,WB_WDI,P1Y,Level of water stress: freshwater withdrawal as a proportion of available freshwater resources,0,WB_WDI,PU,A,Annual,Bolivia,Level of water stress: freshwater withdrawal as a proportion of available freshwater resources,Total,All age ranges or no breakdown by age,Total,Percentage of freshwater resources,Not Applicable,Not Applicable,Not Applicable,Not Applicable,Ratio,Two,World Development Indicators (WDI),Annual,Units,Normal value,Public,,,,,,,,,,,,,,,,,,,,,,,,,,0.698985344,0.732486933,0.765988521,0.79949011,0.832991698,0.866493287,0.899994876,0.933496464,0.966998053,1.000499641,1.03400123,1.067502819,1.101004407,1.109499732,1.117995058,1.126490383,1.134985708,1.143481034,1.151976359,1.160471684,1.168967009,1.177001127,1.177001127,1.183554927,1.190108726,1.196662525,1.203216325,1.209770124,1.216323923,1.222877723,1.229431522,1.235985321,1.242539121,0.207365543,0.202979589,0.202979589</t>
  </si>
  <si>
    <t>datastructure,WB.DATA360:DS_DATA360(1.3),I,A,CAF,WB_WDI_ER_H2O_FWST_ZS,_T,_T,_T,PT_FRSH_WAT_RSC,_Z,_Z,_Z,_Z,RATIO,2,WB_WDI,P1Y,Level of water stress: freshwater withdrawal as a proportion of available freshwater resources,0,WB_WDI,PU,A,Annual,Central African Republic,Level of water stress: freshwater withdrawal as a proportion of available freshwater resources,Total,All age ranges or no breakdown by age,Total,Percentage of freshwater resources,Not Applicable,Not Applicable,Not Applicable,Not Applicable,Ratio,Two,World Development Indicators (WDI),Annual,Units,Normal value,Public,,,,,,,,,,,,,,,,,,,,,,,,,,0.089814815,0.106481482,0.123148148,0.139814815,0.156481482,0.173148148,0.189814815,0.206481482,0.223148148,0.239814815,0.256481482,0.273148148,0.289814815,0.306481482,0.312314815,0.318148148,0.323981482,0.329814815,0.335648148,0.335648148,0.335648148,0.335648148,0.335648148,0.335648148,0.335648148,0.335648148,0.335648148,0.335648148,0.335648148,0.335648148,0.335648148,0.335648148,0.335648148,0.335648148,0.335648148,0.335648148</t>
  </si>
  <si>
    <t>datastructure,WB.DATA360:DS_DATA360(1.3),I,A,LKA,WB_WDI_ER_H2O_FWST_ZS,_T,_T,_T,PT_FRSH_WAT_RSC,_Z,_Z,_Z,_Z,RATIO,2,WB_WDI,P1Y,Level of water stress: freshwater withdrawal as a proportion of available freshwater resources,0,WB_WDI,PU,A,Annual,Sri Lanka,Level of water stress: freshwater withdrawal as a proportion of available freshwater resources,Total,All age ranges or no breakdown by age,Total,Percentage of freshwater resources,Not Applicable,Not Applicable,Not Applicable,Not Applicable,Ratio,Two,World Development Indicators (WDI),Annual,Units,Normal value,Public,,,,,,,,,,,,,,,,,,,,,,,,,,,,,68.50631136,70.77952314,73.05273492,75.3259467,77.59915849,79.87237027,82.14558205,84.41879383,86.69200561,88.96521739,91.23842917,91.14782609,91.057223,90.96661992,90.87601683,90.78541374,90.78541374,90.78541374,90.78541374,90.78541374,90.78541374,90.78541374,90.78541374,90.78541374,90.78541374,90.78541374,90.78541374,90.78541374,90.78541374,90.78541374,90.78541374,90.78541374,90.78541374</t>
  </si>
  <si>
    <t>datastructure,WB.DATA360:DS_DATA360(1.3),I,A,AUT,WB_WDI_ER_H2O_FWST_ZS,_T,_T,_T,PT_FRSH_WAT_RSC,_Z,_Z,_Z,_Z,RATIO,2,WB_WDI,P1Y,Level of water stress: freshwater withdrawal as a proportion of available freshwater resources,0,WB_WDI,PU,A,Annual,Austria,Level of water stress: freshwater withdrawal as a proportion of available freshwater resources,Total,All age ranges or no breakdown by age,Total,Percentage of freshwater resources,Not Applicable,Not Applicable,Not Applicable,Not Applicable,Ratio,Two,World Development Indicators (WDI),Annual,Units,Normal value,Public,,,,,,,,,,,,,,,,,,,9.229068804,9.360044211,9.491019619,9.621995026,9.752970434,9.883945841,10.0099475,10.13594916,10.26195082,10.38795247,10.51395413,10.31610942,10.11826471,9.920420006,9.722575297,9.524730589,9.794142028,10.06355347,10.0967118,10.12987013,10.0469743,9.966841669,9.883945841,9.853896104,9.823846366,9.793796629,9.763746891,9.733697154,9.703647416,9.673597679,9.643547941,9.536090387,9.428632833,9.321175279,9.213717724,9.10626017,8.998802616,8.891345062,8.783887507,8.676429953,8.676429953,8.676429953,8.676429953</t>
  </si>
  <si>
    <t>datastructure,WB.DATA360:DS_DATA360(1.3),I,A,JAM,WB_WDI_ER_H2O_FWST_ZS,_T,_T,_T,PT_FRSH_WAT_RSC,_Z,_Z,_Z,_Z,RATIO,2,WB_WDI,P1Y,Level of water stress: freshwater withdrawal as a proportion of available freshwater resources,0,WB_WDI,PU,A,Annual,Jamaica,Level of water stress: freshwater withdrawal as a proportion of available freshwater resources,Total,All age ranges or no breakdown by age,Total,Percentage of freshwater resources,Not Applicable,Not Applicable,Not Applicable,Not Applicable,Ratio,Two,World Development Indicators (WDI),Annual,Units,Normal value,Public,,,,,,,,,,,,,,,,,,,,,,,,,,,,,,,,8.569712649,8.843600269,9.11748789,9.39137551,9.66526313,9.93915075,10.21303837,10.48692599,10.76081361,11.03470123,11.30858885,11.58247647,11.85636409,12.13025171,12.40413933,12.67802695,12.95191457,13.22580219,13.49968981,13.77357743,14.04746505,14.32135267,7.668853368,12.4734362,12.34396002,12.21448383,12.08500765,11.04643079,12.38281888,12.38281888</t>
  </si>
  <si>
    <t>datastructure,WB.DATA360:DS_DATA360(1.3),I,A,HND,WB_WDI_ER_H2O_FWST_ZS,_T,_T,_T,PT_FRSH_WAT_RSC,_Z,_Z,_Z,_Z,RATIO,2,WB_WDI,P1Y,Level of water stress: freshwater withdrawal as a proportion of available freshwater resources,0,WB_WDI,PU,A,Annual,Honduras,Level of water stress: freshwater withdrawal as a proportion of available freshwater resources,Total,All age ranges or no breakdown by age,Total,Percentage of freshwater resources,Not Applicable,Not Applicable,Not Applicable,Not Applicable,Ratio,Two,World Development Indicators (WDI),Annual,Units,Normal value,Public,,,,,,,,,,,,,,,,,,,,,,,,,,,,,,,,,,,,,,,,,,4.621268764,4.621268764,4.621268764,4.621268764,4.621268764,4.621268764,4.621268764,4.621268764,4.621268764,4.621268764,4.621268764,4.621268764,4.621268764,4.621268764,4.621268764,4.621268764,4.621268764,4.621268764,4.621268764,4.621268764</t>
  </si>
  <si>
    <t>datastructure,WB.DATA360:DS_DATA360(1.3),I,A,BDI,WB_WDI_ER_H2O_FWST_ZS,_T,_T,_T,PT_FRSH_WAT_RSC,_Z,_Z,_Z,_Z,RATIO,2,WB_WDI,P1Y,Level of water stress: freshwater withdrawal as a proportion of available freshwater resources,0,WB_WDI,PU,A,Annual,Burundi,Level of water stress: freshwater withdrawal as a proportion of available freshwater resources,Total,All age ranges or no breakdown by age,Total,Percentage of freshwater resources,Not Applicable,Not Applicable,Not Applicable,Not Applicable,Ratio,Two,World Development Indicators (WDI),Annual,Units,Normal value,Public,,,,,,,,,,,,,,,,,,,,,,,,,,3.639010189,4.165267047,4.691523906,5.217780764,5.744037622,6.27029448,6.796551338,7.322808196,7.849065054,8.375321912,8.901578771,9.427835629,9.954092487,10.48034935,10.42285298,10.36535662,10.30786026,10.2503639,10.19286754,10.19286754,10.19286754,10.19286754,10.19286754,10.19286754,10.19286754,10.19286754,10.19286754,10.19286754,10.19286754,10.19286754,10.19286754,10.19286754,10.19286754,10.19286754,10.19286754,10.19286754</t>
  </si>
  <si>
    <t>datastructure,WB.DATA360:DS_DATA360(1.3),I,A,PAN,WB_WDI_ER_H2O_FWST_ZS,_T,_T,_T,PT_FRSH_WAT_RSC,_Z,_Z,_Z,_Z,RATIO,2,WB_WDI,P1Y,Level of water stress: freshwater withdrawal as a proportion of available freshwater resources,0,WB_WDI,PU,A,Annual,Panama,Level of water stress: freshwater withdrawal as a proportion of available freshwater resources,Total,All age ranges or no breakdown by age,Total,Percentage of freshwater resources,Not Applicable,Not Applicable,Not Applicable,Not Applicable,Ratio,Two,World Development Indicators (WDI),Annual,Units,Normal value,Public,,,,,,,,,,,,,,,,,,,,,,,,,,,,,,,,,,,,,,,,,,,,,,,,,0.771347813,0.815431915,0.859516017,0.903600119,0.8934097,0.930749777,0.90107111,0.90107111,0.90107111,0.90107111,0.90107111,0.90107111,0.90107111</t>
  </si>
  <si>
    <t>datastructure,WB.DATA360:DS_DATA360(1.3),I,A,OMN,WB_WDI_ER_H2O_FWST_ZS,_T,_T,_T,PT_FRSH_WAT_RSC,_Z,_Z,_Z,_Z,RATIO,2,WB_WDI,P1Y,Level of water stress: freshwater withdrawal as a proportion of available freshwater resources,0,WB_WDI,PU,A,Annual,Oman,Level of water stress: freshwater withdrawal as a proportion of available freshwater resources,Total,All age ranges or no breakdown by age,Total,Percentage of freshwater resources,Not Applicable,Not Applicable,Not Applicable,Not Applicable,Ratio,Two,World Development Indicators (WDI),Annual,Units,Normal value,Public,,,,,,,,,,,,,,,,,,,,,,,,,,,,,,85.5,86.47366522,87.44733045,88.42099567,86.96608947,87.93975469,88.91341991,89.88708514,90.86075036,92.85714286,90.79220779,89.75,84.71428571,87.91428571,91.11428571,94.31428571,97.51428571,100.7142857,103.9142857,107.1142857,110.3142857,113.5142857,116.7142857,116.7142857,116.7142857,116.7142857,116.7142857,116.7142857,116.7142857,116.7142857,116.7142857,116.7142857</t>
  </si>
  <si>
    <t>datastructure,WB.DATA360:DS_DATA360(1.3),I,A,CHN,WB_WDI_ER_H2O_FWST_ZS,_T,_T,_T,PT_FRSH_WAT_RSC,_Z,_Z,_Z,_Z,RATIO,2,WB_WDI,P1Y,Level of water stress: freshwater withdrawal as a proportion of available freshwater resources,0,WB_WDI,PU,A,Annual,China,Level of water stress: freshwater withdrawal as a proportion of available freshwater resources,Total,All age ranges or no breakdown by age,Total,Percentage of freshwater resources,Not Applicable,Not Applicable,Not Applicable,Not Applicable,Ratio,Two,World Development Indicators (WDI),Annual,Units,Normal value,Public,,,,,,,,,,,,,,,,,,,32.40531105,33.01752092,33.6297308,34.24194067,34.85415054,35.13387184,35.4105257,35.68717956,35.96383342,36.24048728,36.51714115,37.13549807,37.75385499,38.37221192,38.63826537,38.90431883,39.17037229,39.43642574,39.7024792,39.96853266,40.23458611,40.28132806,40.32807,40.37481194,40.42155388,40.46829582,41.48347234,41.53459634,42.07505003,42.59359343,42.85870788,43.45539796,43.73292824,44.02506537,43.33854311,43.22168826,44.11416719,43.54449979,43.30275631,43.2121938,41.5185288,41.5185288,41.5185288</t>
  </si>
  <si>
    <t>datastructure,WB.DATA360:DS_DATA360(1.3),I,A,CUB,WB_WDI_ER_H2O_FWST_ZS,_T,_T,_T,PT_FRSH_WAT_RSC,_Z,_Z,_Z,_Z,RATIO,2,WB_WDI,P1Y,Level of water stress: freshwater withdrawal as a proportion of available freshwater resources,0,WB_WDI,PU,A,Annual,Cuba,Level of water stress: freshwater withdrawal as a proportion of available freshwater resources,Total,All age ranges or no breakdown by age,Total,Percentage of freshwater resources,Not Applicable,Not Applicable,Not Applicable,Not Applicable,Ratio,Two,World Development Indicators (WDI),Annual,Units,Normal value,Public,,,,,,,,,,,,,,,,,,,,,,,,,,,,,,,,,,17.92878032,17.94620991,17.96363949,17.98106908,17.99849866,18.01592825,18.03198161,18.04941119,18.06684078,18.08427037,18.10169995,18.11912954,16.98365732,19.7414416,20.83743334,20.70858421,21.78622627,22.86386834,23.93944607,23.93944607,23.93944607,23.93944607,23.93944607,23.93944607,23.93944607,23.93944607,23.93944607,23.93944607</t>
  </si>
  <si>
    <t>datastructure,WB.DATA360:DS_DATA360(1.3),I,A,GAB,WB_WDI_ER_H2O_FWST_ZS,_T,_T,_T,PT_FRSH_WAT_RSC,_Z,_Z,_Z,_Z,RATIO,2,WB_WDI,P1Y,Level of water stress: freshwater withdrawal as a proportion of available freshwater resources,0,WB_WDI,PU,A,Annual,Gabon,Level of water stress: freshwater withdrawal as a proportion of available freshwater resources,Total,All age ranges or no breakdown by age,Total,Percentage of freshwater resources,Not Applicable,Not Applicable,Not Applicable,Not Applicable,Ratio,Two,World Development Indicators (WDI),Annual,Units,Normal value,Public,,,,,,,,,,,,,,,,,,,,,,,,,,0.216606498,0.233351847,0.250097195,0.266842544,0.283587892,0.300333241,0.317078589,0.333823938,0.350569286,0.367314635,0.384059983,0.400805332,0.41755068,0.434296029,0.447870036,0.461444043,0.475018051,0.488592058,0.502166065,0.502166065,0.502166065,0.502166065,0.502166065,0.502166065,0.502166065,0.502166065,0.502166065,0.502166065,0.502166065,0.502166065,0.502166065,0.502166065,0.502166065,0.502166065,0.502166065,0.502166065</t>
  </si>
  <si>
    <t>datastructure,WB.DATA360:DS_DATA360(1.3),I,A,IRN,WB_WDI_ER_H2O_FWST_ZS,_T,_T,_T,PT_FRSH_WAT_RSC,_Z,_Z,_Z,_Z,RATIO,2,WB_WDI,P1Y,Level of water stress: freshwater withdrawal as a proportion of available freshwater resources,0,WB_WDI,PU,A,Annual,"Iran, Islamic Rep.",Level of water stress: freshwater withdrawal as a proportion of available freshwater resources,Total,All age ranges or no breakdown by age,Total,Percentage of freshwater resources,Not Applicable,Not Applicable,Not Applicable,Not Applicable,Ratio,Two,World Development Indicators (WDI),Annual,Units,Normal value,Public,,,,,,,,,,,,,,39.35458481,40.57098158,41.78737835,43.00377513,44.2201719,45.43656867,46.65383999,47.87038252,49.08692505,50.30346758,51.52001011,52.73655264,53.95309517,55.16963769,56.38618022,57.60272275,58.81693316,60.03332993,61.2497267,66.91722419,72.58472168,73.54672264,74.5087236,75.47072456,76.43272552,77.39472649,78.40111067,79.40749486,80.41387905,81.28908129,81.28908129,81.28908129,81.28908129,81.28908129,81.28908129,81.28908129,81.28908129,81.28908129,81.28908129,81.28908129,81.28908129,81.28908129,81.28908129,81.28908129,81.28908129,81.28908129,81.28908129,81.28908129</t>
  </si>
  <si>
    <t>datastructure,WB.DATA360:DS_DATA360(1.3),I,A,MMR,WB_WDI_ER_H2O_FWST_ZS,_T,_T,_T,PT_FRSH_WAT_RSC,_Z,_Z,_Z,_Z,RATIO,2,WB_WDI,P1Y,Level of water stress: freshwater withdrawal as a proportion of available freshwater resources,0,WB_WDI,PU,A,Annual,Myanmar,Level of water stress: freshwater withdrawal as a proportion of available freshwater resources,Total,All age ranges or no breakdown by age,Total,Percentage of freshwater resources,Not Applicable,Not Applicable,Not Applicable,Not Applicable,Ratio,Two,World Development Indicators (WDI),Annual,Units,Normal value,Public,,,,,,,,,,,,,,,,,,,,,,,,,,4.932960894,4.999771702,5.06658251,5.133393318,5.200204126,5.267014933,5.333366459,5.40010072,5.467447357,5.534258165,5.600303502,5.667037763,5.733772024,5.801501397,5.801501397,5.801501397,5.801501397,5.801501397,5.801501397,5.801501397,5.801501397,5.801501397,5.801501397,5.801501397,5.801501397,5.801501397,5.801501397,5.801501397,5.801501397,5.801501397,5.801501397,5.801501397,5.801501397,5.801501397,5.801501397,5.801501397</t>
  </si>
  <si>
    <t>datastructure,WB.DATA360:DS_DATA360(1.3),I,A,MLT,WB_WDI_ER_H2O_FWST_ZS,_T,_T,_T,PT_FRSH_WAT_RSC,_Z,_Z,_Z,_Z,RATIO,2,WB_WDI,P1Y,Level of water stress: freshwater withdrawal as a proportion of available freshwater resources,0,WB_WDI,PU,A,Annual,Malta,Level of water stress: freshwater withdrawal as a proportion of available freshwater resources,Total,All age ranges or no breakdown by age,Total,Percentage of freshwater resources,Not Applicable,Not Applicable,Not Applicable,Not Applicable,Ratio,Two,World Development Indicators (WDI),Annual,Units,Normal value,Public,,,,,,,,,,,,,,,,,,,39.6039604,44.35643564,49.10891089,53.86138614,58.61386139,53.26732673,52.55445545,51.84158416,51.12871287,50.41584158,49.7029703,48.99009901,48.27722772,47.56435644,46.85148515,46.13861386,49.16548798,52.19236209,55.21923621,58.24611033,61.27298444,64.29985856,67.32673267,68.43564356,68.51485149,70.65346535,71.76237624,72.87128713,70.89108911,62.77227723,80.99009901,75.44554455,79.40594059,91.28712871,89.10891089,82.77227723,82.97029703,91.08910891,84.62300297,80.66096515,81.77715644,78.46721386,72.60000792</t>
  </si>
  <si>
    <t>datastructure,WB.DATA360:DS_DATA360(1.3),I,A,IDN,WB_WDI_ER_H2O_FWST_ZS,_T,_T,_T,PT_FRSH_WAT_RSC,_Z,_Z,_Z,_Z,RATIO,2,WB_WDI,P1Y,Level of water stress: freshwater withdrawal as a proportion of available freshwater resources,0,WB_WDI,PU,A,Annual,Indonesia,Level of water stress: freshwater withdrawal as a proportion of available freshwater resources,Total,All age ranges or no breakdown by age,Total,Percentage of freshwater resources,Not Applicable,Not Applicable,Not Applicable,Not Applicable,Ratio,Two,World Development Indicators (WDI),Annual,Units,Normal value,Public,,,,,,,,,,,,,,,,,,,,,,,,,,,,,9.914138989,10.43359611,10.95305322,11.47251034,11.99196745,12.51142457,13.03088169,13.5503388,14.06979592,14.58925303,15.10871015,16.02044985,16.93218954,17.84392924,18.75566893,19.66740863,20.57914833,21.49088802,22.40262772,23.31436741,24.22610711,25.13784681,26.0495865,26.9613262,27.87306589,28.78480559,29.69654528,29.69654528,29.69654528,29.69654528,29.69654528,29.69654528,29.69654528</t>
  </si>
  <si>
    <t>datastructure,WB.DATA360:DS_DATA360(1.3),I,A,FRA,WB_WDI_ER_H2O_FWST_ZS,_T,_T,_T,PT_FRSH_WAT_RSC,_Z,_Z,_Z,_Z,RATIO,2,WB_WDI,P1Y,Level of water stress: freshwater withdrawal as a proportion of available freshwater resources,0,WB_WDI,PU,A,Annual,France,Level of water stress: freshwater withdrawal as a proportion of available freshwater resources,Total,All age ranges or no breakdown by age,Total,Percentage of freshwater resources,Not Applicable,Not Applicable,Not Applicable,Not Applicable,Ratio,Two,World Development Indicators (WDI),Annual,Units,Normal value,Public,,,,,,,,,,,,,,,,,,,27.10671452,27.79287403,28.47903353,29.16519303,29.85135253,30.53751204,31.02740086,31.51728968,32.0071785,32.49706732,32.98695614,33.66015933,34.33336251,32.77720389,31.22104526,29.66488663,28.108728,26.55256938,27.24357291,27.93457644,28.62557997,28.47456885,28.32355773,28.6427967,28.96203566,29.28127462,28.20625055,27.13122647,25.08973124,24.92366279,25.01794625,26.39061543,24.56710146,23.77396481,23.89652456,24.61349908,23.14278211,23.58924976,23.56904868,22.94676191,21.59813707,21.38462716,21.38462716</t>
  </si>
  <si>
    <t>datastructure,WB.DATA360:DS_DATA360(1.3),I,A,COD,WB_WDI_ER_H2O_FWST_ZS,_T,_T,_T,PT_FRSH_WAT_RSC,_Z,_Z,_Z,_Z,RATIO,2,WB_WDI,P1Y,Level of water stress: freshwater withdrawal as a proportion of available freshwater resources,0,WB_WDI,PU,A,Annual,"Congo, Dem. Rep.",Level of water stress: freshwater withdrawal as a proportion of available freshwater resources,Total,All age ranges or no breakdown by age,Total,Percentage of freshwater resources,Not Applicable,Not Applicable,Not Applicable,Not Applicable,Ratio,Two,World Development Indicators (WDI),Annual,Units,Normal value,Public,,,,,,,,,,,,,,,,,,,,,,,,,,,,,,,,,,0.158015267,0.165184202,0.172353136,0.179522071,0.186691006,0.19385994,0.200464653,0.207069366,0.213674079,0.220278792,0.226883505,0.226883505,0.226883505,0.226883505,0.226883505,0.226883505,0.226883505,0.226883505,0.226883505,0.226883505,0.226883505,0.226883505,0.226883505,0.226883505,0.226883505,0.226883505,0.226883505,0.226883505</t>
  </si>
  <si>
    <t>datastructure,WB.DATA360:DS_DATA360(1.3),I,A,CYP,WB_WDI_ER_H2O_FWST_ZS,_T,_T,_T,PT_FRSH_WAT_RSC,_Z,_Z,_Z,_Z,RATIO,2,WB_WDI,P1Y,Level of water stress: freshwater withdrawal as a proportion of available freshwater resources,0,WB_WDI,PU,A,Annual,Cyprus,Level of water stress: freshwater withdrawal as a proportion of available freshwater resources,Total,All age ranges or no breakdown by age,Total,Percentage of freshwater resources,Not Applicable,Not Applicable,Not Applicable,Not Applicable,Ratio,Two,World Development Indicators (WDI),Annual,Units,Normal value,Public,,,,,,,,,,,,,,21.18644068,21.78786222,22.38928376,22.9907053,23.59212685,24.19354839,24.82230727,25.45106616,26.07982504,26.70858393,27.33734281,27.96610169,28.75888464,29.46965555,30.18042646,30.48113723,29.79770366,29.11427009,28.43083652,27.51308287,26.59532922,25.67757557,24.75982192,23.84206827,22.92431461,22.00656096,20.49519644,23.33242209,23.15199563,22.97156916,22.7911427,22.61071624,22.43028978,21.93821761,25.1913614,27.46036085,30.18042646,34.8961181,28.26681247,29.66101695,31.71131766,29.79770366,29.52433024,28.29414981,27.61071624,31.57463095,32.1213778,30.48113723</t>
  </si>
  <si>
    <t>datastructure,WB.DATA360:DS_DATA360(1.3),I,A,KOR,WB_WDI_ER_H2O_FWST_ZS,_T,_T,_T,PT_FRSH_WAT_RSC,_Z,_Z,_Z,_Z,RATIO,2,WB_WDI,P1Y,Level of water stress: freshwater withdrawal as a proportion of available freshwater resources,0,WB_WDI,PU,A,Annual,"Korea, Rep.",Level of water stress: freshwater withdrawal as a proportion of available freshwater resources,Total,All age ranges or no breakdown by age,Total,Percentage of freshwater resources,Not Applicable,Not Applicable,Not Applicable,Not Applicable,Ratio,Two,World Development Indicators (WDI),Annual,Units,Normal value,Public,,,,,,,,,,,,,,,,,,,,,,,,,,,,,60.04086398,62.07155367,64.10224335,66.13293303,68.16362272,70.1943124,72.22500208,74.25569177,76.43199066,78.60828955,80.78458844,82.96088733,85.13718622,85.16540183,85.19361744,85.22183304,85.22183304,85.22183304,85.22183304,85.22183304,85.22183304,85.22183304,85.22183304,85.22183304,85.22183304,85.22183304,85.22183304,85.22183304,85.22183304,85.22183304,85.22183304,85.22183304,85.22183304</t>
  </si>
  <si>
    <t>datastructure,WB.DATA360:DS_DATA360(1.3),I,A,DMA,WB_WDI_ER_H2O_FWST_ZS,_T,_T,_T,PT_FRSH_WAT_RSC,_Z,_Z,_Z,_Z,RATIO,2,WB_WDI,P1Y,Level of water stress: freshwater withdrawal as a proportion of available freshwater resources,0,WB_WDI,PU,A,Annual,Dominica,Level of water stress: freshwater withdrawal as a proportion of available freshwater resources,Total,All age ranges or no breakdown by age,Total,Percentage of freshwater resources,Not Applicable,Not Applicable,Not Applicable,Not Applicable,Ratio,Two,World Development Indicators (WDI),Annual,Units,Normal value,Public,,,,,,,,,,,,,,,,,,,,,,,,,,,,,,,,,,,8.3,8.3,8.3,8.3,8.3,8.3,8.3,8.3,8.3,8.583333333,8.866666667,9.15,9.433333333,9.716666667,10.0,10.0,10.0,10.0,10.0,10.0,10.0,10.0,10.0,10.0,10.0,10.0,10.0</t>
  </si>
  <si>
    <t>datastructure,WB.DATA360:DS_DATA360(1.3),I,A,LSO,WB_WDI_ER_H2O_FWST_ZS,_T,_T,_T,PT_FRSH_WAT_RSC,_Z,_Z,_Z,_Z,RATIO,2,WB_WDI,P1Y,Level of water stress: freshwater withdrawal as a proportion of available freshwater resources,0,WB_WDI,PU,A,Annual,Lesotho,Level of water stress: freshwater withdrawal as a proportion of available freshwater resources,Total,All age ranges or no breakdown by age,Total,Percentage of freshwater resources,Not Applicable,Not Applicable,Not Applicable,Not Applicable,Ratio,Two,World Development Indicators (WDI),Annual,Units,Normal value,Public,,,,,,,,,,,,,,,,,,,,,,,,,,2.929115407,2.892088384,2.855061361,2.818034338,2.781007315,2.743980292,2.706953269,2.669926246,2.632899223,2.5958722,2.558845178,2.521818155,2.484791132,2.565905097,2.565905097,2.565905097,2.565905097,2.565905097,2.565905097,2.565905097,2.565905097,2.565905097,2.565905097,2.565905097,2.565905097,2.565905097,2.565905097,2.565905097,2.565905097,2.565905097,2.565905097,2.565905097,2.565905097,2.565905097,2.565905097,2.565905097</t>
  </si>
  <si>
    <t>datastructure,WB.DATA360:DS_DATA360(1.3),I,A,BEN,WB_WDI_ER_H2O_FWST_ZS,_T,_T,_T,PT_FRSH_WAT_RSC,_Z,_Z,_Z,_Z,RATIO,2,WB_WDI,P1Y,Level of water stress: freshwater withdrawal as a proportion of available freshwater resources,0,WB_WDI,PU,A,Annual,Benin,Level of water stress: freshwater withdrawal as a proportion of available freshwater resources,Total,All age ranges or no breakdown by age,Total,Percentage of freshwater resources,Not Applicable,Not Applicable,Not Applicable,Not Applicable,Ratio,Two,World Development Indicators (WDI),Annual,Units,Normal value,Public,,,,,,,,,,,,,,,,,,,,,,,,0.825206302,0.861346587,0.897486872,0.933627157,0.969767442,1.005907727,1.04219805,1.078488372,1.114778695,1.151069017,1.125951131,1.100833244,1.075715357,1.050597471,1.025479584,1.000361698,0.975243811,0.975243811,0.975243811,0.975243811,0.975243811,0.975243811,0.975243811,0.975243811,0.975243811,0.975243811,0.975243811,0.975243811,0.975243811,0.975243811,0.975243811,0.975243811,0.975243811,0.975243811,0.975243811,0.975243811,0.975243811,0.975243811</t>
  </si>
  <si>
    <t>datastructure,WB.DATA360:DS_DATA360(1.3),I,A,PRY,WB_WDI_ER_H2O_FWST_ZS,_T,_T,_T,PT_FRSH_WAT_RSC,_Z,_Z,_Z,_Z,RATIO,2,WB_WDI,P1Y,Level of water stress: freshwater withdrawal as a proportion of available freshwater resources,0,WB_WDI,PU,A,Annual,Paraguay,Level of water stress: freshwater withdrawal as a proportion of available freshwater resources,Total,All age ranges or no breakdown by age,Total,Percentage of freshwater resources,Not Applicable,Not Applicable,Not Applicable,Not Applicable,Ratio,Two,World Development Indicators (WDI),Annual,Units,Normal value,Public,,,,,,,,,,,,,,,,,,,,,,,,,,0.327070815,0.330581414,0.334092013,0.337602612,0.341113211,0.34462381,0.348134409,0.351645008,0.355155607,0.358666206,0.362176806,0.365687405,0.369198004,0.372708603,0.499722255,0.626735907,0.753749559,0.880763211,1.007776864,1.134790516,1.261804168,1.38881782,1.504992497,1.621167175,1.713508785,1.835399711,1.835399711,1.835399711,1.835399711,1.835399711,1.835399711,1.835399711,1.835399711,1.835399711,1.835399711,1.835399711</t>
  </si>
  <si>
    <t>datastructure,WB.DATA360:DS_DATA360(1.3),I,A,CRI,WB_WDI_ER_H2O_FWST_ZS,_T,_T,_T,PT_FRSH_WAT_RSC,_Z,_Z,_Z,_Z,RATIO,2,WB_WDI,P1Y,Level of water stress: freshwater withdrawal as a proportion of available freshwater resources,0,WB_WDI,PU,A,Annual,Costa Rica,Level of water stress: freshwater withdrawal as a proportion of available freshwater resources,Total,All age ranges or no breakdown by age,Total,Percentage of freshwater resources,Not Applicable,Not Applicable,Not Applicable,Not Applicable,Ratio,Two,World Development Indicators (WDI),Annual,Units,Normal value,Public,,,,,,,,,,,,,,,,,,,,,,,,,,,,,,,,,,,,,,,,,,,,,,,,,,,3.990308874,4.208397611,4.682064846,5.450542662,4.987559727,4.163822526,5.211023891,5.355170649,5.351672355,5.881962457,5.881962457</t>
  </si>
  <si>
    <t>datastructure,WB.DATA360:DS_DATA360(1.3),I,A,UGA,WB_WDI_ER_H2O_FWST_ZS,_T,_T,_T,PT_FRSH_WAT_RSC,_Z,_Z,_Z,_Z,RATIO,2,WB_WDI,P1Y,Level of water stress: freshwater withdrawal as a proportion of available freshwater resources,0,WB_WDI,PU,A,Annual,Uganda,Level of water stress: freshwater withdrawal as a proportion of available freshwater resources,Total,All age ranges or no breakdown by age,Total,Percentage of freshwater resources,Not Applicable,Not Applicable,Not Applicable,Not Applicable,Ratio,Two,World Development Indicators (WDI),Annual,Units,Normal value,Public,,,,,,,,,1.829826167,1.869350412,1.908874657,1.948398902,1.987923147,2.027447393,2.066971638,2.106495883,2.146020128,2.185544373,2.225068619,2.264592864,2.304117109,2.343641354,2.383165599,2.422689845,2.46221409,2.501738335,2.54126258,2.580786825,2.62031107,2.659835316,2.699359561,2.738883806,2.778408051,2.817932296,2.857456542,2.896980787,2.936505032,2.976029277,3.015553522,3.161710888,3.307868253,3.727889601,4.147910949,4.567932296,4.987953644,5.407974992,5.82799634,5.82799634,5.82799634,5.82799634,5.82799634,5.82799634,5.82799634,5.82799634,5.82799634,5.82799634,5.82799634,5.82799634,5.82799634,5.82799634,5.82799634</t>
  </si>
  <si>
    <t>datastructure,WB.DATA360:DS_DATA360(1.3),I,A,TUN,WB_WDI_ER_H2O_FWST_ZS,_T,_T,_T,PT_FRSH_WAT_RSC,_Z,_Z,_Z,_Z,RATIO,2,WB_WDI,P1Y,Level of water stress: freshwater withdrawal as a proportion of available freshwater resources,0,WB_WDI,PU,A,Annual,Tunisia,Level of water stress: freshwater withdrawal as a proportion of available freshwater resources,Total,All age ranges or no breakdown by age,Total,Percentage of freshwater resources,Not Applicable,Not Applicable,Not Applicable,Not Applicable,Ratio,Two,World Development Indicators (WDI),Annual,Units,Normal value,Public,,,,,,,,,,,,,,27.16908311,31.38409974,35.59911637,39.814133,44.02914963,48.24416626,50.27549958,52.3068329,54.33816621,56.36949953,58.40083285,62.33654115,66.27224945,70.20795775,74.14366605,77.87624102,76.76916436,75.6620877,74.55501105,73.44793439,72.34085773,71.21346774,70.08607775,68.95868776,67.83129777,66.01833278,71.32519107,71.70606607,72.08694107,72.46781606,72.84869106,73.22956606,73.61044105,73.99131605,76.55587436,79.12043267,81.68499099,84.26986263,86.85473428,89.43960592,92.02447757,94.60934921,89.53101592,95.9987812,96.31059086,98.11339918,98.11339918,98.11339918</t>
  </si>
  <si>
    <t>datastructure,WB.DATA360:DS_DATA360(1.3),I,A,TCD,WB_WDI_ER_H2O_FWST_ZS,_T,_T,_T,PT_FRSH_WAT_RSC,_Z,_Z,_Z,_Z,RATIO,2,WB_WDI,P1Y,Level of water stress: freshwater withdrawal as a proportion of available freshwater resources,0,WB_WDI,PU,A,Annual,Chad,Level of water stress: freshwater withdrawal as a proportion of available freshwater resources,Total,All age ranges or no breakdown by age,Total,Percentage of freshwater resources,Not Applicable,Not Applicable,Not Applicable,Not Applicable,Ratio,Two,World Development Indicators (WDI),Annual,Units,Normal value,Public,,,,,,,,,,,,,,,,,,,,,,,,,,0.883789063,1.108513622,1.333238181,1.55796274,1.7826873,2.007411859,2.232136418,2.456860978,2.681585537,2.906310096,3.131034655,3.355759215,3.580483774,3.805208333,4.005533854,4.205859375,4.235546875,4.265234375,4.294921875,4.294921875,4.294921875,4.294921875,4.294921875,4.294921875,4.294921875,4.294921875,4.294921875,4.294921875,4.294921875,4.294921875,4.294921875,4.294921875,4.294921875,4.294921875,4.294921875,4.294921875</t>
  </si>
  <si>
    <t>datastructure,WB.DATA360:DS_DATA360(1.3),I,A,DOM,WB_WDI_ER_H2O_FWST_ZS,_T,_T,_T,PT_FRSH_WAT_RSC,_Z,_Z,_Z,_Z,RATIO,2,WB_WDI,P1Y,Level of water stress: freshwater withdrawal as a proportion of available freshwater resources,0,WB_WDI,PU,A,Annual,Dominican Republic,Level of water stress: freshwater withdrawal as a proportion of available freshwater resources,Total,All age ranges or no breakdown by age,Total,Percentage of freshwater resources,Not Applicable,Not Applicable,Not Applicable,Not Applicable,Ratio,Two,World Development Indicators (WDI),Annual,Units,Normal value,Public,,,,,,,,,,,,,,,,,,,,,,,,,,,,,,,,,,,,,,,26.96187098,27.61139437,28.26091776,28.91044114,29.55996453,30.20948792,32.07825316,33.9470184,35.81578364,37.68454888,39.55331412,39.55331412,39.55331412,39.55331412,39.55331412,39.55331412,39.55331412,39.55331412,39.55331412,39.55331412,39.55331412,39.55331412,39.55331412</t>
  </si>
  <si>
    <t>datastructure,WB.DATA360:DS_DATA360(1.3),I,A,GRC,WB_WDI_ER_H2O_FWST_ZS,_T,_T,_T,PT_FRSH_WAT_RSC,_Z,_Z,_Z,_Z,RATIO,2,WB_WDI,P1Y,Level of water stress: freshwater withdrawal as a proportion of available freshwater resources,0,WB_WDI,PU,A,Annual,Greece,Level of water stress: freshwater withdrawal as a proportion of available freshwater resources,Total,All age ranges or no breakdown by age,Total,Percentage of freshwater resources,Not Applicable,Not Applicable,Not Applicable,Not Applicable,Ratio,Two,World Development Indicators (WDI),Annual,Units,Normal value,Public,,,,,,,,,8.60610965,8.614930204,8.623750759,8.632571313,8.641391867,8.650212422,8.955371232,9.260530043,9.565688853,9.870847663,10.17600647,10.36050981,10.54501315,10.72951649,10.91401983,11.09852316,12.05583654,13.01314991,13.97046328,14.92777665,15.88509003,16.07323488,16.26137973,16.0921168,15.92285387,15.75359094,16.66194619,17.57030144,17.79324297,18.0161845,18.23912604,18.46206757,18.6850091,18.95980848,19.23460786,19.50940724,19.48533279,19.46125835,19.62022051,19.78019421,19.93814485,20.09913008,20.09913008,20.07889945,20.06069189,20.04450738,20.50576573,20.5017196,20.47744285,20.46328141,20.47744285,20.40663565,20.32571313</t>
  </si>
  <si>
    <t>datastructure,WB.DATA360:DS_DATA360(1.3),I,A,VEN,WB_WDI_ER_H2O_FWST_ZS,_T,_T,_T,PT_FRSH_WAT_RSC,_Z,_Z,_Z,_Z,RATIO,2,WB_WDI,P1Y,Level of water stress: freshwater withdrawal as a proportion of available freshwater resources,0,WB_WDI,PU,A,Annual,"Venezuela, RB",Level of water stress: freshwater withdrawal as a proportion of available freshwater resources,Total,All age ranges or no breakdown by age,Total,Percentage of freshwater resources,Not Applicable,Not Applicable,Not Applicable,Not Applicable,Ratio,Two,World Development Indicators (WDI),Annual,Units,Normal value,Public,,,,,,,,,1.366666667,1.421765556,1.476864444,1.531963333,1.587062222,1.642161111,1.697606667,1.752763333,1.80792,1.862556667,1.917655556,1.972754444,2.028546667,2.083703333,2.13886,2.194016667,2.249173333,2.30433,2.359486667,2.414643333,2.468066667,2.523223333,2.57838,2.633941111,2.68904,2.744138889,2.799237778,2.854336667,2.909435556,2.964476667,3.019633333,3.681113333,4.342593333,4.755216978,5.383801077,6.012385176,6.58888185,7.540366667,7.540366667,7.540366667,7.540366667,7.540366667,7.540366667,7.540366667,7.540366667,7.540366667,7.540366667,7.540366667,7.540366667,7.540366667,7.540366667,7.540366667,7.540366667</t>
  </si>
  <si>
    <t>datastructure,WB.DATA360:DS_DATA360(1.3),I,A,COL,WB_WDI_ER_H2O_FWST_ZS,_T,_T,_T,PT_FRSH_WAT_RSC,_Z,_Z,_Z,_Z,RATIO,2,WB_WDI,P1Y,Level of water stress: freshwater withdrawal as a proportion of available freshwater resources,0,WB_WDI,PU,A,Annual,Colombia,Level of water stress: freshwater withdrawal as a proportion of available freshwater resources,Total,All age ranges or no breakdown by age,Total,Percentage of freshwater resources,Not Applicable,Not Applicable,Not Applicable,Not Applicable,Ratio,Two,World Development Indicators (WDI),Annual,Units,Normal value,Public,,,,,,,,,,,,,,,,,,,,,,,,,,,,,,,,,,,,,,,1.159580838,1.23488024,1.310067365,1.385310629,1.460553892,1.535797156,1.611040419,1.686283683,1.761976048,2.13333982,2.505751497,2.609832335,2.652199102,2.775103293,2.848212575,2.957020958,3.002875749,3.154613773,3.204803892,3.272073353,3.392555389,3.52426497,3.632281437</t>
  </si>
  <si>
    <t>datastructure,WB.DATA360:DS_DATA360(1.3),I,A,MKD,WB_WDI_ER_H2O_FWST_ZS,_T,_T,_T,PT_FRSH_WAT_RSC,_Z,_Z,_Z,_Z,RATIO,2,WB_WDI,P1Y,Level of water stress: freshwater withdrawal as a proportion of available freshwater resources,0,WB_WDI,PU,A,Annual,North Macedonia,Level of water stress: freshwater withdrawal as a proportion of available freshwater resources,Total,All age ranges or no breakdown by age,Total,Percentage of freshwater resources,Not Applicable,Not Applicable,Not Applicable,Not Applicable,Ratio,Two,World Development Indicators (WDI),Annual,Units,Normal value,Public,,,,,,,,,,,,,,,,,,,,,,,,,,,,,,,,,,,37.63310745,32.41166505,27.19022265,21.96878025,16.74733785,16.03581801,15.32429816,19.54824137,23.77218458,27.99612778,20.66795741,13.33978703,19.34051307,25.34123911,21.99903195,18.65682478,15.31461762,11.97241046,16.40225879,20.83210713,25.26195547,38.69232817,52.12270087,38.70232333,34.84632139,37.93296225,52.55324298</t>
  </si>
  <si>
    <t>datastructure,WB.DATA360:DS_DATA360(1.3),I,A,AGO,WB_WDI_ER_H2O_FWST_ZS,_T,_T,_T,PT_FRSH_WAT_RSC,_Z,_Z,_Z,_Z,RATIO,2,WB_WDI,P1Y,Level of water stress: freshwater withdrawal as a proportion of available freshwater resources,0,WB_WDI,PU,A,Annual,Angola,Level of water stress: freshwater withdrawal as a proportion of available freshwater resources,Total,All age ranges or no breakdown by age,Total,Percentage of freshwater resources,Not Applicable,Not Applicable,Not Applicable,Not Applicable,Ratio,Two,World Development Indicators (WDI),Annual,Units,Normal value,Public,,,,,,,,,,,,,,,,,,,,,,,,,,1.273209549,1.305937564,1.338665579,1.371393593,1.404121608,1.436849623,1.469577637,1.502305652,1.535033667,1.567761681,1.600489696,1.633217711,1.665945725,1.69867374,1.73331565,1.76795756,1.80259947,1.837241379,1.871883289,1.871883289,1.871883289,1.871883289,1.871883289,1.871883289,1.871883289,1.871883289,1.871883289,1.871883289,1.871883289,1.871883289,1.871883289,1.871883289,1.871883289,1.871883289,1.871883289,1.871883289</t>
  </si>
  <si>
    <t>datastructure,WB.DATA360:DS_DATA360(1.3),I,A,LVA,WB_WDI_ER_H2O_FWST_ZS,_T,_T,_T,PT_FRSH_WAT_RSC,_Z,_Z,_Z,_Z,RATIO,2,WB_WDI,P1Y,Level of water stress: freshwater withdrawal as a proportion of available freshwater resources,0,WB_WDI,PU,A,Annual,Latvia,Level of water stress: freshwater withdrawal as a proportion of available freshwater resources,Total,All age ranges or no breakdown by age,Total,Percentage of freshwater resources,Not Applicable,Not Applicable,Not Applicable,Not Applicable,Ratio,Two,World Development Indicators (WDI),Annual,Units,Normal value,Public,,,,,,,,,,,,,,,,,,,,,,,,,,,,,,,,,,2.393557258,2.257356119,2.121154979,1.98495384,1.848752701,1.712551562,1.576350422,1.440777843,1.396110784,1.351443724,1.306776665,1.262109605,1.217442546,1.348261638,2.327047731,1.621685327,2.175014732,1.462581025,1.390689452,0.992928698,1.041249263,1.095214302,1.067280854,1.080430171,1.052616382,1.067831467,1.086918091,1.015521509</t>
  </si>
  <si>
    <t>datastructure,WB.DATA360:DS_DATA360(1.3),I,A,KEN,WB_WDI_ER_H2O_FWST_ZS,_T,_T,_T,PT_FRSH_WAT_RSC,_Z,_Z,_Z,_Z,RATIO,2,WB_WDI,P1Y,Level of water stress: freshwater withdrawal as a proportion of available freshwater resources,0,WB_WDI,PU,A,Annual,Kenya,Level of water stress: freshwater withdrawal as a proportion of available freshwater resources,Total,All age ranges or no breakdown by age,Total,Percentage of freshwater resources,Not Applicable,Not Applicable,Not Applicable,Not Applicable,Ratio,Two,World Development Indicators (WDI),Annual,Units,Normal value,Public,,,,,,,,,,,,,,,,,,,,,,,,,,,,,16.8920033,16.48880715,16.08561101,15.68241486,15.27921872,14.87602258,14.47282643,14.06963029,13.66643414,13.263238,12.86004185,14.94873909,17.03743632,19.12613355,20.18372394,21.24131433,22.29890472,23.35649511,24.4140855,25.47167589,26.52926628,26.53256389,26.5358615,26.53915911,26.54245672,26.54575433,33.23990107,33.23990107,33.23990107,33.23990107,33.23990107,33.23990107,33.23990107</t>
  </si>
  <si>
    <t>datastructure,WB.DATA360:DS_DATA360(1.3),I,A,PSE,WB_WDI_ER_H2O_FWST_ZS,_T,_T,_T,PT_FRSH_WAT_RSC,_Z,_Z,_Z,_Z,RATIO,2,WB_WDI,P1Y,Level of water stress: freshwater withdrawal as a proportion of available freshwater resources,0,WB_WDI,PU,A,Annual,West Bank and Gaza,Level of water stress: freshwater withdrawal as a proportion of available freshwater resources,Total,All age ranges or no breakdown by age,Total,Percentage of freshwater resources,Not Applicable,Not Applicable,Not Applicable,Not Applicable,Ratio,Two,World Development Indicators (WDI),Annual,Units,Normal value,Public,,,,,,,,,,,,,,,,,,,,,,,,,,,,,,,,,,,,,,,40.0751200494,38.5750962773,46.1607949413,48.6259687158,54.3146484096,58.1942661532,56.2668188085,53.8567964627,51.4467741169,49.036751771,38.6250178291,38.0687491085,41.7344173442,43.1322207959,39.1527599487,41.5347311368,40.0228212808,41.0783055199,42.7471116816,47.0118385394,50.2638710598,47.7535301669,</t>
  </si>
  <si>
    <t>datastructure,WB.DATA360:DS_DATA360(1.3),I,A,SLV,WB_WDI_ER_H2O_FWST_ZS,_T,_T,_T,PT_FRSH_WAT_RSC,_Z,_Z,_Z,_Z,RATIO,2,WB_WDI,P1Y,Level of water stress: freshwater withdrawal as a proportion of available freshwater resources,0,WB_WDI,PU,A,Annual,El Salvador,Level of water stress: freshwater withdrawal as a proportion of available freshwater resources,Total,All age ranges or no breakdown by age,Total,Percentage of freshwater resources,Not Applicable,Not Applicable,Not Applicable,Not Applicable,Ratio,Two,World Development Indicators (WDI),Annual,Units,Normal value,Public,,,,,,,,,,,,,,,,,,,,,,,,,,,,,,,4.547099189,5.05154398,5.555988771,6.060433562,6.564878353,7.069323144,7.573767935,8.078212726,8.582657517,9.508671241,10.43468497,11.36069869,12.28621335,13.21272614,13.14686531,13.08100448,13.01514365,12.94928282,12.88342198,12.81756115,12.75170032,12.68583949,12.61997866,12.55411783,12.488257,12.42239617,12.35653534,12.29067451,12.22481368,12.15895285,12.09309202</t>
  </si>
  <si>
    <t>datastructure,WB.DATA360:DS_DATA360(1.3),I,A,SWE,WB_WDI_ER_H2O_FWST_ZS,_T,_T,_T,PT_FRSH_WAT_RSC,_Z,_Z,_Z,_Z,RATIO,2,WB_WDI,P1Y,Level of water stress: freshwater withdrawal as a proportion of available freshwater resources,0,WB_WDI,PU,A,Annual,Sweden,Level of water stress: freshwater withdrawal as a proportion of available freshwater resources,Total,All age ranges or no breakdown by age,Total,Percentage of freshwater resources,Not Applicable,Not Applicable,Not Applicable,Not Applicable,Ratio,Two,World Development Indicators (WDI),Annual,Units,Normal value,Public,,,,,,,,,5.877344877,5.895238095,5.913131313,5.931024531,5.948917749,5.966810967,5.958441558,5.95007215,5.941702742,5.933333333,5.924963925,5.597113997,5.269264069,4.941414141,4.613564214,4.285714286,4.286796537,4.287878788,4.288961039,4.29004329,4.282828283,4.286435786,4.29004329,4.170755171,4.051467052,3.932178932,3.922077922,3.911976912,3.900913901,3.88985089,3.878787879,3.861471862,3.861471862,3.83982684,3.818181818,3.796536797,3.795815296,3.795093795,3.823472824,3.851851852,3.88023088,3.78961039,3.698989899,3.608369408,3.517748918,3.427128427,3.458297258,3.48946609,3.520634921,3.551803752,3.582972583,3.582972583,3.582972583</t>
  </si>
  <si>
    <t>datastructure,WB.DATA360:DS_DATA360(1.3),I,A,PAK,WB_WDI_ER_H2O_FWST_ZS,_T,_T,_T,PT_FRSH_WAT_RSC,_Z,_Z,_Z,_Z,RATIO,2,WB_WDI,P1Y,Level of water stress: freshwater withdrawal as a proportion of available freshwater resources,0,WB_WDI,PU,A,Annual,Pakistan,Level of water stress: freshwater withdrawal as a proportion of available freshwater resources,Total,All age ranges or no breakdown by age,Total,Percentage of freshwater resources,Not Applicable,Not Applicable,Not Applicable,Not Applicable,Ratio,Two,World Development Indicators (WDI),Annual,Units,Normal value,Public,,,,,,,,,,,,,,94.08502546,94.17060303,94.2561806,94.34175817,94.42733575,94.51291332,94.59849089,94.68406846,94.76964603,94.85522361,94.94080118,95.02637875,95.11195632,95.19753389,95.28311147,95.36868904,95.45426661,96.61029657,97.76632654,98.9223565,100.0783865,101.2344164,102.3904464,103.5464764,104.7025063,105.8585363,106.641157,107.4237777,108.2063984,108.9890191,109.7716398,110.6941292,111.6166186,112.569781,112.3182627,113.6617385,110.1036746,115.2567327,112.569781,119.5448132,120.7962702,122.5507638,122.6734556,118.2381449,108.6497761,116.3057481,112.9746641,109.9932519</t>
  </si>
  <si>
    <t>datastructure,WB.DATA360:DS_DATA360(1.3),I,A,PRI,WB_WDI_ER_H2O_FWST_ZS,_T,_T,_T,PT_FRSH_WAT_RSC,_Z,_Z,_Z,_Z,RATIO,2,WB_WDI,P1Y,Level of water stress: freshwater withdrawal as a proportion of available freshwater resources,0,WB_WDI,PU,A,Annual,Puerto Rico,Level of water stress: freshwater withdrawal as a proportion of available freshwater resources,Total,All age ranges or no breakdown by age,Total,Percentage of freshwater resources,Not Applicable,Not Applicable,Not Applicable,Not Applicable,Ratio,Two,World Development Indicators (WDI),Annual,Units,Normal value,Public,,,,,,,,,,,,,,,,,,,,,,,,,,,,,17.80531369,17.93681625,18.06831882,18.19982139,18.33132396,18.46282652,18.59432909,18.72583166,18.85733423,18.98883679,19.12033936,19.75440947,20.38847957,21.02254968,21.65661978,22.29068989,22.37374414,22.45679839,22.53583389,22.6229069,22.70596115,22.06653271,21.43782094,20.80375084,20.16968073,19.53561063,19.53561063,19.53561063,19.53561063,19.53561063,19.53561063,19.53561063,19.53561063</t>
  </si>
  <si>
    <t>datastructure,WB.DATA360:DS_DATA360(1.3),I,A,MDV,WB_WDI_ER_H2O_FWST_ZS,_T,_T,_T,PT_FRSH_WAT_RSC,_Z,_Z,_Z,_Z,RATIO,2,WB_WDI,P1Y,Level of water stress: freshwater withdrawal as a proportion of available freshwater resources,0,WB_WDI,PU,A,Annual,Maldives,Level of water stress: freshwater withdrawal as a proportion of available freshwater resources,Total,All age ranges or no breakdown by age,Total,Percentage of freshwater resources,Not Applicable,Not Applicable,Not Applicable,Not Applicable,Ratio,Two,World Development Indicators (WDI),Annual,Units,Normal value,Public,,,,,,,,,,,,,,,,,,,,,,,,,,11.33333333,11.73015873,11.74603175,11.95238095,11.58730159,12.36507937,12.57142857,12.77777778,15.32051282,15.88141026,16.44230769,17.00320513,17.56410256,17.66666667,17.125,16.91666667,16.70833333,16.5,14.47619048,14.87301587,15.46031746,15.66666667,9.523809524,3.380952381,15.66666667,15.66666667,15.66666667,15.66666667,15.66666667,15.66666667,15.66666667,15.66666667,15.66666667,15.66666667,15.66666667,15.66666667</t>
  </si>
  <si>
    <t>datastructure,WB.DATA360:DS_DATA360(1.3),I,A,ROU,WB_WDI_ER_H2O_FWST_ZS,_T,_T,_T,PT_FRSH_WAT_RSC,_Z,_Z,_Z,_Z,RATIO,2,WB_WDI,P1Y,Level of water stress: freshwater withdrawal as a proportion of available freshwater resources,0,WB_WDI,PU,A,Annual,Romania,Level of water stress: freshwater withdrawal as a proportion of available freshwater resources,Total,All age ranges or no breakdown by age,Total,Percentage of freshwater resources,Not Applicable,Not Applicable,Not Applicable,Not Applicable,Ratio,Two,World Development Indicators (WDI),Annual,Units,Normal value,Public,,,,,,,,,8.97856006,9.879224792,10.77988952,11.68055426,12.58121899,13.48188372,14.30577661,15.12966951,15.9535624,16.77745529,17.60134819,17.91967044,18.2379927,18.55631495,18.87463721,19.19295946,19.17610711,19.15925475,19.1424024,19.12555004,19.10869769,18.96201979,18.81534188,18.66866398,16.82426739,14.9798708,13.32272259,11.66557438,11.94644696,11.84346035,9.034734575,8.480479356,8.634023032,7.965546297,6.669787473,5.720438161,4.99016946,6.445089411,6.759666698,6.437599476,5.822488531,6.171706769,6.068720157,6.008800674,5.881471772,6.052804045,5.967606029,6.341166557,6.00692819,6.547139781,6.924445277,7.362606498,7.63130793</t>
  </si>
  <si>
    <t>datastructure,WB.DATA360:DS_DATA360(1.3),I,A,MNG,WB_WDI_ER_H2O_FWST_ZS,_T,_T,_T,PT_FRSH_WAT_RSC,_Z,_Z,_Z,_Z,RATIO,2,WB_WDI,P1Y,Level of water stress: freshwater withdrawal as a proportion of available freshwater resources,0,WB_WDI,PU,A,Annual,Mongolia,Level of water stress: freshwater withdrawal as a proportion of available freshwater resources,Total,All age ranges or no breakdown by age,Total,Percentage of freshwater resources,Not Applicable,Not Applicable,Not Applicable,Not Applicable,Ratio,Two,World Development Indicators (WDI),Annual,Units,Normal value,Public,,,,,,,,,,,,,,,,,,,,,,,,,,,,,,,,3.142437592,3.205692985,3.268948379,3.332203773,3.395459166,3.45871456,3.521969954,3.585225347,3.648480741,3.711736135,3.774991528,3.838246922,3.753303965,3.964757709,3.991678904,4.018600098,4.045521292,3.896965247,3.748409202,3.599853157,3.451297112,3.302741067,3.154185022,3.395007342,3.395007342,3.395007342,3.395007342,3.395007342,3.395007342,3.395007342</t>
  </si>
  <si>
    <t>datastructure,WB.DATA360:DS_DATA360(1.3),I,A,LTU,WB_WDI_ER_H2O_FWST_ZS,_T,_T,_T,PT_FRSH_WAT_RSC,_Z,_Z,_Z,_Z,RATIO,2,WB_WDI,P1Y,Level of water stress: freshwater withdrawal as a proportion of available freshwater resources,0,WB_WDI,PU,A,Annual,Lithuania,Level of water stress: freshwater withdrawal as a proportion of available freshwater resources,Total,All age ranges or no breakdown by age,Total,Percentage of freshwater resources,Not Applicable,Not Applicable,Not Applicable,Not Applicable,Ratio,Two,World Development Indicators (WDI),Annual,Units,Normal value,Public,,,,,,,,,,,,,,,,,,,,,,,,,,,,,,,,,,31.34246575,29.44484499,27.54722422,25.64960346,23.7519827,21.85436193,19.95674117,19.222062,18.48738284,17.75270368,17.01802451,16.6705119,16.32299928,13.37130497,10.41961067,7.467916366,4.516222062,3.870223504,3.224224946,2.578226388,2.752703677,2.219899063,1.867339582,1.834102379,2.363266042,2.892429704,2.558255227,2.165537131</t>
  </si>
  <si>
    <t>datastructure,WB.DATA360:DS_DATA360(1.3),I,A,SGP,WB_WDI_ER_H2O_FWST_ZS,_T,_T,_T,PT_FRSH_WAT_RSC,_Z,_Z,_Z,_Z,RATIO,2,WB_WDI,P1Y,Level of water stress: freshwater withdrawal as a proportion of available freshwater resources,0,WB_WDI,PU,A,Annual,Singapore,Level of water stress: freshwater withdrawal as a proportion of available freshwater resources,Total,All age ranges or no breakdown by age,Total,Percentage of freshwater resources,Not Applicable,Not Applicable,Not Applicable,Not Applicable,Ratio,Two,World Development Indicators (WDI),Annual,Units,Normal value,Public,,,,,,,,,,,,,,31.66666667,43.00375,54.34083333,65.67791667,77.015,88.35208333,99.68916667,111.02625,122.3633333,133.7004167,145.0375,156.3745833,167.7116667,179.04875,190.3858333,200.5229167,211.86,223.1970833,234.5341667,245.87125,257.2083333,268.5454167,279.8825,291.2195833,302.5566667,313.89375,328.2361667,338.24525,352.521,366.79675,377.5169444,346.2891389,315.0613333,284.45575,252.1835,219.91125,187.639,160.0334167,132.4278333,108.5055833,84.58333333,84.96666667,83.21666667,81.38333333,82.16666667,83.11666667,58.18594467,33.25522267</t>
  </si>
  <si>
    <t>datastructure,WB.DATA360:DS_DATA360(1.3),I,A,VCT,WB_WDI_ER_H2O_FWST_ZS,_T,_T,_T,PT_FRSH_WAT_RSC,_Z,_Z,_Z,_Z,RATIO,2,WB_WDI,P1Y,Level of water stress: freshwater withdrawal as a proportion of available freshwater resources,0,WB_WDI,PU,A,Annual,St. Vincent and the Grenadines,Level of water stress: freshwater withdrawal as a proportion of available freshwater resources,Total,All age ranges or no breakdown by age,Total,Percentage of freshwater resources,Not Applicable,Not Applicable,Not Applicable,Not Applicable,Ratio,Two,World Development Indicators (WDI),Annual,Units,Normal value,Public,,,,,,,,,,,,,,,,,,,,,,,,,,,,,,,,,,10.0,9.95,9.9,9.85,9.8,9.75,9.7,9.417444444,9.334222222,9.251,9.5,9.3,9.1,8.9,8.7,8.5,8.3,8.1,7.9,7.9,7.9,7.9,7.9,7.9,7.9,7.9,7.9,7.9</t>
  </si>
  <si>
    <t>datastructure,WB.DATA360:DS_DATA360(1.3),I,A,PHL,WB_WDI_ER_H2O_FWST_ZS,_T,_T,_T,PT_FRSH_WAT_RSC,_Z,_Z,_Z,_Z,RATIO,2,WB_WDI,P1Y,Level of water stress: freshwater withdrawal as a proportion of available freshwater resources,0,WB_WDI,PU,A,Annual,Philippines,Level of water stress: freshwater withdrawal as a proportion of available freshwater resources,Total,All age ranges or no breakdown by age,Total,Percentage of freshwater resources,Not Applicable,Not Applicable,Not Applicable,Not Applicable,Ratio,Two,World Development Indicators (WDI),Annual,Units,Normal value,Public,,,,,,,,,,,,,,,,,,,,,,,,,,,,,,,,,,,,,,,,,,,,,24.11800673,24.91470498,25.21828187,24.933048,25.45796393,25.69825741,25.75603791,25.81687557,25.81228982,26.41302354,26.63252828,28.06214613,28.17420079,26.28997676,26.74328009,27.20891578,27.83151711</t>
  </si>
  <si>
    <t>datastructure,WB.DATA360:DS_DATA360(1.3),I,A,ZAF,WB_WDI_ER_H2O_FWST_ZS,_T,_T,_T,PT_FRSH_WAT_RSC,_Z,_Z,_Z,_Z,RATIO,2,WB_WDI,P1Y,Level of water stress: freshwater withdrawal as a proportion of available freshwater resources,0,WB_WDI,PU,A,Annual,South Africa,Level of water stress: freshwater withdrawal as a proportion of available freshwater resources,Total,All age ranges or no breakdown by age,Total,Percentage of freshwater resources,Not Applicable,Not Applicable,Not Applicable,Not Applicable,Ratio,Two,World Development Indicators (WDI),Annual,Units,Normal value,Public,,,,,,,,,,,,,,,,,,,,,,,,,,,,,42.5584374,42.29779059,42.03714377,41.77649696,41.51585014,41.25520333,41.18475825,41.11431316,41.04386808,40.97342299,40.77169388,41.45323776,42.13478164,42.81632553,43.49786941,44.17941329,44.86095717,45.54250105,46.22404493,46.90558881,47.58713269,48.26867657,48.95022045,45.74447646,52.74735831,59.75024015,60.96701889,62.05571566,62.88824848,64.04098623,65.03362152,66.89081012,67.59526097</t>
  </si>
  <si>
    <t>datastructure,WB.DATA360:DS_DATA360(1.3),I,A,KNA,WB_WDI_ER_H2O_FWST_ZS,_T,_T,_T,PT_FRSH_WAT_RSC,_Z,_Z,_Z,_Z,RATIO,2,WB_WDI,P1Y,Level of water stress: freshwater withdrawal as a proportion of available freshwater resources,0,WB_WDI,PU,A,Annual,St. Kitts and Nevis,Level of water stress: freshwater withdrawal as a proportion of available freshwater resources,Total,All age ranges or no breakdown by age,Total,Percentage of freshwater resources,Not Applicable,Not Applicable,Not Applicable,Not Applicable,Ratio,Two,World Development Indicators (WDI),Annual,Units,Normal value,Public,,,,,,,,,,,,,,,,,,,,,,,,,,,,,,,,,,,,,,,,,,,,,,,,,,,50.83333333,50.83333333,50.83333333,50.83333333,50.83333333,50.83333333,50.83333333,50.83333333,50.83333333,50.83333333,50.83333333</t>
  </si>
  <si>
    <t>datastructure,WB.DATA360:DS_DATA360(1.3),I,A,JOR,WB_WDI_ER_H2O_FWST_ZS,_T,_T,_T,PT_FRSH_WAT_RSC,_Z,_Z,_Z,_Z,RATIO,2,WB_WDI,P1Y,Level of water stress: freshwater withdrawal as a proportion of available freshwater resources,0,WB_WDI,PU,A,Annual,Jordan,Level of water stress: freshwater withdrawal as a proportion of available freshwater resources,Total,All age ranges or no breakdown by age,Total,Percentage of freshwater resources,Not Applicable,Not Applicable,Not Applicable,Not Applicable,Ratio,Two,World Development Indicators (WDI),Annual,Units,Normal value,Public,,,,,,,,,,,,,,49.95016059,51.81083176,53.67150294,55.53217411,57.39284528,59.25351645,61.11418762,62.97485879,64.83552996,66.69620113,68.5568723,74.38254513,80.20821796,86.0338908,91.85956363,92.47978735,98.0807873,103.6817873,101.100818,98.66936696,96.23791592,93.80646488,91.37501384,88.95780264,85.76531177,82.57282091,77.3183235,81.81019888,82.31492176,88.91112764,95.93531953,101.5616347,103.2229483,102.7799313,95.58090597,98.90353306,88.16037213,94.03034666,99.78956695,107.4094584,96.156828,100.077528,100.4430169,102.2261602,104.31277,106.0493964,102.5163362,105.2021265</t>
  </si>
  <si>
    <t>datastructure,WB.DATA360:DS_DATA360(1.3),I,A,MEX,WB_WDI_ER_H2O_FWST_ZS,_T,_T,_T,PT_FRSH_WAT_RSC,_Z,_Z,_Z,_Z,RATIO,2,WB_WDI,P1Y,Level of water stress: freshwater withdrawal as a proportion of available freshwater resources,0,WB_WDI,PU,A,Annual,Mexico,Level of water stress: freshwater withdrawal as a proportion of available freshwater resources,Total,All age ranges or no breakdown by age,Total,Percentage of freshwater resources,Not Applicable,Not Applicable,Not Applicable,Not Applicable,Ratio,Two,World Development Indicators (WDI),Annual,Units,Normal value,Public,,,,,,,,,,,,,,,,,,,20.99494351,21.22377709,21.45261066,21.68144424,21.91027782,22.1391114,22.36794497,22.59677855,22.82561213,23.0544457,23.28327928,23.51211286,23.74094644,23.96978001,24.19861359,24.42744717,24.65628075,24.88511432,25.1139479,25.34278148,25.57161506,25.80044863,27.12050055,28.02076613,28.20832145,28.58343211,28.88352064,29.50245322,29.92666587,29.92632827,29.87006167,29.81379507,31.03290471,30.6277852,31.85814815,32.13197893,32.47595541,32.94972017,44.46268418,44.71842969,44.81702434,45.01521461,44.94514734</t>
  </si>
  <si>
    <t>datastructure,WB.DATA360:DS_DATA360(1.3),I,A,PNG,WB_WDI_ER_H2O_FWST_ZS,_T,_T,_T,PT_FRSH_WAT_RSC,_Z,_Z,_Z,_Z,RATIO,2,WB_WDI,P1Y,Level of water stress: freshwater withdrawal as a proportion of available freshwater resources,0,WB_WDI,PU,A,Annual,Papua New Guinea,Level of water stress: freshwater withdrawal as a proportion of available freshwater resources,Total,All age ranges or no breakdown by age,Total,Percentage of freshwater resources,Not Applicable,Not Applicable,Not Applicable,Not Applicable,Ratio,Two,World Development Indicators (WDI),Annual,Units,Normal value,Public,,,,,,,,,,,,,,,,,,,,,,,,,,,,,,,,,,,,,,,0.09153457,0.099676223,0.107817875,0.115959528,0.12410118,0.132242833,0.132242833,0.132242833,0.132242833,0.132242833,0.132242833,0.132242833,0.132242833,0.132242833,0.132242833,0.132242833,0.132242833,0.132242833,0.132242833,0.132242833,0.132242833,0.132242833,0.132242833</t>
  </si>
  <si>
    <t>datastructure,WB.DATA360:DS_DATA360(1.3),I,A,RUS,WB_WDI_ER_H2O_FWST_ZS,_T,_T,_T,PT_FRSH_WAT_RSC,_Z,_Z,_Z,_Z,RATIO,2,WB_WDI,P1Y,Level of water stress: freshwater withdrawal as a proportion of available freshwater resources,0,WB_WDI,PU,A,Annual,Russian Federation,Level of water stress: freshwater withdrawal as a proportion of available freshwater resources,Total,All age ranges or no breakdown by age,Total,Percentage of freshwater resources,Not Applicable,Not Applicable,Not Applicable,Not Applicable,Ratio,Two,World Development Indicators (WDI),Annual,Units,Normal value,Public,,,,,,,,,,,,,,,,,,,,,,,,,,,,,,,6.334084817,5.61863849,4.903192163,4.805649195,4.708106226,4.610563258,4.51302029,4.415477322,4.826877888,4.210004166,4.182446233,4.1548883,4.127330368,4.407149376,4.072214503,4.04465657,4.017098637,3.989540705,4.432587467,3.934424839,4.070094662,3.879308974,4.503178172,3.970886104,4.120334893,4.096168705,4.122242749,4.122242749,4.122242749,4.122242749,4.122242749</t>
  </si>
  <si>
    <t>datastructure,WB.DATA360:DS_DATA360(1.3),I,A,ESP,WB_WDI_ER_H2O_FWST_ZS,_T,_T,_T,PT_FRSH_WAT_RSC,_Z,_Z,_Z,_Z,RATIO,2,WB_WDI,P1Y,Level of water stress: freshwater withdrawal as a proportion of available freshwater resources,0,WB_WDI,PU,A,Annual,Spain,Level of water stress: freshwater withdrawal as a proportion of available freshwater resources,Total,All age ranges or no breakdown by age,Total,Percentage of freshwater resources,Not Applicable,Not Applicable,Not Applicable,Not Applicable,Ratio,Two,World Development Indicators (WDI),Annual,Units,Normal value,Public,,,,,,,,,,,,,,49.18882072,50.23585549,51.28289025,52.32992502,53.37695978,54.42399455,55.87730061,57.33060668,58.78391275,60.23721881,61.69052488,62.51124744,60.04308112,57.57491479,55.10674847,52.63858214,50.17041581,49.64780732,49.12519882,48.60259032,48.07998182,47.55737332,47.03476483,47.76414451,48.4935242,49.22290389,48.81526926,48.40763463,49.28470802,50.16178141,51.03885481,49.36128153,47.68370825,47.40831629,49.24335378,47.73142468,47.81186094,49.57873211,44.10361282,44.79754601,42.96387185,42.56441718,41.02794819,40.09406953,39.82890252,43.25403923,43.25403923,43.25403923</t>
  </si>
  <si>
    <t>datastructure,WB.DATA360:DS_DATA360(1.3),I,A,MRT,WB_WDI_ER_H2O_FWST_ZS,_T,_T,_T,PT_FRSH_WAT_RSC,_Z,_Z,_Z,_Z,RATIO,2,WB_WDI,P1Y,Level of water stress: freshwater withdrawal as a proportion of available freshwater resources,0,WB_WDI,PU,A,Annual,Mauritania,Level of water stress: freshwater withdrawal as a proportion of available freshwater resources,Total,All age ranges or no breakdown by age,Total,Percentage of freshwater resources,Not Applicable,Not Applicable,Not Applicable,Not Applicable,Ratio,Two,World Development Indicators (WDI),Annual,Units,Normal value,Public,,,,,,,,,,,,,,,,,,,7.172332482,8.937070151,10.70180782,12.46654549,14.23128316,15.99602083,15.9784175,15.96081417,15.94321085,15.92560752,15.88835397,15.87075064,15.85314731,15.83554398,15.81794066,15.80033733,15.782734,15.76513067,15.74752735,15.72992402,15.71232069,15.0830222,14.45372372,13.82442523,13.19512674,13.24621733,13.24621733,13.24621733,13.24621733,13.24621733,13.24621733,13.24621733,13.24621733,13.24621733,13.24621733,13.24621733,13.24621733,13.24621733,13.24621733,13.24621733,13.24621733,13.24621733,13.24621733</t>
  </si>
  <si>
    <t>datastructure,WB.DATA360:DS_DATA360(1.3),I,A,KHM,WB_WDI_ER_H2O_FWST_ZS,_T,_T,_T,PT_FRSH_WAT_RSC,_Z,_Z,_Z,_Z,RATIO,2,WB_WDI,P1Y,Level of water stress: freshwater withdrawal as a proportion of available freshwater resources,0,WB_WDI,PU,A,Annual,Cambodia,Level of water stress: freshwater withdrawal as a proportion of available freshwater resources,Total,All age ranges or no breakdown by age,Total,Percentage of freshwater resources,Not Applicable,Not Applicable,Not Applicable,Not Applicable,Ratio,Two,World Development Indicators (WDI),Annual,Units,Normal value,Public,,,,,,,,,,,,,,,,,,,,,,,,,,,,,,,,,,,,,,,,,,,,,1.036544851,1.036544851,1.036544851,1.036544851,1.036544851,1.036544851,1.036544851,1.036544851,1.036544851,1.036544851,1.036544851,1.036544851,1.036544851,1.036544851,1.036544851,1.036544851,1.036544851</t>
  </si>
  <si>
    <t>datastructure,WB.DATA360:DS_DATA360(1.3),I,A,LAO,WB_WDI_ER_H2O_FWST_ZS,_T,_T,_T,PT_FRSH_WAT_RSC,_Z,_Z,_Z,_Z,RATIO,2,WB_WDI,P1Y,Level of water stress: freshwater withdrawal as a proportion of available freshwater resources,0,WB_WDI,PU,A,Annual,Lao PDR,Level of water stress: freshwater withdrawal as a proportion of available freshwater resources,Total,All age ranges or no breakdown by age,Total,Percentage of freshwater resources,Not Applicable,Not Applicable,Not Applicable,Not Applicable,Ratio,Two,World Development Indicators (WDI),Annual,Units,Normal value,Public,,,,,,,,,,,,,,,,,,,,,,,,,,,,,,,,,,,,,,,,,,,,2.277053455,2.572359844,2.867666232,3.162972621,3.458279009,3.753585398,4.048891786,4.344198175,4.639504563,4.934810952,5.117340287,4.993481095,4.771838331,4.771838331,4.791395046,4.791395046,4.791395046,4.791395046</t>
  </si>
  <si>
    <t>datastructure,WB.DATA360:DS_DATA360(1.3),I,A,LBN,WB_WDI_ER_H2O_FWST_ZS,_T,_T,_T,PT_FRSH_WAT_RSC,_Z,_Z,_Z,_Z,RATIO,2,WB_WDI,P1Y,Level of water stress: freshwater withdrawal as a proportion of available freshwater resources,0,WB_WDI,PU,A,Annual,Lebanon,Level of water stress: freshwater withdrawal as a proportion of available freshwater resources,Total,All age ranges or no breakdown by age,Total,Percentage of freshwater resources,Not Applicable,Not Applicable,Not Applicable,Not Applicable,Ratio,Two,World Development Indicators (WDI),Annual,Units,Normal value,Public,,,,,,,,,,,,,,24.36729397,25.29287202,26.21161925,27.14402814,28.05594453,28.99518426,29.90026982,30.84634038,31.77191844,32.6974965,33.62307456,34.54865262,35.47423068,36.39980874,37.3253868,38.25096486,39.11164999,40.04405888,40.96280611,41.88838417,42.64546831,43.40255246,44.1596366,44.91672074,45.67380489,41.07722258,40.27903958,39.48085659,38.68267359,37.88449059,35.56132382,37.88449059,40.20765737,42.53082414,44.85399092,47.17715769,49.50032446,51.82349124,54.14665801,56.46982479,58.79299156,58.79299156,58.79299156,58.79299156,58.79299156,58.79299156,58.79299156,58.79299156</t>
  </si>
  <si>
    <t>datastructure,WB.DATA360:DS_DATA360(1.3),I,A,CIV,WB_WDI_ER_H2O_FWST_ZS,_T,_T,_T,PT_FRSH_WAT_RSC,_Z,_Z,_Z,_Z,RATIO,2,WB_WDI,P1Y,Level of water stress: freshwater withdrawal as a proportion of available freshwater resources,0,WB_WDI,PU,A,Annual,CÃ´te dâ€™Ivoire,Level of water stress: freshwater withdrawal as a proportion of available freshwater resources,Total,All age ranges or no breakdown by age,Total,Percentage of freshwater resources,Not Applicable,Not Applicable,Not Applicable,Not Applicable,Ratio,Two,World Development Indicators (WDI),Annual,Units,Normal value,Public,,,,,,,,,,,,,,,,,,,,,,,,,,3.104203152,3.674839463,4.245475774,4.816112084,4.960595447,5.105078809,5.249562172,5.394045534,5.523058961,5.652072388,5.781085814,5.910099241,6.039112668,6.168126095,6.291068301,6.414010508,6.536952715,6.659894921,6.782837128,6.594473633,6.401537264,6.210887332,6.023667056,5.83644678,5.649226503,5.464292664,5.275929169,5.087565674,5.087565674,5.087565674,5.087565674,5.087565674,5.087565674,5.087565674,5.087565674,5.087565674</t>
  </si>
  <si>
    <t>datastructure,WB.DATA360:DS_DATA360(1.3),I,A,PER,WB_WDI_ER_H2O_FWST_ZS,_T,_T,_T,PT_FRSH_WAT_RSC,_Z,_Z,_Z,_Z,RATIO,2,WB_WDI,P1Y,Level of water stress: freshwater withdrawal as a proportion of available freshwater resources,0,WB_WDI,PU,A,Annual,Peru,Level of water stress: freshwater withdrawal as a proportion of available freshwater resources,Total,All age ranges or no breakdown by age,Total,Percentage of freshwater resources,Not Applicable,Not Applicable,Not Applicable,Not Applicable,Ratio,Two,World Development Indicators (WDI),Annual,Units,Normal value,Public,,,,,,,,,,,,,,,,,,,,,,,,,,,,,,,,,,,,,,,,,,,,,,,2.527011923,2.969578987,3.412146051,3.854713115,4.297280179,4.739847243,5.182414307,5.624981371,6.067548435,6.510115499,6.952682563,7.181445604,7.181445604,4.576564829,4.82842772</t>
  </si>
  <si>
    <t>datastructure,WB.DATA360:DS_DATA360(1.3),I,A,BRB,WB_WDI_ER_H2O_FWST_ZS,_T,_T,_T,PT_FRSH_WAT_RSC,_Z,_Z,_Z,_Z,RATIO,2,WB_WDI,P1Y,Level of water stress: freshwater withdrawal as a proportion of available freshwater resources,0,WB_WDI,PU,A,Annual,Barbados,Level of water stress: freshwater withdrawal as a proportion of available freshwater resources,Total,All age ranges or no breakdown by age,Total,Percentage of freshwater resources,Not Applicable,Not Applicable,Not Applicable,Not Applicable,Ratio,Two,World Development Indicators (WDI),Annual,Units,Normal value,Public,37.5,39.375,41.25,43.125,45.0,46.875,48.75,50.625,52.5,54.375,56.25,58.125,60.0,61.875,63.75,65.625,67.5,69.375,71.25,73.125,75.0,76.875,78.75,80.625,82.5,84.375,86.25,88.125,90.0,91.875,93.75,95.625,97.5,99.375,101.25,101.25,101.25,101.25,101.25,101.25,101.25,101.25,101.25,87.5,87.5,87.5,87.5,87.5,87.5,87.5,87.5,87.5,87.5,87.5,87.5,87.5,87.5,87.5,87.5,87.5,87.5</t>
  </si>
  <si>
    <t>datastructure,WB.DATA360:DS_DATA360(1.3),I,A,HTI,WB_WDI_ER_H2O_FWST_ZS,_T,_T,_T,PT_FRSH_WAT_RSC,_Z,_Z,_Z,_Z,RATIO,2,WB_WDI,P1Y,Level of water stress: freshwater withdrawal as a proportion of available freshwater resources,0,WB_WDI,PU,A,Annual,Haiti,Level of water stress: freshwater withdrawal as a proportion of available freshwater resources,Total,All age ranges or no breakdown by age,Total,Percentage of freshwater resources,Not Applicable,Not Applicable,Not Applicable,Not Applicable,Ratio,Two,World Development Indicators (WDI),Annual,Units,Normal value,Public,,,,,,,,,,,,,,,,,,,,,,,,,,,,,,9.044674174,9.747784752,10.45089533,11.15400591,11.85711649,11.96616472,12.07521295,12.18426119,12.29330942,12.40235766,12.51140589,12.62045413,12.72950236,12.83855059,12.94759883,13.05664706,13.1656953,13.27474353,13.38379177,13.38379177,13.38379177,13.38379177,13.38379177,13.38379177,13.38379177,13.38379177,13.38379177,13.38379177,13.38379177,13.38379177,13.38379177,13.38379177</t>
  </si>
  <si>
    <t>datastructure,WB.DATA360:DS_DATA360(1.3),I,A,ISR,WB_WDI_ER_H2O_FWST_ZS,_T,_T,_T,PT_FRSH_WAT_RSC,_Z,_Z,_Z,_Z,RATIO,2,WB_WDI,P1Y,Level of water stress: freshwater withdrawal as a proportion of available freshwater resources,0,WB_WDI,PU,A,Annual,Israel,Level of water stress: freshwater withdrawal as a proportion of available freshwater resources,Total,All age ranges or no breakdown by age,Total,Percentage of freshwater resources,Not Applicable,Not Applicable,Not Applicable,Not Applicable,Ratio,Two,World Development Indicators (WDI),Annual,Units,Normal value,Public,,,,,,,,,133.157190924,134.2075748426,135.1220774739,136.0365801053,136.9510827366,137.865585368,138.7800879993,139.6945906307,140.609093262,141.3941851436,142.1792770253,144.8451384695,147.5109999137,149.4147758318,151.3185517499,153.222327668,152.2301785868,146.3204210163,143.6459321888,140.9714433612,135.6569752394,134.7597273747,133.86247951,132.9652316452,132.0679837805,132.2060219136,133.6036580105,135.0012941075,136.3989302045,137.7965663014,139.1942023984,136.1789319299,133.1636614615,148.3909930118,122.4225692348,121.2866304317,120.1506916286,119.0147528255,117.8788140224,116.7428752193,115.6069364162,112.2595116901,108.912086964,105.5128979381,102.1482184453,98.8698127858,103.4423259425,103.6148736088,95.9365024588,100.4227417824,110.0854110948,131.998964714,</t>
  </si>
  <si>
    <t>datastructure,WB.DATA360:DS_DATA360(1.3),I,A,STP,WB_WDI_ER_H2O_FWST_ZS,_T,_T,_T,PT_FRSH_WAT_RSC,_Z,_Z,_Z,_Z,RATIO,2,WB_WDI,P1Y,Level of water stress: freshwater withdrawal as a proportion of available freshwater resources,0,WB_WDI,PU,A,Annual,SÃ£o TomÃ© and PrÃ­ncipe,Level of water stress: freshwater withdrawal as a proportion of available freshwater resources,Total,All age ranges or no breakdown by age,Total,Percentage of freshwater resources,Not Applicable,Not Applicable,Not Applicable,Not Applicable,Ratio,Two,World Development Indicators (WDI),Annual,Units,Normal value,Public,,,,,,,,,,,,,,,,,,,,,,,,,,,,,,,,0.321100917,0.388711608,0.456322298,0.523932988,0.591543678,0.659154368,0.726765058,0.794375748,0.861986438,0.929597128,0.997207818,1.064818508,1.132429198,1.200039888,1.267650578,1.335261268,1.402871959,1.470482649,1.538093339,1.605704029,1.673314719,1.740925409,1.808536099,1.876146789,1.876146789,1.876146789,1.876146789,1.876146789,1.876146789,1.876146789</t>
  </si>
  <si>
    <t>datastructure,WB.DATA360:DS_DATA360(1.3),I,A,GUY,WB_WDI_ER_H2O_FWST_ZS,_T,_T,_T,PT_FRSH_WAT_RSC,_Z,_Z,_Z,_Z,RATIO,2,WB_WDI,P1Y,Level of water stress: freshwater withdrawal as a proportion of available freshwater resources,0,WB_WDI,PU,A,Annual,Guyana,Level of water stress: freshwater withdrawal as a proportion of available freshwater resources,Total,All age ranges or no breakdown by age,Total,Percentage of freshwater resources,Not Applicable,Not Applicable,Not Applicable,Not Applicable,Ratio,Two,World Development Indicators (WDI),Annual,Units,Normal value,Public,,,,,,,,,,,,,,,,,,,,,,,,,,,,,,,3.333333333,3.384703196,3.436073059,3.487442922,3.538812785,3.590182648,3.641552511,3.692922374,3.744292237,3.709223744,3.674155251,3.639086758,3.604018265,3.568949772,3.514840183,3.460730594,3.406621005,3.352511416,3.298401827,3.298401827,3.298401827,3.298401827,3.298401827,3.298401827,3.298401827,3.298401827,3.298401827,3.298401827,3.298401827,3.298401827,3.298401827</t>
  </si>
  <si>
    <t>datastructure,WB.DATA360:DS_DATA360(1.3),I,A,ERI,WB_WDI_ER_H2O_FWST_ZS,_T,_T,_T,PT_FRSH_WAT_RSC,_Z,_Z,_Z,_Z,RATIO,2,WB_WDI,P1Y,Level of water stress: freshwater withdrawal as a proportion of available freshwater resources,0,WB_WDI,PU,A,Annual,Eritrea,Level of water stress: freshwater withdrawal as a proportion of available freshwater resources,Total,All age ranges or no breakdown by age,Total,Percentage of freshwater resources,Not Applicable,Not Applicable,Not Applicable,Not Applicable,Ratio,Two,World Development Indicators (WDI),Annual,Units,Normal value,Public,,,,,,,,,,,,,,,,,,,,,,,,,,,,,,,,,,,,,,,7.937788018,8.747119816,9.556451613,10.36578341,11.17511521,11.17511521,11.17511521,11.17511521,11.17511521,11.17511521,11.17511521,11.17511521,11.17511521,11.17511521,11.17511521,11.17511521,11.17511521,11.17511521,11.17511521,11.17511521,11.17511521,11.17511521,11.17511521</t>
  </si>
  <si>
    <t>datastructure,WB.DATA360:DS_DATA360(1.3),I,A,NLD,WB_WDI_ER_H2O_FWST_ZS,_T,_T,_T,PT_FRSH_WAT_RSC,_Z,_Z,_Z,_Z,RATIO,2,WB_WDI,P1Y,Level of water stress: freshwater withdrawal as a proportion of available freshwater resources,0,WB_WDI,PU,A,Annual,Netherlands,Level of water stress: freshwater withdrawal as a proportion of available freshwater resources,Total,All age ranges or no breakdown by age,Total,Percentage of freshwater resources,Not Applicable,Not Applicable,Not Applicable,Not Applicable,Ratio,Two,World Development Indicators (WDI),Annual,Units,Normal value,Public,,,,,,,,,,,,,,,,,,,17.46345168,17.52078982,17.57812797,17.63546611,17.69280425,17.7501424,17.23144105,16.7127397,16.19403835,15.675337,15.15663566,15.15663566,14.5961648,14.03569394,13.47522309,12.91475223,12.35428137,13.26846402,14.18264667,15.09682931,16.01101196,16.92519461,18.17652364,19.42785267,20.6791817,21.93051073,21.3521929,20.77387507,20.33415607,21.66318587,20.75185115,19.34687678,20.34611733,20.20125309,18.01784697,15.96924245,15.23333966,15.02980824,16.36698361,17.00060692,16.80356059,16.07566255,16.65850698</t>
  </si>
  <si>
    <t>datastructure,WB.DATA360:DS_DATA360(1.3),I,A,BHR,WB_WDI_ER_H2O_FWST_ZS,_T,_T,_T,PT_FRSH_WAT_RSC,_Z,_Z,_Z,_Z,RATIO,2,WB_WDI,P1Y,Level of water stress: freshwater withdrawal as a proportion of available freshwater resources,0,WB_WDI,PU,A,Annual,Bahrain,Level of water stress: freshwater withdrawal as a proportion of available freshwater resources,Total,All age ranges or no breakdown by age,Total,Percentage of freshwater resources,Not Applicable,Not Applicable,Not Applicable,Not Applicable,Ratio,Two,World Development Indicators (WDI),Annual,Units,Normal value,Public,,,,,,,,,,,,,,,,,,,,,,,,,,,,,168.0172414,170.9217507,179.109748,187.8348806,196.5600133,205.2851459,214.0102785,222.7354111,231.4605438,240.1856764,248.910809,234.7623784,220.6139478,205.7758621,201.1050157,196.4341693,191.7633229,187.0924765,182.4216301,177.7507837,173.0799373,168.4090909,163.7382445,159.0673981,154.3965517,137.1551724,133.7068966,133.7068966,133.7068966,133.7068966,133.7068966,133.7068966,133.7068966</t>
  </si>
  <si>
    <t>datastructure,WB.DATA360:DS_DATA360(1.3),I,A,GBR,WB_WDI_ER_H2O_FWST_ZS,_T,_T,_T,PT_FRSH_WAT_RSC,_Z,_Z,_Z,_Z,RATIO,2,WB_WDI,P1Y,Level of water stress: freshwater withdrawal as a proportion of available freshwater resources,0,WB_WDI,PU,A,Annual,United Kingdom,Level of water stress: freshwater withdrawal as a proportion of available freshwater resources,Total,All age ranges or no breakdown by age,Total,Percentage of freshwater resources,Not Applicable,Not Applicable,Not Applicable,Not Applicable,Ratio,Two,World Development Indicators (WDI),Annual,Units,Normal value,Public,,,,,,,,,,,,,,,,,,,22.98380222,22.3086104,21.63341858,20.95822677,20.28303495,19.60784314,19.78516624,19.96248934,20.13981245,20.31713555,20.49445865,20.51832907,20.54219949,20.56606991,20.58994032,20.61381074,20.74815159,20.88249244,21.01683329,21.15117415,21.285515,21.41985585,21.5541967,21.68853755,21.8228784,21.95721925,22.0915601,14.51491901,14.23188406,14.11935209,14.09036658,13.10315431,13.66922421,13.04518329,12.42114237,13.91304348,14.35464621,14.35464621,14.35464621,14.35464621,14.35464621,14.35464621,14.35464621</t>
  </si>
  <si>
    <t>datastructure,WB.DATA360:DS_DATA360(1.3),I,A,UKR,WB_WDI_ER_H2O_FWST_ZS,_T,_T,_T,PT_FRSH_WAT_RSC,_Z,_Z,_Z,_Z,RATIO,2,WB_WDI,P1Y,Level of water stress: freshwater withdrawal as a proportion of available freshwater resources,0,WB_WDI,PU,A,Annual,Ukraine,Level of water stress: freshwater withdrawal as a proportion of available freshwater resources,Total,All age ranges or no breakdown by age,Total,Percentage of freshwater resources,Not Applicable,Not Applicable,Not Applicable,Not Applicable,Ratio,Two,World Development Indicators (WDI),Annual,Units,Normal value,Public,,,,,,,,,,,,,,,,,,,,,,,,,,,,,,,33.6874838,32.43975123,31.18942731,29.93910339,28.68877948,27.43845556,26.18813164,24.93780772,23.68489246,22.85851257,22.02954133,21.2005701,20.37159886,19.53874061,19.48121275,19.41953874,19.358383,19.29696813,19.24073594,17.96093548,16.68113501,15.40133454,14.12153408,11.80228038,12.08214563,13.87017362,13.87017362,13.72894532,12.25576574,10.84102099,6.298134232</t>
  </si>
  <si>
    <t>datastructure,WB.DATA360:DS_DATA360(1.3),I,A,BLZ,WB_WDI_ER_H2O_FWST_ZS,_T,_T,_T,PT_FRSH_WAT_RSC,_Z,_Z,_Z,_Z,RATIO,2,WB_WDI,P1Y,Level of water stress: freshwater withdrawal as a proportion of available freshwater resources,0,WB_WDI,PU,A,Annual,Belize,Level of water stress: freshwater withdrawal as a proportion of available freshwater resources,Total,All age ranges or no breakdown by age,Total,Percentage of freshwater resources,Not Applicable,Not Applicable,Not Applicable,Not Applicable,Ratio,Two,World Development Indicators (WDI),Annual,Units,Normal value,Public,,,,,,,,,,,,,,,,,,,,,,,,,,0.249563264,0.28810959,0.326655916,0.365202242,0.403748568,0.442294894,0.48084122,0.601505744,0.722170268,0.829795111,0.937419955,1.045044798,1.152669641,1.260294485,1.260294485,1.260294485,1.260294485,1.260294485,1.260294485,1.260294485,1.260294485,1.260294485,1.260294485,1.260294485,1.260294485,1.260294485,1.260294485,1.260294485,1.260294485,1.260294485,1.260294485,1.260294485,1.260294485,1.260294485,1.260294485,1.260294485</t>
  </si>
  <si>
    <t>datastructure,WB.DATA360:DS_DATA360(1.3),I,A,GMB,WB_WDI_ER_H2O_FWST_ZS,_T,_T,_T,PT_FRSH_WAT_RSC,_Z,_Z,_Z,_Z,RATIO,2,WB_WDI,P1Y,Level of water stress: freshwater withdrawal as a proportion of available freshwater resources,0,WB_WDI,PU,A,Annual,"Gambia, The",Level of water stress: freshwater withdrawal as a proportion of available freshwater resources,Total,All age ranges or no breakdown by age,Total,Percentage of freshwater resources,Not Applicable,Not Applicable,Not Applicable,Not Applicable,Ratio,Two,World Development Indicators (WDI),Annual,Units,Normal value,Public,,,,,,,,,,,,,,,,,,,,,0.434971727,0.52164624,0.608320753,0.694995267,0.78166978,0.868344293,0.955018806,1.041693319,1.128367833,1.215042346,1.301716859,1.388391372,1.475065885,1.561740399,1.648414912,1.735089425,1.821763938,1.908438452,1.968247064,2.016528926,2.064810787,2.113092649,2.161374511,2.209656372,2.209656372,2.209656372,2.209656372,2.209656372,2.209656372,2.209656372,2.209656372,2.209656372,2.209656372,2.209656372,2.209656372,2.209656372,2.209656372,2.209656372,2.209656372,2.209656372,2.209656372</t>
  </si>
  <si>
    <t>datastructure,WB.DATA360:DS_DATA360(1.3),I,A,BTN,WB_WDI_ER_H2O_FWST_ZS,_T,_T,_T,PT_FRSH_WAT_RSC,_Z,_Z,_Z,_Z,RATIO,2,WB_WDI,P1Y,Level of water stress: freshwater withdrawal as a proportion of available freshwater resources,0,WB_WDI,PU,A,Annual,Bhutan,Level of water stress: freshwater withdrawal as a proportion of available freshwater resources,Total,All age ranges or no breakdown by age,Total,Percentage of freshwater resources,Not Applicable,Not Applicable,Not Applicable,Not Applicable,Ratio,Two,World Development Indicators (WDI),Annual,Units,Normal value,Public,,,,,,,,,,,,,,,,,,,,,,,,,,,,,,,,,,,,,,,,,,,,,,,1.413807531,1.413807531,1.413807531,1.413807531,1.413807531,1.413807531,1.413807531,1.413807531,1.413807531,1.413807531,1.413807531,1.413807531,1.413807531,1.413807531,1.413807531</t>
  </si>
  <si>
    <t>datastructure,WB.DATA360:DS_DATA360(1.3),I,A,BLR,WB_WDI_ER_H2O_FWST_ZS,_T,_T,_T,PT_FRSH_WAT_RSC,_Z,_Z,_Z,_Z,RATIO,2,WB_WDI,P1Y,Level of water stress: freshwater withdrawal as a proportion of available freshwater resources,0,WB_WDI,PU,A,Annual,Belarus,Level of water stress: freshwater withdrawal as a proportion of available freshwater resources,Total,All age ranges or no breakdown by age,Total,Percentage of freshwater resources,Not Applicable,Not Applicable,Not Applicable,Not Applicable,Ratio,Two,World Development Indicators (WDI),Annual,Units,Normal value,Public,,,,,,,,,,,,,,,,,,,,,,,,,,,,,,,,,,6.526038233,6.431773237,6.33750824,6.243243243,6.148978247,6.05471325,5.968358603,5.882003955,5.795649308,5.709294661,5.622940013,5.51878708,5.414634146,5.310481213,5.20632828,5.102175346,5.064820919,5.027466491,4.990112063,5.177982861,4.772577456,4.782465392,4.614370468,4.581410679,4.475939354,4.377059987,4.696769941,4.660514173</t>
  </si>
  <si>
    <t>datastructure,WB.DATA360:DS_DATA360(1.3),I,A,SAU,WB_WDI_ER_H2O_FWST_ZS,_T,_T,_T,PT_FRSH_WAT_RSC,_Z,_Z,_Z,_Z,RATIO,2,WB_WDI,P1Y,Level of water stress: freshwater withdrawal as a proportion of available freshwater resources,0,WB_WDI,PU,A,Annual,Saudi Arabia,Level of water stress: freshwater withdrawal as a proportion of available freshwater resources,Total,All age ranges or no breakdown by age,Total,Percentage of freshwater resources,Not Applicable,Not Applicable,Not Applicable,Not Applicable,Ratio,Two,World Development Indicators (WDI),Annual,Units,Normal value,Public,,,,,,,,,,,,,,,,,,,,,,,,,,,,,,,671.6666667,690.396875,708.54375,728.0239583,746.2125,765.359375,783.88125,801.5697917,819.7583333,832.6442708,847.7802083,858.1661458,870.1354167,894.8203125,943.3333333,936.1284722,928.9236111,921.71875,914.5138889,907.3090278,900.1041667,894.2395833,894.7083333,948.875,929.5833333,955.9583333,974.1666667,974.1666667,974.1666667,974.1666667,974.1666667</t>
  </si>
  <si>
    <t>datastructure,WB.DATA360:DS_DATA360(1.3),I,A,HRV,WB_WDI_ER_H2O_FWST_ZS,_T,_T,_T,PT_FRSH_WAT_RSC,_Z,_Z,_Z,_Z,RATIO,2,WB_WDI,P1Y,Level of water stress: freshwater withdrawal as a proportion of available freshwater resources,0,WB_WDI,PU,A,Annual,Croatia,Level of water stress: freshwater withdrawal as a proportion of available freshwater resources,Total,All age ranges or no breakdown by age,Total,Percentage of freshwater resources,Not Applicable,Not Applicable,Not Applicable,Not Applicable,Ratio,Two,World Development Indicators (WDI),Annual,Units,Normal value,Public,,,,,,,,,,,,,,,,,,,,,,,,,,,,,,,,,,,,,,,,,1.275011116,1.360858794,1.34920282,1.368258909,1.410309344,1.447246395,1.47421076,1.533570476,1.518461539,1.477116496,1.45120498,1.398194753,1.289266341,1.380262339,1.415320142,1.502830147,1.486674077,1.493997332,1.462872388,1.47843486,1.509559804</t>
  </si>
  <si>
    <t>datastructure,WB.DATA360:DS_DATA360(1.3),I,A,KWT,WB_WDI_ER_H2O_FWST_ZS,_T,_T,_T,PT_FRSH_WAT_RSC,_Z,_Z,_Z,_Z,RATIO,2,WB_WDI,P1Y,Level of water stress: freshwater withdrawal as a proportion of available freshwater resources,0,WB_WDI,PU,A,Annual,Kuwait,Level of water stress: freshwater withdrawal as a proportion of available freshwater resources,Total,All age ranges or no breakdown by age,Total,Percentage of freshwater resources,Not Applicable,Not Applicable,Not Applicable,Not Applicable,Ratio,Two,World Development Indicators (WDI),Annual,Units,Normal value,Public,,,,,,,,,,,,,,,,,,,,,,,,,,,,,,,,1535.0,1295.31746,1385.572421,1475.827381,1566.082341,1656.337302,1784.092262,1911.847222,1993.423611,2075.0,2176.846154,2278.692308,2380.538462,2482.384615,2584.230769,2686.076923,2787.923077,2889.769231,2991.615385,3093.461538,3195.307692,3297.153846,3399.0,3575.0,3850.5,3850.5,3850.5,3850.5,3850.5,3850.5</t>
  </si>
  <si>
    <t>datastructure,WB.DATA360:DS_DATA360(1.3),I,A,BWA,WB_WDI_ER_H2O_FWST_ZS,_T,_T,_T,PT_FRSH_WAT_RSC,_Z,_Z,_Z,_Z,RATIO,2,WB_WDI,P1Y,Level of water stress: freshwater withdrawal as a proportion of available freshwater resources,0,WB_WDI,PU,A,Annual,Botswana,Level of water stress: freshwater withdrawal as a proportion of available freshwater resources,Total,All age ranges or no breakdown by age,Total,Percentage of freshwater resources,Not Applicable,Not Applicable,Not Applicable,Not Applicable,Ratio,Two,World Development Indicators (WDI),Annual,Units,Normal value,Public,,,,,,,,,,,,,,,,,,,,,,,,0.941127261,0.975426122,1.009724982,1.044023842,1.078322702,1.112621562,1.147129562,1.181637561,1.28760152,1.393565478,1.499529436,1.605353968,1.711178501,1.817003033,1.922827565,2.028652097,2.031694124,2.034736152,2.037778179,2.040820207,2.043862234,2.046904262,2.049946289,2.052988317,2.056030344,2.059072372,2.062114399,2.032834885,1.998849733,1.964864582,1.964864582,2.104987975,2.018195127,2.133221792,2.112307853,2.305004706,2.442973032,2.230009819</t>
  </si>
  <si>
    <t>datastructure,WB.DATA360:DS_DATA360(1.3),I,A,TTO,WB_WDI_ER_H2O_FWST_ZS,_T,_T,_T,PT_FRSH_WAT_RSC,_Z,_Z,_Z,_Z,RATIO,2,WB_WDI,P1Y,Level of water stress: freshwater withdrawal as a proportion of available freshwater resources,0,WB_WDI,PU,A,Annual,Trinidad and Tobago,Level of water stress: freshwater withdrawal as a proportion of available freshwater resources,Total,All age ranges or no breakdown by age,Total,Percentage of freshwater resources,Not Applicable,Not Applicable,Not Applicable,Not Applicable,Ratio,Two,World Development Indicators (WDI),Annual,Units,Normal value,Public,,,,,,,,,,,,,,,,,,,,,,,,,,,,,,,,,,,,17.95646917,18.29907295,18.64167674,18.98428053,19.35912938,19.73397823,20.10882709,20.48367594,18.68198307,18.9560661,19.23014913,19.50423216,19.7783152,20.05239823,20.32648126,20.32648126,20.32648126,20.32648126,20.32648126,20.32648126,20.32648126,20.32648126,20.32648126,20.32648126,20.32648126,20.32648126</t>
  </si>
  <si>
    <t>datastructure,WB.DATA360:DS_DATA360(1.3),I,A,ZWE,WB_WDI_ER_H2O_FWST_ZS,_T,_T,_T,PT_FRSH_WAT_RSC,_Z,_Z,_Z,_Z,RATIO,2,WB_WDI,P1Y,Level of water stress: freshwater withdrawal as a proportion of available freshwater resources,0,WB_WDI,PU,A,Annual,Zimbabwe,Level of water stress: freshwater withdrawal as a proportion of available freshwater resources,Total,All age ranges or no breakdown by age,Total,Percentage of freshwater resources,Not Applicable,Not Applicable,Not Applicable,Not Applicable,Ratio,Two,World Development Indicators (WDI),Annual,Units,Normal value,Public,,,,,,,,,,,,,,,,,,,,,,,,,,11.45324822,13.32144198,15.18963575,17.05782952,18.92602328,20.79421705,22.66241081,24.53060458,26.39879835,28.26699211,30.13518588,32.00337965,33.87157341,35.73976718,37.60796095,39.47615471,38.28389035,37.09162599,35.89936162,34.70709726,33.5148329,33.31029384,33.10575479,32.90121573,32.69667668,32.49213763,32.28759857,32.08305952,31.87852047,31.93766429,31.34622606,35.40538538,39.76966178,46.09162031,46.09162031,46.09162031</t>
  </si>
  <si>
    <t>datastructure,WB.DATA360:DS_DATA360(1.3),I,A,ECU,WB_WDI_ER_H2O_FWST_ZS,_T,_T,_T,PT_FRSH_WAT_RSC,_Z,_Z,_Z,_Z,RATIO,2,WB_WDI,P1Y,Level of water stress: freshwater withdrawal as a proportion of available freshwater resources,0,WB_WDI,PU,A,Annual,Ecuador,Level of water stress: freshwater withdrawal as a proportion of available freshwater resources,Total,All age ranges or no breakdown by age,Total,Percentage of freshwater resources,Not Applicable,Not Applicable,Not Applicable,Not Applicable,Ratio,Two,World Development Indicators (WDI),Annual,Units,Normal value,Public,,,,,,,,,,,,,,,,,,,,,,,,,,,,,,,,,,,,,,,6.406497948,6.481668947,6.556839945,6.632010944,6.707181943,6.782352941,6.782352941,6.782352941,6.782352941,6.782352941,6.782352941,6.782352941,6.782352941,6.782352941,6.782352941,6.782352941,6.782352941,6.782352941,6.782352941,6.782352941,6.782352941,6.782352941,6.782352941</t>
  </si>
  <si>
    <t>datastructure,WB.DATA360:DS_DATA360(1.3),I,A,GRD,WB_WDI_ER_H2O_FWST_ZS,_T,_T,_T,PT_FRSH_WAT_RSC,_Z,_Z,_Z,_Z,RATIO,2,WB_WDI,P1Y,Level of water stress: freshwater withdrawal as a proportion of available freshwater resources,0,WB_WDI,PU,A,Annual,Grenada,Level of water stress: freshwater withdrawal as a proportion of available freshwater resources,Total,All age ranges or no breakdown by age,Total,Percentage of freshwater resources,Not Applicable,Not Applicable,Not Applicable,Not Applicable,Ratio,Two,World Development Indicators (WDI),Annual,Units,Normal value,Public,,,,,,,,,,,,,,,,,,,,,,,,,,,,,,,,,,,,,,,,,,,,5.0,5.227777778,5.455555556,5.683333333,5.911111111,6.138888889,6.366666667,6.594444444,6.822222222,7.05,7.05,7.05,7.05,7.05,7.05,7.05,7.05,7.05</t>
  </si>
  <si>
    <t>datastructure,WB.DATA360:DS_DATA360(1.3),I,A,BEL,WB_WDI_ER_H2O_FWST_ZS,_T,_T,_T,PT_FRSH_WAT_RSC,_Z,_Z,_Z,_Z,RATIO,2,WB_WDI,P1Y,Level of water stress: freshwater withdrawal as a proportion of available freshwater resources,0,WB_WDI,PU,A,Annual,Belgium,Level of water stress: freshwater withdrawal as a proportion of available freshwater resources,Total,All age ranges or no breakdown by age,Total,Percentage of freshwater resources,Not Applicable,Not Applicable,Not Applicable,Not Applicable,Ratio,Two,World Development Indicators (WDI),Annual,Units,Normal value,Public,,,,,,,,,,,,,,,,,,,110.9398034,110.3014742,109.663145,109.0248157,108.3864865,107.7481572,107.109828,106.4714988,105.8331695,105.1948403,104.5565111,103.9181818,103.2798526,102.6415233,102.0031941,101.3648649,97.91830467,94.47174447,93.83947584,93.20720721,92.54422604,87.64619165,82.74815725,81.31654382,79.88493038,78.45331695,77.39987715,76.34643735,75.29484029,73.73464373,73.13267813,62.43243243,65.11056511,59.32432432,55.97051597,49.06633907,51.5115519,53.95676474,51.28992629,51.58476658,52.16983616,52.82574225,52.82574225</t>
  </si>
  <si>
    <t>datastructure,WB.DATA360:DS_DATA360(1.3),I,A,SOM,WB_WDI_ER_H2O_FWST_ZS,_T,_T,_T,PT_FRSH_WAT_RSC,_Z,_Z,_Z,_Z,RATIO,2,WB_WDI,P1Y,Level of water stress: freshwater withdrawal as a proportion of available freshwater resources,0,WB_WDI,PU,A,Annual,Federal Republic of Somalia,Level of water stress: freshwater withdrawal as a proportion of available freshwater resources,Total,All age ranges or no breakdown by age,Total,Percentage of freshwater resources,Not Applicable,Not Applicable,Not Applicable,Not Applicable,Ratio,Two,World Development Indicators (WDI),Annual,Units,Normal value,Public,,,,,,,,,,,,,,,,,,,,,,,,,,6.024096386,7.442819712,8.861543038,10.28026636,11.69898969,13.11771302,14.53643634,15.95515967,17.373883,18.79260632,20.21132965,21.63005298,23.0487763,24.46749963,24.48757995,24.50766027,24.52774059,24.52774059,24.52774059,24.52774059,24.52774059,24.52774059,24.52774059,24.52774059,24.52774059,24.52774059,24.52774059,24.52774059,24.52774059,24.52774059,24.52774059,24.52774059,24.52774059,24.52774059,24.52774059,24.52774059</t>
  </si>
  <si>
    <t>datastructure,WB.DATA360:DS_DATA360(1.3),I,A,GEO,WB_WDI_ER_H2O_FWST_ZS,_T,_T,_T,PT_FRSH_WAT_RSC,_Z,_Z,_Z,_Z,RATIO,2,WB_WDI,P1Y,Level of water stress: freshwater withdrawal as a proportion of available freshwater resources,0,WB_WDI,PU,A,Annual,Georgia,Level of water stress: freshwater withdrawal as a proportion of available freshwater resources,Total,All age ranges or no breakdown by age,Total,Percentage of freshwater resources,Not Applicable,Not Applicable,Not Applicable,Not Applicable,Ratio,Two,World Development Indicators (WDI),Annual,Units,Normal value,Public,,,,,,,,,,,,,,,,,,,,,,,,,,,,,,,10.285038,9.779348534,9.273659066,8.767969598,8.26228013,7.756590662,7.250901194,6.745211726,6.239522258,6.172725299,6.105928339,6.039131379,5.972334419,5.905537459,5.916395223,5.927252986,5.938110749,5.842487785,5.746864821,5.651241857,5.555618893,5.459995928,5.364372964,5.26875,5.173127036,4.477296417,4.205602606,5.120977199,5.386710098,5.240977199,4.212964169</t>
  </si>
  <si>
    <t>datastructure,WB.DATA360:DS_DATA360(1.3),I,A,MDG,WB_WDI_ER_H2O_FWST_ZS,_T,_T,_T,PT_FRSH_WAT_RSC,_Z,_Z,_Z,_Z,RATIO,2,WB_WDI,P1Y,Level of water stress: freshwater withdrawal as a proportion of available freshwater resources,0,WB_WDI,PU,A,Annual,Madagascar,Level of water stress: freshwater withdrawal as a proportion of available freshwater resources,Total,All age ranges or no breakdown by age,Total,Percentage of freshwater resources,Not Applicable,Not Applicable,Not Applicable,Not Applicable,Ratio,Two,World Development Indicators (WDI),Annual,Units,Normal value,Public,,,,,,,,,,,,,,,,,,,,,,,13.64267782,13.48925732,13.33583682,13.18241632,13.02899582,12.87557531,12.72215481,12.56873431,12.41531381,12.26189331,12.1084728,11.9550523,11.8016318,11.6482113,11.4947908,11.34137029,11.18794979,11.20266109,11.21737238,11.23208368,11.24679498,11.26150628,11.26150628,11.26150628,11.26150628,11.26150628,11.26150628,11.26150628,11.26150628,11.26150628,11.26150628,11.26150628,11.26150628,11.26150628,11.26150628,11.26150628,11.26150628,11.26150628,11.26150628</t>
  </si>
  <si>
    <t>datastructure,WB.DATA360:DS_DATA360(1.3),I,A,MYS,WB_WDI_ER_H2O_FWST_ZS,_T,_T,_T,PT_FRSH_WAT_RSC,_Z,_Z,_Z,_Z,RATIO,2,WB_WDI,P1Y,Level of water stress: freshwater withdrawal as a proportion of available freshwater resources,0,WB_WDI,PU,A,Annual,Malaysia,Level of water stress: freshwater withdrawal as a proportion of available freshwater resources,Total,All age ranges or no breakdown by age,Total,Percentage of freshwater resources,Not Applicable,Not Applicable,Not Applicable,Not Applicable,Ratio,Two,World Development Indicators (WDI),Annual,Units,Normal value,Public,,,,,,,,,,,,,,,,,,,,,,,,,,,,,5.186,4.810290598,4.434581197,4.058871795,3.683162393,3.845641026,2.812307692,2.832334683,2.852361673,2.872388664,2.892415655,2.912442645,2.932469636,2.952496626,2.972523617,2.992550607,3.012577598,3.032604588,3.052631579,3.07265857,3.09268556,3.112712551,3.132739541,3.152766532,3.172793522,3.192820513,3.36,3.43948718,3.43948718,3.43948718,3.43948718,3.43948718,3.43948718</t>
  </si>
  <si>
    <t>datastructure,WB.DATA360:DS_DATA360(1.3),I,A,BRN,WB_WDI_ER_H2O_FWST_ZS,_T,_T,_T,PT_FRSH_WAT_RSC,_Z,_Z,_Z,_Z,RATIO,2,WB_WDI,P1Y,Level of water stress: freshwater withdrawal as a proportion of available freshwater resources,0,WB_WDI,PU,A,Annual,Brunei Darussalam,Level of water stress: freshwater withdrawal as a proportion of available freshwater resources,Total,All age ranges or no breakdown by age,Total,Percentage of freshwater resources,Not Applicable,Not Applicable,Not Applicable,Not Applicable,Ratio,Two,World Development Indicators (WDI),Annual,Units,Normal value,Public,,,,,,,,,,,,,,,,,,,,,,,,,,,,,,2.86360211,3.064556644,3.265511178,3.466465712,3.466465712,3.466465712,3.466465712,3.466465712,3.466465712,3.466465712,3.466465712,3.466465712,3.466465712,3.466465712,3.466465712,3.466465712,3.466465712,3.466465712,3.466465712,3.466465712,3.466465712,3.466465712,3.466465712,3.466465712,3.466465712,3.466465712,3.466465712,3.466465712,3.466465712,3.466465712,3.466465712,3.466465712</t>
  </si>
  <si>
    <t>datastructure,WB.DATA360:DS_DATA360(1.3),I,A,USA,WB_WDI_ER_H2O_FWST_ZS,_T,_T,_T,PT_FRSH_WAT_RSC,_Z,_Z,_Z,_Z,RATIO,2,WB_WDI,P1Y,Level of water stress: freshwater withdrawal as a proportion of available freshwater resources,0,WB_WDI,PU,A,Annual,United States,Level of water stress: freshwater withdrawal as a proportion of available freshwater resources,Total,All age ranges or no breakdown by age,Total,Percentage of freshwater resources,Not Applicable,Not Applicable,Not Applicable,Not Applicable,Ratio,Two,World Development Indicators (WDI),Annual,Units,Normal value,Public,,,,,,,,,,,,,,,,,,,32.80101394,32.46831432,32.1356147,31.80291508,31.47021546,31.13751584,30.80481622,30.4721166,30.13941698,29.80671736,29.47401774,29.5278834,29.58174905,29.6356147,29.68948035,29.74334601,29.79721166,29.85107731,29.90494297,29.95880862,30.01267427,30.07604563,30.13941698,30.20278834,30.2661597,30.32953105,29.57160963,28.81368821,28.05576679,27.29784537,26.53992395,26.86299113,27.1860583,27.50912548,27.83219265,28.15525982,28.15525982,28.15525982,28.15525982,28.15525982,28.15525982,28.15525982,28.15525982</t>
  </si>
  <si>
    <t>datastructure,WB.DATA360:DS_DATA360(1.3),I,A,TGO,WB_WDI_ER_H2O_FWST_ZS,_T,_T,_T,PT_FRSH_WAT_RSC,_Z,_Z,_Z,_Z,RATIO,2,WB_WDI,P1Y,Level of water stress: freshwater withdrawal as a proportion of available freshwater resources,0,WB_WDI,PU,A,Annual,Togo,Level of water stress: freshwater withdrawal as a proportion of available freshwater resources,Total,All age ranges or no breakdown by age,Total,Percentage of freshwater resources,Not Applicable,Not Applicable,Not Applicable,Not Applicable,Ratio,Two,World Development Indicators (WDI),Annual,Units,Normal value,Public,,,,,,,,,,,,,,,,,,,,,,,,,,1.384030418,1.476065126,1.568099834,1.660134542,1.75216925,1.844203958,1.936238666,2.028273374,2.120308082,2.21234279,2.304377498,2.396412206,2.488446914,2.580481622,2.575411914,2.570342205,2.844106464,3.117870722,3.391634981,3.391634981,3.391634981,3.391634981,3.391634981,3.391634981,3.391634981,3.391634981,3.391634981,3.391634981,3.391634981,3.391634981,3.391634981,3.391634981,3.391634981,3.391634981,3.391634981,3.391634981</t>
  </si>
  <si>
    <t>datastructure,WB.DATA360:DS_DATA360(1.3),I,A,NAM,WB_WDI_ER_H2O_FWST_ZS,_T,_T,_T,PT_FRSH_WAT_RSC,_Z,_Z,_Z,_Z,RATIO,2,WB_WDI,P1Y,Level of water stress: freshwater withdrawal as a proportion of available freshwater resources,0,WB_WDI,PU,A,Annual,Namibia,Level of water stress: freshwater withdrawal as a proportion of available freshwater resources,Total,All age ranges or no breakdown by age,Total,Percentage of freshwater resources,Not Applicable,Not Applicable,Not Applicable,Not Applicable,Ratio,Two,World Development Indicators (WDI),Annual,Units,Normal value,Public,,,,,,,,,,,,,,,,,,,,,,,,0.427872861,0.483190709,0.538508558,0.593826406,0.649877751,0.704462103,0.760085575,0.778422983,0.796760391,0.8150978,0.833435208,0.815709047,0.840158924,0.864608802,0.88905868,0.915953545,0.888753056,0.861552567,0.833793673,0.806034778,0.778275883,0.750516989,0.72347298,0.695857063,0.668241145,0.640625228,0.61300931,0.585393393,0.557777476,0.528445831,0.500686937,0.472928042,0.445169147,0.417410253,0.392081971,0.364466054,0.314668328,0.314668328</t>
  </si>
  <si>
    <t>datastructure,WB.DATA360:DS_DATA360(1.3),I,A,NER,WB_WDI_ER_H2O_FWST_ZS,_T,_T,_T,PT_FRSH_WAT_RSC,_Z,_Z,_Z,_Z,RATIO,2,WB_WDI,P1Y,Level of water stress: freshwater withdrawal as a proportion of available freshwater resources,0,WB_WDI,PU,A,Annual,Niger,Level of water stress: freshwater withdrawal as a proportion of available freshwater resources,Total,All age ranges or no breakdown by age,Total,Percentage of freshwater resources,Not Applicable,Not Applicable,Not Applicable,Not Applicable,Ratio,Two,World Development Indicators (WDI),Annual,Units,Normal value,Public,,,,,,,,,,,,,,,,,,,,,,,,,,,2.133105802,2.254466975,2.375828147,2.497189319,2.618550492,2.739911664,2.861272837,2.982634009,3.103995182,3.225356354,3.346717527,3.468078699,3.589439872,3.710801044,3.832162216,3.953523389,4.074884561,4.196245734,4.446482746,4.696719757,4.946956769,5.197193781,5.447430793,5.697667804,5.947904816,6.198141828,6.44837884,7.344283277,7.453924915,6.746113481,10.37334044,11.02093771,11.02093771,11.02093771,11.02093771</t>
  </si>
  <si>
    <t>datastructure,WB.DATA360:DS_DATA360(1.3),I,A,DEU,WB_WDI_ER_H2O_FWST_ZS,_T,_T,_T,PT_FRSH_WAT_RSC,_Z,_Z,_Z,_Z,RATIO,2,WB_WDI,P1Y,Level of water stress: freshwater withdrawal as a proportion of available freshwater resources,0,WB_WDI,PU,A,Annual,Germany,Level of water stress: freshwater withdrawal as a proportion of available freshwater resources,Total,All age ranges or no breakdown by age,Total,Percentage of freshwater resources,Not Applicable,Not Applicable,Not Applicable,Not Applicable,Ratio,Two,World Development Indicators (WDI),Annual,Units,Normal value,Public,,,,,,,,,,,,,,,,,,,,,,,,,,,,,,63.42105263,68.46009772,67.89958742,67.43410502,66.9282979,65.46759276,64.94345236,62.78335495,62.18558642,61.52313388,61.30187089,60.9343188,58.86223136,56.94478618,55.28720532,54.45761239,44.2091557,53.2747341,54.396875,45.21792763,49.92160362,46.1172437,34.71217105,42.91131031,40.89008361,33.50191886,38.03235197,36.8984841,35.35165707,35.35165707,35.35165707,35.35165707</t>
  </si>
  <si>
    <t>datastructure,WB.DATA360:DS_DATA360(1.3),I,A,CHL,WB_WDI_ER_H2O_FWST_ZS,_T,_T,_T,PT_FRSH_WAT_RSC,_Z,_Z,_Z,_Z,RATIO,2,WB_WDI,P1Y,Level of water stress: freshwater withdrawal as a proportion of available freshwater resources,0,WB_WDI,PU,A,Annual,Chile,Level of water stress: freshwater withdrawal as a proportion of available freshwater resources,Total,All age ranges or no breakdown by age,Total,Percentage of freshwater resources,Not Applicable,Not Applicable,Not Applicable,Not Applicable,Ratio,Two,World Development Indicators (WDI),Annual,Units,Normal value,Public,,,,,,,,,,,,,,,,,,,,,,,,,,,,,,,5.151665989,5.426256748,5.700949092,5.975590643,6.250232194,6.524873745,6.799515296,7.074156847,7.348798398,7.622176489,7.89555458,8.159974169,8.433345911,8.706717653,8.980089395,8.982121089,8.982121089,8.982121089,8.982121089,8.982121089,8.982121089,8.982121089,8.982121089,8.982121089,8.982121089,8.982121089,8.982121089,8.982121089,8.982121089,8.982121089,8.982121089</t>
  </si>
  <si>
    <t>datastructure,WB.DATA360:DS_DATA360(1.3),I,A,CHE,WB_WDI_ER_H2O_FWST_ZS,_T,_T,_T,PT_FRSH_WAT_RSC,_Z,_Z,_Z,_Z,RATIO,2,WB_WDI,P1Y,Level of water stress: freshwater withdrawal as a proportion of available freshwater resources,0,WB_WDI,PU,A,Annual,Switzerland,Level of water stress: freshwater withdrawal as a proportion of available freshwater resources,Total,All age ranges or no breakdown by age,Total,Percentage of freshwater resources,Not Applicable,Not Applicable,Not Applicable,Not Applicable,Ratio,Two,World Development Indicators (WDI),Annual,Units,Normal value,Public,,,,,,,,,,,,,,9.908466819,9.901601831,9.894736842,9.887871854,9.881006865,9.874141876,9.917620137,9.961098398,10.00457666,10.04805492,10.09153318,10.11823036,10.14492754,10.17162471,10.19832189,10.22501907,10.25171625,10.27841342,10.17398932,10.06956522,9.965141114,9.86071701,9.756292906,9.725705568,9.69511823,9.664530892,9.633943555,9.603356217,9.407513349,9.211670481,9.015827613,8.819984745,8.624141876,8.428299008,8.23245614,8.036613272,7.840770404,7.627765065,6.559877956,6.498855835,6.506167048,6.498855835,6.498855835,6.498855835,6.498855835,6.498855835,6.498855835,6.498855835</t>
  </si>
  <si>
    <t>datastructure,WB.DATA360:DS_DATA360(1.3),I,A,FJI,WB_WDI_ER_H2O_FWST_ZS,_T,_T,_T,PT_FRSH_WAT_RSC,_Z,_Z,_Z,_Z,RATIO,2,WB_WDI,P1Y,Level of water stress: freshwater withdrawal as a proportion of available freshwater resources,0,WB_WDI,PU,A,Annual,Fiji,Level of water stress: freshwater withdrawal as a proportion of available freshwater resources,Total,All age ranges or no breakdown by age,Total,Percentage of freshwater resources,Not Applicable,Not Applicable,Not Applicable,Not Applicable,Ratio,Two,World Development Indicators (WDI),Annual,Units,Normal value,Public,,,,,,,,,,,,,,,,,,,,,,,,,,0.105078809,0.119008487,0.132938165,0.146867843,0.160797521,0.174727199,0.188656877,0.202586555,0.216516233,0.230445911,0.244375589,0.258305267,0.272234945,0.286164624,0.288406305,0.290647986,0.292889667,0.295131349,0.29737303,0.29737303,0.29737303,0.29737303,0.29737303,0.29737303,0.29737303,0.29737303,0.29737303,0.29737303,0.29737303,0.29737303,0.29737303,0.29737303,0.29737303,0.29737303,0.29737303,0.29737303</t>
  </si>
  <si>
    <t>datastructure,WB.DATA360:DS_DATA360(1.3),I,A,RWA,WB_WDI_ER_H2O_FWST_ZS,_T,_T,_T,PT_FRSH_WAT_RSC,_Z,_Z,_Z,_Z,RATIO,2,WB_WDI,P1Y,Level of water stress: freshwater withdrawal as a proportion of available freshwater resources,0,WB_WDI,PU,A,Annual,Rwanda,Level of water stress: freshwater withdrawal as a proportion of available freshwater resources,Total,All age ranges or no breakdown by age,Total,Percentage of freshwater resources,Not Applicable,Not Applicable,Not Applicable,Not Applicable,Ratio,Two,World Development Indicators (WDI),Annual,Units,Normal value,Public,,,,,,,,,,,,,,,,,,,,,,,,,,,,,,,,,,,,,,,4.966887417,5.641024747,6.315162077,6.989299408,7.663436738,8.337574068,9.161143753,9.984713439,10.80828313,11.63185281,12.4554225,13.27899218,14.10256187,14.92613155,15.74970124,16.57327093,17.39684061,18.2204103,19.04397998,20.1986755,20.1986755,20.1986755,20.1986755</t>
  </si>
  <si>
    <t>datastructure,WB.DATA360:DS_DATA360(1.3),I,A,IRL,WB_WDI_ER_H2O_FWST_ZS,_T,_T,_T,PT_FRSH_WAT_RSC,_Z,_Z,_Z,_Z,RATIO,2,WB_WDI,P1Y,Level of water stress: freshwater withdrawal as a proportion of available freshwater resources,0,WB_WDI,PU,A,Annual,Ireland,Level of water stress: freshwater withdrawal as a proportion of available freshwater resources,Total,All age ranges or no breakdown by age,Total,Percentage of freshwater resources,Not Applicable,Not Applicable,Not Applicable,Not Applicable,Ratio,Two,World Development Indicators (WDI),Annual,Units,Normal value,Public,,,,,,,,,,,,,,,,,,,5.149181906,5.185618039,5.222054173,5.258490307,5.29492644,5.331362574,5.367798708,5.404234841,5.440670975,5.477107109,5.513543242,5.549979376,5.586415509,5.622851643,5.659287777,5.494356462,5.329425147,5.164493832,4.999562516,4.834631201,4.669699886,4.504768571,4.339837256,4.174905941,4.009974626,3.845043311,3.679018287,3.512993263,3.577959577,3.64292589,4.001176345,4.359426799,4.717677254,5.075927708,5.434178163,5.792428617,6.150679072,6.508929526,6.867179981,7.40134745,7.430221367,7.60827719,8.051010587</t>
  </si>
  <si>
    <t>datastructure,WB.DATA360:DS_DATA360(1.3),I,A,CZE,WB_WDI_ER_H2O_FWST_ZS,_T,_T,_T,PT_FRSH_WAT_RSC,_Z,_Z,_Z,_Z,RATIO,2,WB_WDI,P1Y,Level of water stress: freshwater withdrawal as a proportion of available freshwater resources,0,WB_WDI,PU,A,Annual,Czechia,Level of water stress: freshwater withdrawal as a proportion of available freshwater resources,Total,All age ranges or no breakdown by age,Total,Percentage of freshwater resources,Not Applicable,Not Applicable,Not Applicable,Not Applicable,Ratio,Two,World Development Indicators (WDI),Annual,Units,Normal value,Public,,,,,,,,,,,,,,,,,,,,,,,,,,,,,,,,23.06007605,21.96045627,20.8608365,19.90760456,37.90298054,36.12560827,34.34823601,32.57086375,30.79349148,29.01611922,29.20316302,29.39020681,29.57725061,29.7642944,29.9513382,30.23114355,29.60766423,29.66849148,28.69525547,27.986618,25.09580292,25.09124088,24.38260341,24.86009732,24.78710462,24.17883212,22.90145985,20.77250608,20.51399027,21.97384428</t>
  </si>
  <si>
    <t>datastructure,WB.DATA360:DS_DATA360(1.3),I,A,URY,WB_WDI_ER_H2O_FWST_ZS,_T,_T,_T,PT_FRSH_WAT_RSC,_Z,_Z,_Z,_Z,RATIO,2,WB_WDI,P1Y,Level of water stress: freshwater withdrawal as a proportion of available freshwater resources,0,WB_WDI,PU,A,Annual,Uruguay,Level of water stress: freshwater withdrawal as a proportion of available freshwater resources,Total,All age ranges or no breakdown by age,Total,Percentage of freshwater resources,Not Applicable,Not Applicable,Not Applicable,Not Applicable,Ratio,Two,World Development Indicators (WDI),Annual,Units,Normal value,Public,,,,1.737967914,1.967914439,2.197860963,2.427807487,2.657754011,2.887700535,3.117647059,3.347593583,3.577540107,3.807486631,4.037433155,4.267379679,4.497326203,4.727272727,4.957219251,5.187165775,5.4171123,5.647058824,5.877005348,6.106951872,6.336898396,6.56684492,6.796791444,7.026737968,7.256684492,7.486631016,7.71657754,7.946524064,8.176470588,8.406417112,8.636363636,8.86631016,9.096256685,9.326203209,9.556149733,9.786096257,9.87838994,9.970683624,10.06297731,10.15527099,10.24756468,10.33985836,10.43215204,10.52444573,10.61673941,10.70903309,10.80132678,10.89362046,10.98591414,11.07820783,11.17050151,11.2627952,11.35508888,11.44738256,11.53967625,11.63196993,11.81576149,12.05201437</t>
  </si>
  <si>
    <t>datastructure,WB.DATA360:DS_DATA360(1.3),I,A,AUS,WB_WDI_ER_H2O_FWST_ZS,_T,_T,_T,PT_FRSH_WAT_RSC,_Z,_Z,_Z,_Z,RATIO,2,WB_WDI,P1Y,Level of water stress: freshwater withdrawal as a proportion of available freshwater resources,0,WB_WDI,PU,A,Annual,Australia,Level of water stress: freshwater withdrawal as a proportion of available freshwater resources,Total,All age ranges or no breakdown by age,Total,Percentage of freshwater resources,Not Applicable,Not Applicable,Not Applicable,Not Applicable,Ratio,Two,World Development Indicators (WDI),Annual,Units,Normal value,Public,,,,,,,,,,,,,,,,,,,,,,,,,,,,,,,,7.458866104,8.488218737,7.981584238,8.910414154,8.817129071,8.774507439,8.731885806,8.70898271,8.658624849,8.37708082,8.095536791,7.813992762,7.532448733,7.059368717,6.586288701,6.113208685,5.640128669,5.297547246,5.313630881,6.380377965,7.699236027,7.42380378,3.707277845,4.271411339,4.84866963,4.957780458,4.246079614,3.369521512,4.44712505,4.672295939</t>
  </si>
  <si>
    <t>datastructure,WB.DATA360:DS_DATA360(1.3),I,A,GNB,WB_WDI_ER_H2O_FWST_ZS,_T,_T,_T,PT_FRSH_WAT_RSC,_Z,_Z,_Z,_Z,RATIO,2,WB_WDI,P1Y,Level of water stress: freshwater withdrawal as a proportion of available freshwater resources,0,WB_WDI,PU,A,Annual,Guinea-Bissau,Level of water stress: freshwater withdrawal as a proportion of available freshwater resources,Total,All age ranges or no breakdown by age,Total,Percentage of freshwater resources,Not Applicable,Not Applicable,Not Applicable,Not Applicable,Ratio,Two,World Development Indicators (WDI),Annual,Units,Normal value,Public,,,,,,,,,,,,,,,,,,,,,,,,,,,,,,0.141880342,0.412649573,0.683418803,0.954188034,1.224957265,1.495726496,1.495726496,1.495726496,1.495726496,1.495726496,1.495726496,1.495726496,1.495726496,1.495726496,1.495726496,1.495726496,1.495726496,1.495726496,1.495726496,1.495726496,1.495726496,1.495726496,1.495726496,1.495726496,1.495726496,1.495726496,1.495726496,1.495726496,1.495726496,1.495726496,1.495726496,1.495726496</t>
  </si>
  <si>
    <t>datastructure,WB.DATA360:DS_DATA360(1.3),I,A,COM,WB_WDI_ER_H2O_FWST_ZS,_T,_T,_T,PT_FRSH_WAT_RSC,_Z,_Z,_Z,_Z,RATIO,2,WB_WDI,P1Y,Level of water stress: freshwater withdrawal as a proportion of available freshwater resources,0,WB_WDI,PU,A,Annual,Comoros,Level of water stress: freshwater withdrawal as a proportion of available freshwater resources,Total,All age ranges or no breakdown by age,Total,Percentage of freshwater resources,Not Applicable,Not Applicable,Not Applicable,Not Applicable,Ratio,Two,World Development Indicators (WDI),Annual,Units,Normal value,Public,,,,,,,,,,,,,,,,,,,,,,,,,,,,,,,,,,,,,,0.833333333,0.833333333,0.833333333,0.833333333,0.833333333,0.833333333,0.833333333,0.833333333,0.833333333,0.833333333,0.833333333,0.833333333,0.833333333,0.833333333,0.833333333,0.833333333,0.833333333,0.833333333,0.833333333,0.833333333,0.833333333,0.833333333,0.833333333,0.833333333</t>
  </si>
  <si>
    <t>datastructure,WB.DATA360:DS_DATA360(1.3),I,A,IRQ,WB_WDI_ER_H2O_FWST_ZS,_T,_T,_T,PT_FRSH_WAT_RSC,_Z,_Z,_Z,_Z,RATIO,2,WB_WDI,P1Y,Level of water stress: freshwater withdrawal as a proportion of available freshwater resources,0,WB_WDI,PU,A,Annual,Iraq,Level of water stress: freshwater withdrawal as a proportion of available freshwater resources,Total,All age ranges or no breakdown by age,Total,Percentage of freshwater resources,Not Applicable,Not Applicable,Not Applicable,Not Applicable,Ratio,Two,World Development Indicators (WDI),Annual,Units,Normal value,Public,,,,,,,,,,,,,,56.96629213,57.03230337,57.09831461,57.16432584,57.23033708,57.29634831,57.35955056,57.42275281,57.48595506,57.5491573,57.61235955,58.11235955,58.61235955,59.11235955,59.61235955,60.11235955,63.37078652,66.62921348,69.88764045,73.14606742,76.40449438,79.66292135,82.91095506,86.16938202,89.42780899,92.68623596,90.07742777,87.46861958,84.8598114,82.25100321,79.64219502,77.03338684,74.42457865,71.81577047,69.20696228,66.59815409,63.98934591,61.37351525,58.76470706,56.15589888,49.02247191,54.08707865,60.48174157,47.14044944,79.51966292,63.25842697,59.58384831,59.58384831</t>
  </si>
  <si>
    <t>datastructure,WB.DATA360:DS_DATA360(1.3),I,A,BGD,WB_WDI_ER_H2O_FWST_ZS,_T,_T,_T,PT_FRSH_WAT_RSC,_Z,_Z,_Z,_Z,RATIO,2,WB_WDI,P1Y,Level of water stress: freshwater withdrawal as a proportion of available freshwater resources,0,WB_WDI,PU,A,Annual,Bangladesh,Level of water stress: freshwater withdrawal as a proportion of available freshwater resources,Total,All age ranges or no breakdown by age,Total,Percentage of freshwater resources,Not Applicable,Not Applicable,Not Applicable,Not Applicable,Ratio,Two,World Development Indicators (WDI),Annual,Units,Normal value,Public,,,,,,,,,,,,,,,,,,,,,,,,,,,,,,,,,,,,,,,,,,,,,,,5.723339482,5.723339482,5.723339482,5.723339482,5.723339482,5.723339482,5.723339482,5.723339482,5.723339482,5.723339482,5.723339482,5.723339482,5.723339482,5.723339482,5.723339482</t>
  </si>
  <si>
    <t>datastructure,WB.DATA360:DS_DATA360(1.3),I,A,SRB,WB_WDI_ER_H2O_FWST_ZS,_T,_T,_T,PT_FRSH_WAT_RSC,_Z,_Z,_Z,_Z,RATIO,2,WB_WDI,P1Y,Level of water stress: freshwater withdrawal as a proportion of available freshwater resources,0,WB_WDI,PU,A,Annual,Serbia,Level of water stress: freshwater withdrawal as a proportion of available freshwater resources,Total,All age ranges or no breakdown by age,Total,Percentage of freshwater resources,Not Applicable,Not Applicable,Not Applicable,Not Applicable,Ratio,Two,World Development Indicators (WDI),Annual,Units,Normal value,Public,,,,,,,,,,,,,,,,,,,,,,,,,,,,,,,,,,,,,,,,,,,,,2.387577065,4.46049814,5.2868252,5.222585371,4.980277246,5.353319058,4.962245013,5.307111462,4.434802209,5.284571171,5.304181224,6.059957173,6.263383298,6.331567677,5.745520117,5.444607235,5.737631015</t>
  </si>
  <si>
    <t>datastructure,WB.DATA360:DS_DATA360(1.3),I,A,NPL,WB_WDI_ER_H2O_FWST_ZS,_T,_T,_T,PT_FRSH_WAT_RSC,_Z,_Z,_Z,_Z,RATIO,2,WB_WDI,P1Y,Level of water stress: freshwater withdrawal as a proportion of available freshwater resources,0,WB_WDI,PU,A,Annual,Nepal,Level of water stress: freshwater withdrawal as a proportion of available freshwater resources,Total,All age ranges or no breakdown by age,Total,Percentage of freshwater resources,Not Applicable,Not Applicable,Not Applicable,Not Applicable,Ratio,Two,World Development Indicators (WDI),Annual,Units,Normal value,Public,,,,,,,,,,,,,,,,,,,,,,,,,,,,,,,,,,,,,,,8.369070541,8.357622965,8.34617539,8.334727814,8.323280238,8.311832662,8.311832662,8.311832662,8.311832662,8.311832662,8.311832662,8.311832662,8.311832662,8.311832662,8.311832662,8.311832662,8.311832662,8.311832662,8.311832662,8.311832662,8.311832662,8.311832662,8.311832662</t>
  </si>
  <si>
    <t>datastructure,WB.DATA360:DS_DATA360(1.3),I,A,SLE,WB_WDI_ER_H2O_FWST_ZS,_T,_T,_T,PT_FRSH_WAT_RSC,_Z,_Z,_Z,_Z,RATIO,2,WB_WDI,P1Y,Level of water stress: freshwater withdrawal as a proportion of available freshwater resources,0,WB_WDI,PU,A,Annual,Sierra Leone,Level of water stress: freshwater withdrawal as a proportion of available freshwater resources,Total,All age ranges or no breakdown by age,Total,Percentage of freshwater resources,Not Applicable,Not Applicable,Not Applicable,Not Applicable,Ratio,Two,World Development Indicators (WDI),Annual,Units,Normal value,Public,,,,,,,,,,,,,,,,,,,,,,,,,,0.864485981,0.750470884,0.636455787,0.52244069,0.408425593,0.294410496,0.312778577,0.331146657,0.349514738,0.367882818,0.386250899,0.404618979,0.42298706,0.44135514,0.452242991,0.463130841,0.474018692,0.484906542,0.495794393,0.495794393,0.495794393,0.495794393,0.495794393,0.495794393,0.495794393,0.495794393,0.495794393,0.495794393,0.495794393,0.495794393,0.495794393,0.495794393,0.495794393,0.495794393,0.495794393,0.495794393</t>
  </si>
  <si>
    <t>datastructure,WB.DATA360:DS_DATA360(1.3),I,A,LCA,WB_WDI_ER_H2O_FWST_ZS,_T,_T,_T,PT_FRSH_WAT_RSC,_Z,_Z,_Z,_Z,RATIO,2,WB_WDI,P1Y,Level of water stress: freshwater withdrawal as a proportion of available freshwater resources,0,WB_WDI,PU,A,Annual,St. Lucia,Level of water stress: freshwater withdrawal as a proportion of available freshwater resources,Total,All age ranges or no breakdown by age,Total,Percentage of freshwater resources,Not Applicable,Not Applicable,Not Applicable,Not Applicable,Ratio,Two,World Development Indicators (WDI),Annual,Units,Normal value,Public,,,,,,,,,,,,,,,,,,,,,,,,,,,,,,,,,,,,,,,,,,,,,,14.3,14.3,14.3,14.3,14.3,14.3,14.3,14.3,14.3,14.3,14.3,14.3,14.3,14.3,14.3,14.3</t>
  </si>
  <si>
    <t>datastructure,WB.DATA360:DS_DATA360(1.3),I,A,POL,WB_WDI_ER_H2O_FWST_ZS,_T,_T,_T,PT_FRSH_WAT_RSC,_Z,_Z,_Z,_Z,RATIO,2,WB_WDI,P1Y,Level of water stress: freshwater withdrawal as a proportion of available freshwater resources,0,WB_WDI,PU,A,Annual,Poland,Level of water stress: freshwater withdrawal as a proportion of available freshwater resources,Total,All age ranges or no breakdown by age,Total,Percentage of freshwater resources,Not Applicable,Not Applicable,Not Applicable,Not Applicable,Ratio,Two,World Development Indicators (WDI),Annual,Units,Normal value,Public,,,,,,,,,35.00519211,37.37210107,39.73901004,42.105919,44.47282797,46.83973693,47.94669436,49.05365178,50.16060921,51.26756663,52.37452406,53.26202838,54.14953271,55.03703704,55.92454136,56.81204569,55.94946348,55.08688127,54.22429907,53.36171686,52.49913465,49.40636899,46.31360332,45.90723434,45.50086535,45.09449637,44.68812738,44.28175839,43.53824853,42.79473866,42.0512288,41.30771893,40.56420907,40.77050883,40.97680858,41.18310834,41.3894081,41.59570786,39.32156456,39.83039114,37.61163032,41.22533749,39.69539633,38.90619592,36.79820007,36.16476289,35.61439945,34.89096573,33.22256836,31.0971928,30.0,32.0768432,32.48528903</t>
  </si>
  <si>
    <t>datastructure,WB.DATA360:DS_DATA360(1.3),I,A,THA,WB_WDI_ER_H2O_FWST_ZS,_T,_T,_T,PT_FRSH_WAT_RSC,_Z,_Z,_Z,_Z,RATIO,2,WB_WDI,P1Y,Level of water stress: freshwater withdrawal as a proportion of available freshwater resources,0,WB_WDI,PU,A,Annual,Thailand,Level of water stress: freshwater withdrawal as a proportion of available freshwater resources,Total,All age ranges or no breakdown by age,Total,Percentage of freshwater resources,Not Applicable,Not Applicable,Not Applicable,Not Applicable,Ratio,Two,World Development Indicators (WDI),Annual,Units,Normal value,Public,,,,,,,,,,,,,,,,,,,,,,,,,,,,,,,,,,,,,,,,,,,,,,23.01393518,23.01393518,23.01393518,23.01393518,23.01393518,23.01393518,23.01393518,23.01393518,23.01393518,23.01393518,23.01393518,23.01393518,23.01393518,23.01393518,23.01393518,23.01393518</t>
  </si>
  <si>
    <t>datastructure,WB.DATA360:DS_DATA360(1.3),I,A,ARG,WB_WDI_ER_H2O_FWST_ZS,_T,_T,_T,PT_FRSH_WAT_RSC,_Z,_Z,_Z,_Z,RATIO,2,WB_WDI,P1Y,Level of water stress: freshwater withdrawal as a proportion of available freshwater resources,0,WB_WDI,PU,A,Annual,Argentina,Level of water stress: freshwater withdrawal as a proportion of available freshwater resources,Total,All age ranges or no breakdown by age,Total,Percentage of freshwater resources,Not Applicable,Not Applicable,Not Applicable,Not Applicable,Ratio,Two,World Development Indicators (WDI),Annual,Units,Normal value,Public,,,,,,,,,,,,,,,7.657307735,7.671607509,7.685907283,7.700207057,7.714506831,7.728806605,7.743106379,7.757406153,7.771705927,7.786005701,7.800305475,7.814605249,7.828905023,7.843204797,7.857453463,7.871804344,7.886104118,7.900403892,7.914703666,7.92900344,8.028183609,8.127363778,8.226543946,8.325724115,8.424904284,8.609566843,8.794229401,8.97889196,9.163554519,9.348217078,9.532879637,9.717542196,9.902204755,10.08686731,10.27152987,10.45666408,10.45666408,10.45666408,10.45666408,10.45666408,10.45666408,10.45666408,10.45666408,10.45666408,10.45666408,10.45666408,10.45666408</t>
  </si>
  <si>
    <t>datastructure,WB.DATA360:DS_DATA360(1.3),I,A,IND,WB_WDI_ER_H2O_FWST_ZS,_T,_T,_T,PT_FRSH_WAT_RSC,_Z,_Z,_Z,_Z,RATIO,2,WB_WDI,P1Y,Level of water stress: freshwater withdrawal as a proportion of available freshwater resources,0,WB_WDI,PU,A,Annual,India,Level of water stress: freshwater withdrawal as a proportion of available freshwater resources,Total,All age ranges or no breakdown by age,Total,Percentage of freshwater resources,Not Applicable,Not Applicable,Not Applicable,Not Applicable,Ratio,Two,World Development Indicators (WDI),Annual,Units,Normal value,Public,,,,,,,,,,,,,,39.02238653,40.22078456,41.41918258,42.61758061,43.81597864,45.01437667,46.2127747,47.41117273,48.60957075,49.80796878,51.00636681,51.07414253,51.14191826,51.20969398,51.27746971,51.34524543,52.47894331,53.6126412,54.74633908,55.88003697,57.01373485,58.14743274,59.28113062,60.41482851,61.54852639,62.68222428,64.22874204,65.77525981,67.32177757,64.2061717,64.58715855,64.96814541,65.34913227,65.73011912,66.11110598,66.49209283,66.49209283,66.49209283,66.49209283,66.49209283,66.49209283,66.49209283,66.49209283,66.49209283,66.49209283,66.49209283,66.49209283,66.49209283</t>
  </si>
  <si>
    <t>datastructure,WB.DATA360:DS_DATA360(1.3),I,A,GNQ,WB_WDI_ER_H2O_FWST_ZS,_T,_T,_T,PT_FRSH_WAT_RSC,_Z,_Z,_Z,_Z,RATIO,2,WB_WDI,P1Y,Level of water stress: freshwater withdrawal as a proportion of available freshwater resources,0,WB_WDI,PU,A,Annual,Equatorial Guinea,Level of water stress: freshwater withdrawal as a proportion of available freshwater resources,Total,All age ranges or no breakdown by age,Total,Percentage of freshwater resources,Not Applicable,Not Applicable,Not Applicable,Not Applicable,Ratio,Two,World Development Indicators (WDI),Annual,Units,Normal value,Public,,,,,,,,,,,,,,,,,,,,,,,,,,0.092678406,0.097953946,0.103229486,0.108505026,0.113780566,0.119056106,0.124331646,0.129607186,0.134882726,0.140158266,0.145433806,0.150709346,0.155984886,0.161260426,0.16570899,0.170157553,0.174606117,0.17905468,0.183503244,0.183503244,0.183503244,0.183503244,0.183503244,0.183503244,0.183503244,0.183503244,0.183503244,0.183503244,0.183503244,0.183503244,0.183503244,0.183503244,0.183503244,0.183503244,0.183503244,0.183503244</t>
  </si>
  <si>
    <t>datastructure,WB.DATA360:DS_DATA360(1.3),I,A,AZE,WB_WDI_ER_H2O_FWST_ZS,_T,_T,_T,PT_FRSH_WAT_RSC,_Z,_Z,_Z,_Z,RATIO,2,WB_WDI,P1Y,Level of water stress: freshwater withdrawal as a proportion of available freshwater resources,0,WB_WDI,PU,A,Annual,Azerbaijan,Level of water stress: freshwater withdrawal as a proportion of available freshwater resources,Total,All age ranges or no breakdown by age,Total,Percentage of freshwater resources,Not Applicable,Not Applicable,Not Applicable,Not Applicable,Ratio,Two,World Development Indicators (WDI),Annual,Units,Normal value,Public,,,,,,,,,,,,,,,,,,,,,,,,,,,,,,,71.54780305,72.14837713,64.61912122,61.69132259,59.42592184,55.27931111,45.19761537,52.85051888,48.5316847,43.81982778,43.80216383,46.44733937,49.34864208,52.10863325,53.62773239,53.36718923,50.91631707,49.19408258,48.44336498,49.88297637,52.88143078,52.96533451,51.19010819,51.61845882,52.45308015,53.52174873,53.72930007,55.59726209,53.88862884,57.26588651,57.52704791</t>
  </si>
  <si>
    <t>datastructure,WB.DATA360:DS_DATA360(1.3),I,A,TUR,WB_WDI_ER_H2O_FWST_ZS,_T,_T,_T,PT_FRSH_WAT_RSC,_Z,_Z,_Z,_Z,RATIO,2,WB_WDI,P1Y,Level of water stress: freshwater withdrawal as a proportion of available freshwater resources,0,WB_WDI,PU,A,Annual,TÃ¼rkiye,Level of water stress: freshwater withdrawal as a proportion of available freshwater resources,Total,All age ranges or no breakdown by age,Total,Percentage of freshwater resources,Not Applicable,Not Applicable,Not Applicable,Not Applicable,Ratio,Two,World Development Indicators (WDI),Annual,Units,Normal value,Public,,,,,,,,,,,,,,,,,,,,,,,,,,,,,,,23.47136597,23.97260746,24.47384896,24.97509046,25.47633196,25.97757346,26.47881495,26.98005645,31.19661294,30.40865087,29.6206888,28.83272673,29.3679591,29.90319146,30.43842383,30.80266285,31.16690188,33.52150338,34.88078437,36.19921266,37.51764094,38.05986779,38.60209463,39.89452574,44.27690708,43.66707643,45.37887544,46.30158211,46.12809923,43.37814752,47.88653346</t>
  </si>
  <si>
    <t>datastructure,WB.DATA360:DS_DATA360(1.3),I,A,GIN,WB_WDI_ER_H2O_FWST_ZS,_T,_T,_T,PT_FRSH_WAT_RSC,_Z,_Z,_Z,_Z,RATIO,2,WB_WDI,P1Y,Level of water stress: freshwater withdrawal as a proportion of available freshwater resources,0,WB_WDI,PU,A,Annual,Guinea,Level of water stress: freshwater withdrawal as a proportion of available freshwater resources,Total,All age ranges or no breakdown by age,Total,Percentage of freshwater resources,Not Applicable,Not Applicable,Not Applicable,Not Applicable,Ratio,Two,World Development Indicators (WDI),Annual,Units,Normal value,Public,,,,,,,,,,,,,,,,,,,,,,,,,,1.138461539,1.119289941,1.100118343,1.080946746,1.061775148,1.04260355,1.023431953,1.004260355,0.985088757,0.96591716,0.946745562,0.927573965,0.908402367,0.889230769,0.856923077,0.863461539,0.87,0.876538462,0.883076923,0.920473373,0.957869823,0.995266272,1.032662722,1.070059172,1.107455621,1.144852071,1.182248521,1.21964497,1.25704142,1.29443787,1.33183432,1.369230769,1.369230769,1.369230769,1.369230769,1.369230769</t>
  </si>
  <si>
    <t>datastructure,WB.DATA360:DS_DATA360(1.3),I,A,DJI,WB_WDI_ER_H2O_FWST_ZS,_T,_T,_T,PT_FRSH_WAT_RSC,_Z,_Z,_Z,_Z,RATIO,2,WB_WDI,P1Y,Level of water stress: freshwater withdrawal as a proportion of available freshwater resources,0,WB_WDI,PU,A,Annual,Djibouti,Level of water stress: freshwater withdrawal as a proportion of available freshwater resources,Total,All age ranges or no breakdown by age,Total,Percentage of freshwater resources,Not Applicable,Not Applicable,Not Applicable,Not Applicable,Ratio,Two,World Development Indicators (WDI),Annual,Units,Normal value,Public,,,,,,,,,,,,,,,,,,,,,,,,2.666666667,2.911111111,3.155555556,3.4,3.644444444,3.888888889,4.133333333,4.377777778,4.622222222,4.833333333,5.111111111,5.355555556,5.6,5.811111111,6.088888889,6.333333333,6.333333333,6.333333333,6.333333333,6.333333333,6.333333333,6.333333333,6.333333333,6.333333333,6.333333333,6.333333333,6.333333333,6.333333333,6.333333333,6.333333333,6.333333333,6.333333333,6.333333333,6.333333333,6.333333333,6.333333333,6.333333333,6.333333333</t>
  </si>
  <si>
    <t>datastructure,WB.DATA360:DS_DATA360(1.3),I,A,SVK,WB_WDI_ER_H2O_FWST_ZS,_T,_T,_T,PT_FRSH_WAT_RSC,_Z,_Z,_Z,_Z,RATIO,2,WB_WDI,P1Y,Level of water stress: freshwater withdrawal as a proportion of available freshwater resources,0,WB_WDI,PU,A,Annual,Slovak Republic,Level of water stress: freshwater withdrawal as a proportion of available freshwater resources,Total,All age ranges or no breakdown by age,Total,Percentage of freshwater resources,Not Applicable,Not Applicable,Not Applicable,Not Applicable,Ratio,Two,World Development Indicators (WDI),Annual,Units,Normal value,Public,,,,,,,,,,,,,,,,,,,,,,,,,,,,,,,,3.137724551,2.952095808,2.766467066,2.690618763,5.636833047,5.438181297,5.239529547,5.040877797,4.875,4.709122203,4.440189329,4.171256454,3.90232358,3.431153184,2.959982788,2.855851979,2.702667814,2.584767642,2.552065405,2.862736661,2.742685026,2.406626506,2.468158348,2.389414802,2.393717728,2.394578313,2.403614458,2.388123924,2.436631239,2.425230293</t>
  </si>
  <si>
    <t>datastructure,WB.DATA360:DS_DATA360(1.3),I,A,SSD,WB_WDI_ER_H2O_FWST_ZS,_T,_T,_T,PT_FRSH_WAT_RSC,_Z,_Z,_Z,_Z,RATIO,2,WB_WDI,P1Y,Level of water stress: freshwater withdrawal as a proportion of available freshwater resources,0,WB_WDI,PU,A,Annual,South Sudan,Level of water stress: freshwater withdrawal as a proportion of available freshwater resources,Total,All age ranges or no breakdown by age,Total,Percentage of freshwater resources,Not Applicable,Not Applicable,Not Applicable,Not Applicable,Ratio,Two,World Development Indicators (WDI),Annual,Units,Normal value,Public,,,,,,,,,,,,,,,,,,,,,,,,,,,,,,,,,,,,,,,,,,,,,,,,,,,4.226075787,4.226075787,4.226075787,4.226075787,4.226075787,4.226075787,4.226075787,4.226075787,4.226075787,4.226075787,4.226075787</t>
  </si>
  <si>
    <t>datastructure,WB.DATA360:DS_DATA360(1.3),I,A,SUR,WB_WDI_ER_H2O_FWST_ZS,_T,_T,_T,PT_FRSH_WAT_RSC,_Z,_Z,_Z,_Z,RATIO,2,WB_WDI,P1Y,Level of water stress: freshwater withdrawal as a proportion of available freshwater resources,0,WB_WDI,PU,A,Annual,Suriname,Level of water stress: freshwater withdrawal as a proportion of available freshwater resources,Total,All age ranges or no breakdown by age,Total,Percentage of freshwater resources,Not Applicable,Not Applicable,Not Applicable,Not Applicable,Ratio,Two,World Development Indicators (WDI),Annual,Units,Normal value,Public,,,,,,,,,,,,,,,,,,,,,,,,,,2.950609365,3.054226082,3.157842799,3.261459516,3.365076232,3.468692949,3.572309666,3.675926383,3.7795431,3.883159817,3.986776533,4.09039325,4.194009967,4.297626684,4.239790464,4.181954244,4.124118024,4.066281805,4.008445585,3.950609365,3.950609365,3.950609365,3.950609365,3.950609365,3.950609365,3.950609365,3.950609365,3.950609365,3.950609365,3.950609365,3.950609365,3.950609365,3.950609365,3.950609365,3.950609365,3.950609365</t>
  </si>
  <si>
    <t>datastructure,WB.DATA360:DS_DATA360(1.3),I,A,DNK,WB_WDI_ER_H2O_FWST_ZS,_T,_T,_T,PT_FRSH_WAT_RSC,_Z,_Z,_Z,_Z,RATIO,2,WB_WDI,P1Y,Level of water stress: freshwater withdrawal as a proportion of available freshwater resources,0,WB_WDI,PU,A,Annual,Denmark,Level of water stress: freshwater withdrawal as a proportion of available freshwater resources,Total,All age ranges or no breakdown by age,Total,Percentage of freshwater resources,Not Applicable,Not Applicable,Not Applicable,Not Applicable,Ratio,Two,World Development Indicators (WDI),Annual,Units,Normal value,Public,,,,,,,,,19.46998378,22.09302326,24.71606274,27.33910222,29.9621417,32.58518118,32.58518118,32.58518118,32.58518118,32.58518118,32.58518118,35.28934559,37.99351001,40.69767442,43.40183883,46.10600325,41.14836849,36.19073373,31.23309897,33.16797287,35.10284677,33.6325413,32.16223583,30.69193036,29.22162489,27.75131943,26.28101396,24.81070849,23.38236885,21.95402921,20.52568956,19.09734992,17.66901028,17.45087435,17.23273842,17.01460249,16.01676582,15.01892915,18.82098432,17.83937263,21.87398594,23.40995133,19.69983775,27.28501893,26.74959438,21.95240671,23.98580314,24.22385073,29.90310979,25.57041644,25.61592753,25.93739859,25.26636019</t>
  </si>
  <si>
    <t>datastructure,WB.DATA360:DS_DATA360(1.3),I,A,GHA,WB_WDI_ER_H2O_FWST_ZS,_T,_T,_T,PT_FRSH_WAT_RSC,_Z,_Z,_Z,_Z,RATIO,2,WB_WDI,P1Y,Level of water stress: freshwater withdrawal as a proportion of available freshwater resources,0,WB_WDI,PU,A,Annual,Ghana,Level of water stress: freshwater withdrawal as a proportion of available freshwater resources,Total,All age ranges or no breakdown by age,Total,Percentage of freshwater resources,Not Applicable,Not Applicable,Not Applicable,Not Applicable,Ratio,Two,World Development Indicators (WDI),Annual,Units,Normal value,Public,,,,,,,,,1.307759372,1.406858471,1.505957571,1.60505667,1.704155769,1.803254868,1.902353967,2.001453066,2.100552165,2.199651264,2.298750363,2.397849462,2.496948562,2.596047661,2.69514676,2.794245859,2.893344958,2.992444057,3.091543156,3.190642255,3.289741354,3.388840453,3.487939553,3.587038652,3.686137751,3.78523685,3.884335949,3.983435048,4.082534147,4.181633246,4.280732345,4.398975589,4.517218832,4.635462075,4.753705318,4.871948562,4.990191805,5.108435048,5.226678291,5.344921534,5.463164778,5.594485615,5.734524847,5.830972101,5.932650392,6.27059721,6.314734089,6.314734089,6.314734089,6.314734089,6.314734089,6.314734089,6.314734089</t>
  </si>
  <si>
    <t>datastructure,WB.DATA360:DS_DATA360(1.3),I,A,UZB,WB_WDI_ER_H2O_FWST_ZS,_T,_T,_T,PT_FRSH_WAT_RSC,_Z,_Z,_Z,_Z,RATIO,2,WB_WDI,P1Y,Level of water stress: freshwater withdrawal as a proportion of available freshwater resources,0,WB_WDI,PU,A,Annual,Uzbekistan,Level of water stress: freshwater withdrawal as a proportion of available freshwater resources,Total,All age ranges or no breakdown by age,Total,Percentage of freshwater resources,Not Applicable,Not Applicable,Not Applicable,Not Applicable,Ratio,Two,World Development Indicators (WDI),Annual,Units,Normal value,Public,,,,,,,,,,,,,,,,,,,,,,,,,,,,,,,,,154.1812446,153.9978423,153.81444,153.6310377,153.4476354,153.2642331,153.0808308,154.1152853,150.8316605,147.5480356,144.2644107,140.9807858,141.3950228,141.8092598,142.2234968,142.6377338,143.0519708,143.4662078,143.8804448,144.2946818,144.7089188,158.1273301,156.4468024,168.924577,160.3842845,151.843992,143.3897333,121.8812733,123.0283912</t>
  </si>
  <si>
    <t>datastructure,WB.DATA360:DS_DATA360(1.3),I,A,BGR,WB_WDI_ER_H2O_FWST_ZS,_T,_T,_T,PT_FRSH_WAT_RSC,_Z,_Z,_Z,_Z,RATIO,2,WB_WDI,P1Y,Level of water stress: freshwater withdrawal as a proportion of available freshwater resources,0,WB_WDI,PU,A,Annual,Bulgaria,Level of water stress: freshwater withdrawal as a proportion of available freshwater resources,Total,All age ranges or no breakdown by age,Total,Percentage of freshwater resources,Not Applicable,Not Applicable,Not Applicable,Not Applicable,Ratio,Two,World Development Indicators (WDI),Annual,Units,Normal value,Public,,,,,,,,,,,,,,,,,,,104.8118856,104.6788381,104.5457905,104.412743,104.2796955,104.1466479,100.2255402,96.30443245,92.38332471,88.46221697,56.3505556,55.24872496,54.14689433,53.04506369,51.94323305,50.84140242,49.73957178,48.63774115,47.53591051,46.43407988,45.33003178,43.11774706,48.70056915,48.12861261,47.55665607,46.98469953,46.412743,45.84078646,47.4905758,45.23837682,44.05351467,47.19491463,42.23963338,40.41688225,39.73686156,41.60987508,42.05041023,41.82127282,40.09904649,40.0768719,36.72850913,38.52465075,40.23530092</t>
  </si>
  <si>
    <t>datastructure,WB.DATA360:DS_DATA360(1.3),I,A,NOR,WB_WDI_ER_H2O_FWST_ZS,_T,_T,_T,PT_FRSH_WAT_RSC,_Z,_Z,_Z,_Z,RATIO,2,WB_WDI,P1Y,Level of water stress: freshwater withdrawal as a proportion of available freshwater resources,0,WB_WDI,PU,A,Annual,Norway,Level of water stress: freshwater withdrawal as a proportion of available freshwater resources,Total,All age ranges or no breakdown by age,Total,Percentage of freshwater resources,Not Applicable,Not Applicable,Not Applicable,Not Applicable,Ratio,Two,World Development Indicators (WDI),Annual,Units,Normal value,Public,,,,,,,,,,,,,,,,,,,1.520912548,1.540869772,1.560826996,1.580784221,1.600741445,1.620698669,1.640655894,1.660613118,1.680570342,1.700527567,1.720484791,1.740442015,1.76039924,1.780356464,1.800313688,1.820270913,1.840228137,1.822078581,1.803929024,1.785779468,1.829972841,1.95370994,1.942237914,1.960956002,2.136328083,2.083030961,2.234980989,2.301140684,2.231368821,2.161596958,2.133536122,2.10539924,2.077338403,2.094144487,2.11313308,2.063368821,2.013604563,2.046106464,2.044449926,2.042937874,2.041311754,2.009498099,2.044007605</t>
  </si>
  <si>
    <t>datastructure,WB.DATA360:DS_DATA360(1.3),I,A,CMR,WB_WDI_ER_H2O_FWST_ZS,_T,_T,_T,PT_FRSH_WAT_RSC,_Z,_Z,_Z,_Z,RATIO,2,WB_WDI,P1Y,Level of water stress: freshwater withdrawal as a proportion of available freshwater resources,0,WB_WDI,PU,A,Annual,Cameroon,Level of water stress: freshwater withdrawal as a proportion of available freshwater resources,Total,All age ranges or no breakdown by age,Total,Percentage of freshwater resources,Not Applicable,Not Applicable,Not Applicable,Not Applicable,Ratio,Two,World Development Indicators (WDI),Annual,Units,Normal value,Public,,,,,,,,,,,,,,,,,,,,,,,,,,0.567741936,0.568888889,0.570035842,0.571182796,0.572329749,0.573476703,0.674982079,0.776487455,0.877992832,0.979498208,1.081003584,1.182508961,1.284014337,1.385519713,1.420501792,1.455483871,1.49046595,1.525448029,1.560430108,1.560430108,1.560430108,1.560430108,1.560430108,1.560430108,1.560430108,1.560430108,1.560430108,1.560430108,1.560430108,1.560430108,1.560430108,1.560430108,1.560430108,1.560430108,1.560430108,1.560430108</t>
  </si>
  <si>
    <t>datastructure,WB.DATA360:DS_DATA360(1.3),I,A,ALB,WB_WDI_ER_H2O_FWST_ZS,_T,_T,_T,PT_FRSH_WAT_RSC,_Z,_Z,_Z,_Z,RATIO,2,WB_WDI,P1Y,Level of water stress: freshwater withdrawal as a proportion of available freshwater resources,0,WB_WDI,PU,A,Annual,Albania,Level of water stress: freshwater withdrawal as a proportion of available freshwater resources,Total,All age ranges or no breakdown by age,Total,Percentage of freshwater resources,Not Applicable,Not Applicable,Not Applicable,Not Applicable,Ratio,Two,World Development Indicators (WDI),Annual,Units,Normal value,Public,,,,,,,,,,,,,,,,,,,,,,,,,,,,,7.211538462,7.162139423,7.112740385,7.063341346,7.013942308,6.964543269,7.780528846,8.596514423,9.4125,10.22848558,11.04447115,10.51959135,9.994711539,9.469831731,8.944951923,8.420072115,7.646754808,7.4984375,7.350120192,7.201802885,7.053485577,6.905168269,6.756850962,6.608533654,6.460216346,5.528846154,6.5625,6.556490385,5.757211539,6.796875,4.723557692,4.783653846,4.789663462</t>
  </si>
  <si>
    <t>datastructure,WB.DATA360:DS_DATA360(1.3),I,A,ARM,WB_WDI_ER_H2O_FWST_ZS,_T,_T,_T,PT_FRSH_WAT_RSC,_Z,_Z,_Z,_Z,RATIO,2,WB_WDI,P1Y,Level of water stress: freshwater withdrawal as a proportion of available freshwater resources,0,WB_WDI,PU,A,Annual,Armenia,Level of water stress: freshwater withdrawal as a proportion of available freshwater resources,Total,All age ranges or no breakdown by age,Total,Percentage of freshwater resources,Not Applicable,Not Applicable,Not Applicable,Not Applicable,Ratio,Two,World Development Indicators (WDI),Annual,Units,Normal value,Public,,,,,,,,,,,,,,,,,,,,,,,,,,,,,,,,64.51482752,60.17752673,51.05910833,45.93504136,37.32096026,40.22594311,39.66108533,37.74460359,34.81944725,34.96066169,39.86282025,50.49425055,55.90074642,57.03046197,60.762558,57.95844261,49.70748437,42.90901755,49.18297357,59.33024006,59.61266895,57.69618721,65.98749243,64.17187815,57.89792213,54.75085737,57.79705467,57.09098245,59.85475086,61.97296752</t>
  </si>
  <si>
    <t>datastructure,WB.DATA360:DS_DATA360(1.3),I,A,EGY,WB_WDI_ER_H2O_FWST_ZS,_T,_T,_T,PT_FRSH_WAT_RSC,_Z,_Z,_Z,_Z,RATIO,2,WB_WDI,P1Y,Level of water stress: freshwater withdrawal as a proportion of available freshwater resources,0,WB_WDI,PU,A,Annual,"Egypt, Arab Rep.",Level of water stress: freshwater withdrawal as a proportion of available freshwater resources,Total,All age ranges or no breakdown by age,Total,Percentage of freshwater resources,Not Applicable,Not Applicable,Not Applicable,Not Applicable,Ratio,Two,World Development Indicators (WDI),Annual,Units,Normal value,Public,,,,,,,,,,,,,,87.79599271,88.49423194,89.19247116,89.89071038,90.58894961,91.28718883,91.98542805,92.68366727,93.3819065,94.08014572,94.77838494,95.47662417,96.17486339,96.87310261,97.57134183,98.22404372,98.92228294,99.62052216,99.95446266,103.2391361,106.5238095,109.8128545,113.1018996,116.3909446,119.6799896,103.8797814,106.9344262,109.989071,113.0437158,116.0983607,119.1530055,122.2076503,125.2622951,128.3169399,131.3715847,134.4262295,130.5100182,131.6939891,132.9690346,110.564663,110.9289617,110.4735883,141.1657559,141.1657559,141.1657559,141.1657559,141.1657559,141.1657559</t>
  </si>
  <si>
    <t>datastructure,WB.DATA360:DS_DATA360(1.3),I,A,MAR,WB_WDI_ER_H2O_FWST_ZS,_T,_T,_T,PT_FRSH_WAT_RSC,_Z,_Z,_Z,_Z,RATIO,2,WB_WDI,P1Y,Level of water stress: freshwater withdrawal as a proportion of available freshwater resources,0,WB_WDI,PU,A,Annual,Morocco,Level of water stress: freshwater withdrawal as a proportion of available freshwater resources,Total,All age ranges or no breakdown by age,Total,Percentage of freshwater resources,Not Applicable,Not Applicable,Not Applicable,Not Applicable,Ratio,Two,World Development Indicators (WDI),Annual,Units,Normal value,Public,,,,,,,,,,,,,,43.20069121,44.20870734,45.21672347,46.2247396,47.23275572,48.24077185,49.15278644,50.06480104,50.97681563,51.88883022,52.80084481,51.82162915,50.84241348,49.86319781,48.88398214,47.88844622,50.44448711,53.00052801,52.96692747,53.69653914,54.03254452,54.41405462,55.93078289,57.44751116,58.96423943,60.4809677,65.79225268,71.10353766,68.55949695,66.01545625,63.47141554,60.92737484,58.38333413,55.83929343,53.29525272,50.75121202,50.75121202,50.75121202,50.75121202,50.75121202,50.75121202,50.75121202,50.75121202,50.75121202,50.75121202,50.75121202,50.75121202,50.75121202</t>
  </si>
  <si>
    <t>datastructure,WB.DATA360:DS_DATA360(1.3),I,A,SDN,WB_WDI_ER_H2O_FWST_ZS,_T,_T,_T,PT_FRSH_WAT_RSC,_Z,_Z,_Z,_Z,RATIO,2,WB_WDI,P1Y,Level of water stress: freshwater withdrawal as a proportion of available freshwater resources,0,WB_WDI,PU,A,Annual,Sudan,Level of water stress: freshwater withdrawal as a proportion of available freshwater resources,Total,All age ranges or no breakdown by age,Total,Percentage of freshwater resources,Not Applicable,Not Applicable,Not Applicable,Not Applicable,Ratio,Two,World Development Indicators (WDI),Annual,Units,Normal value,Public,,,,,,,,,,,,,,,,,,,,,,,,,,,,,,,,,,,,,,,,,,,,,,,,,,,118.6563877,118.6563877,118.6563877,118.6563877,118.6563877,118.6563877,118.6563877,118.6563877,118.6563877,118.6563877,118.6563877</t>
  </si>
  <si>
    <t>datastructure,WB.DATA360:DS_DATA360(1.3),I,A,MDA,WB_WDI_ER_H2O_FWST_ZS,_T,_T,_T,PT_FRSH_WAT_RSC,_Z,_Z,_Z,_Z,RATIO,2,WB_WDI,P1Y,Level of water stress: freshwater withdrawal as a proportion of available freshwater resources,0,WB_WDI,PU,A,Annual,Moldova,Level of water stress: freshwater withdrawal as a proportion of available freshwater resources,Total,All age ranges or no breakdown by age,Total,Percentage of freshwater resources,Not Applicable,Not Applicable,Not Applicable,Not Applicable,Ratio,Two,World Development Indicators (WDI),Annual,Units,Normal value,Public,,,,,,,,,,,,,,,,,,,,,,,,,,,,,,,29.15057915,27.51188001,25.87318087,24.23448173,26.08159068,22.11099711,21.62621163,21.14142614,20.65664066,12.97891298,12.86011286,12.83041283,12.65221265,12.65221265,12.68191268,12.68191268,12.78586279,12.84526285,12.63736264,12.57796258,12.62251262,12.45916246,12.41461241,12.47401247,12.5037125,12.47401247,12.42946243,12.45916246,12.56311256,12.56311256,12.56311256</t>
  </si>
  <si>
    <t>datastructure,WB.DATA360:DS_DATA360(1.3),I,A,LUX,WB_WDI_ER_H2O_FWST_ZS,_T,_T,_T,PT_FRSH_WAT_RSC,_Z,_Z,_Z,_Z,RATIO,2,WB_WDI,P1Y,Level of water stress: freshwater withdrawal as a proportion of available freshwater resources,0,WB_WDI,PU,A,Annual,Luxembourg,Level of water stress: freshwater withdrawal as a proportion of available freshwater resources,Total,All age ranges or no breakdown by age,Total,Percentage of freshwater resources,Not Applicable,Not Applicable,Not Applicable,Not Applicable,Ratio,Two,World Development Indicators (WDI),Annual,Units,Normal value,Public,,,,,,,,,2.885572139,3.013266998,3.140961857,3.268656716,3.396351576,3.524046435,3.47761194,3.431177446,3.384742952,3.338308458,3.291873964,3.744610282,4.1973466,4.650082919,5.102819237,5.555555556,5.472636816,5.389718076,5.306799337,5.223880597,5.140961857,5.058043118,4.975124378,4.892205639,4.809286899,4.726368159,4.805140962,4.883913765,4.962686567,5.04145937,4.927031509,4.812603648,4.698175788,4.583747927,4.469320066,4.354892206,4.240464345,4.126036484,4.011608624,3.897180763,3.946932007,3.839137645,3.698175788,3.573797678,3.814262023,3.714759536,3.68159204,3.781094527,4.328358209,4.087893864,3.963515755,3.816749585,3.95854063</t>
  </si>
  <si>
    <t>datastructure,WB.DATA360:DS_DATA360(1.3),I,A,JPN,WB_WDI_ER_H2O_FWST_ZS,_T,_T,_T,PT_FRSH_WAT_RSC,_Z,_Z,_Z,_Z,RATIO,2,WB_WDI,P1Y,Level of water stress: freshwater withdrawal as a proportion of available freshwater resources,0,WB_WDI,PU,A,Annual,Japan,Level of water stress: freshwater withdrawal as a proportion of available freshwater resources,Total,All age ranges or no breakdown by age,Total,Percentage of freshwater resources,Not Applicable,Not Applicable,Not Applicable,Not Applicable,Ratio,Two,World Development Indicators (WDI),Annual,Units,Normal value,Public,,,,,,,,,,,,,,,,,,,40.55172414,40.68030651,40.80888889,40.93747126,41.06605364,41.19463602,41.32321839,41.45180077,41.58038314,41.70896552,41.83754789,41.9302682,42.02298851,41.63678161,41.25057471,40.84597701,40.92643678,41.00689655,41.19233716,41.37777778,41.56321839,40.1954023,38.82758621,38.67126437,38.51494253,38.35862069,38.20229885,38.04597701,37.69471264,37.34344828,37.24348112,37.14351396,37.0435468,36.94357964,36.84361248,36.74364532,36.64367816,36.45977011,36.36781609,36.04597701,36.64367816,36.64367816,36.64367816</t>
  </si>
  <si>
    <t>datastructure,WB.DATA360:DS_DATA360(1.3),I,A,YEM,WB_WDI_ER_H2O_FWST_ZS,_T,_T,_T,PT_FRSH_WAT_RSC,_Z,_Z,_Z,_Z,RATIO,2,WB_WDI,P1Y,Level of water stress: freshwater withdrawal as a proportion of available freshwater resources,0,WB_WDI,PU,A,Annual,"Yemen, Rep.",Level of water stress: freshwater withdrawal as a proportion of available freshwater resources,Total,All age ranges or no breakdown by age,Total,Percentage of freshwater resources,Not Applicable,Not Applicable,Not Applicable,Not Applicable,Ratio,Two,World Development Indicators (WDI),Annual,Units,Normal value,Public,,,,,,,,,,,,,,,,,,,,,,,,,,,,,139.1428571,141.3714286,143.6,145.8285714,148.0571429,150.2857143,152.5142857,154.7428571,156.9714286,159.2,161.1428571,162.8666667,164.5904762,166.3142857,168.0380952,169.7619048,169.7619048,169.7619048,169.7619048,169.7619048,169.7619048,169.7619048,169.7619048,169.7619048,169.7619048,169.7619048,169.7619048,169.7619048,169.7619048,169.7619048,169.7619048,169.7619048,169.7619048</t>
  </si>
  <si>
    <t>datastructure,WB.DATA360:DS_DATA360(1.3),I,A,GTM,WB_WDI_ER_H2O_FWST_ZS,_T,_T,_T,PT_FRSH_WAT_RSC,_Z,_Z,_Z,_Z,RATIO,2,WB_WDI,P1Y,Level of water stress: freshwater withdrawal as a proportion of available freshwater resources,0,WB_WDI,PU,A,Annual,Guatemala,Level of water stress: freshwater withdrawal as a proportion of available freshwater resources,Total,All age ranges or no breakdown by age,Total,Percentage of freshwater resources,Not Applicable,Not Applicable,Not Applicable,Not Applicable,Ratio,Two,World Development Indicators (WDI),Annual,Units,Normal value,Public,,,,,,,,,,,,,,,,,,,,,,,,,,,,,,,,,,,,,,,,4.193120779,4.50291604,4.8127113,5.12250656,5.43230182,5.742097081,5.742097081,5.742097081,5.742097081,5.742097081,5.742097081,5.742097081,5.742097081,5.742097081,5.742097081,5.742097081,5.742097081,5.742097081,5.742097081,5.742097081,5.742097081,5.742097081</t>
  </si>
  <si>
    <t>datastructure,WB.DATA360:DS_DATA360(1.3),I,A,MOZ,WB_WDI_ER_H2O_FWST_ZS,_T,_T,_T,PT_FRSH_WAT_RSC,_Z,_Z,_Z,_Z,RATIO,2,WB_WDI,P1Y,Level of water stress: freshwater withdrawal as a proportion of available freshwater resources,0,WB_WDI,PU,A,Annual,Mozambique,Level of water stress: freshwater withdrawal as a proportion of available freshwater resources,Total,All age ranges or no breakdown by age,Total,Percentage of freshwater resources,Not Applicable,Not Applicable,Not Applicable,Not Applicable,Ratio,Two,World Development Indicators (WDI),Annual,Units,Normal value,Public,,,,,,,,,,,,,,,,,,,,,,,,,,,,,0.719381689,0.750958815,0.782535942,0.814113069,0.845690196,0.877267323,0.908844449,0.940421576,0.971998703,1.00357583,1.035152956,1.07412604,1.129668762,1.185211483,1.240754204,1.296296925,1.341815866,1.387334806,1.432853746,1.478372686,1.523891626,1.569410566,1.614929506,1.660448446,1.705967386,1.751486326,1.751486326,1.751486326,1.751486326,1.751486326,1.751486326,1.751486326,1.751486326</t>
  </si>
  <si>
    <t>datastructure,WB.DATA360:DS_DATA360(1.3),I,A,ZMB,WB_WDI_ER_H2O_FWST_ZS,_T,_T,_T,PT_FRSH_WAT_RSC,_Z,_Z,_Z,_Z,RATIO,2,WB_WDI,P1Y,Level of water stress: freshwater withdrawal as a proportion of available freshwater resources,0,WB_WDI,PU,A,Annual,Zambia,Level of water stress: freshwater withdrawal as a proportion of available freshwater resources,Total,All age ranges or no breakdown by age,Total,Percentage of freshwater resources,Not Applicable,Not Applicable,Not Applicable,Not Applicable,Ratio,Two,World Development Indicators (WDI),Annual,Units,Normal value,Public,,,,,,,,,,,,,,,,,,,,,,,,,,,,,,,3.151154401,3.114177489,3.077200577,3.046987735,3.016774892,2.986562049,2.956349206,2.926136364,2.895923521,2.865710678,2.835497836,2.835497836,2.835497836,2.835497836,2.835497836,2.835497836,2.835497836,2.835497836,2.835497836,2.835497836,2.835497836,2.835497836,2.835497836,2.835497836,2.835497836,2.835497836,2.835497836,2.835497836,2.835497836,2.835497836,2.835497836</t>
  </si>
  <si>
    <t>datastructure,WB.DATA360:DS_DATA360(1.3),I,A,BRA,WB_WDI_ER_H2O_FWST_ZS,_T,_T,_T,PT_FRSH_WAT_RSC,_Z,_Z,_Z,_Z,RATIO,2,WB_WDI,P1Y,Level of water stress: freshwater withdrawal as a proportion of available freshwater resources,0,WB_WDI,PU,A,Annual,Brazil,Level of water stress: freshwater withdrawal as a proportion of available freshwater resources,Total,All age ranges or no breakdown by age,Total,Percentage of freshwater resources,Not Applicable,Not Applicable,Not Applicable,Not Applicable,Ratio,Two,World Development Indicators (WDI),Annual,Units,Normal value,Public,,,,,,,,,,,,,,,,,,,,,,,,,,1.656737589,1.760703966,1.864670344,1.968636722,2.0726031,2.177620173,2.28179669,2.385973207,2.490149724,2.592434988,2.607754137,2.623073286,2.638392435,2.652955083,2.668085106,2.68321513,2.698345154,2.713475177,2.728605201,2.743735225,2.941843972,3.139527187,3.337393617,3.535260047,3.419178487,3.303096927,3.187015366,3.074326241,3.019385343,3.135224586,3.105437352,1.464112726,1.484808454,1.47688177,1.481946279,1.495816821</t>
  </si>
  <si>
    <t>datastructure,WB.DATA360:DS_DATA360(1.3),I,A,PRK,WB_WDI_ER_H2O_FWST_ZS,_T,_T,_T,PT_FRSH_WAT_RSC,_Z,_Z,_Z,_Z,RATIO,2,WB_WDI,P1Y,Level of water stress: freshwater withdrawal as a proportion of available freshwater resources,0,WB_WDI,PU,A,Annual,"Korea, Dem. People's Rep.",Level of water stress: freshwater withdrawal as a proportion of available freshwater resources,Total,All age ranges or no breakdown by age,Total,Percentage of freshwater resources,Not Applicable,Not Applicable,Not Applicable,Not Applicable,Ratio,Two,World Development Indicators (WDI),Annual,Units,Normal value,Public,,,,,,,,,,,,,,,,,,,,,,,,,,,,,,,,,,,,,,,27.41300865,27.47850048,27.54399231,27.60948414,27.67497597,27.7404678,27.7404678,27.7404678,27.7404678,27.7404678,27.7404678,27.7404678,27.7404678,27.7404678,27.7404678,27.7404678,27.7404678,27.7404678,27.7404678,27.7404678,27.7404678,27.7404678,27.7404678</t>
  </si>
  <si>
    <t>datastructure,WB.DATA360:DS_DATA360(1.3),I,A,ATG,WB_WDI_ER_H2O_FWST_ZS,_T,_T,_T,PT_FRSH_WAT_RSC,_Z,_Z,_Z,_Z,RATIO,2,WB_WDI,P1Y,Level of water stress: freshwater withdrawal as a proportion of available freshwater resources,0,WB_WDI,PU,A,Annual,Antigua and Barbuda,Level of water stress: freshwater withdrawal as a proportion of available freshwater resources,Total,All age ranges or no breakdown by age,Total,Percentage of freshwater resources,Not Applicable,Not Applicable,Not Applicable,Not Applicable,Ratio,Two,World Development Indicators (WDI),Annual,Units,Normal value,Public,,,,,,,,,,,,,,,,,,,,,,,,,,,,,3.269230769,3.705128205,4.141025641,4.576923077,5.012820513,5.448717949,5.884615385,6.320512821,6.756410256,7.192307692,7.628205128,8.064102564,8.5,8.935897436,9.371794872,9.807692308,9.615384615,9.423076923,9.230769231,9.038461539,8.846153846,8.653846154,8.461538462,8.461538462,8.461538462,8.461538462,8.461538462,8.461538462,8.461538462,8.461538462,8.461538462,8.461538462,8.461538462</t>
  </si>
  <si>
    <t>datastructure,WB.DATA360:DS_DATA360(1.3),I,A,MWI,WB_WDI_ER_H2O_FWST_ZS,_T,_T,_T,PT_FRSH_WAT_RSC,_Z,_Z,_Z,_Z,RATIO,2,WB_WDI,P1Y,Level of water stress: freshwater withdrawal as a proportion of available freshwater resources,0,WB_WDI,PU,A,Annual,Malawi,Level of water stress: freshwater withdrawal as a proportion of available freshwater resources,Total,All age ranges or no breakdown by age,Total,Percentage of freshwater resources,Not Applicable,Not Applicable,Not Applicable,Not Applicable,Ratio,Two,World Development Indicators (WDI),Annual,Units,Normal value,Public,,,,,,,,,,,,,,,,,,,,,,,,,,,,,,,,,12.07586118,12.7214768,13.36709242,14.01270804,14.65832366,15.30393928,15.9495549,16.60605083,17.26254677,17.34331054,17.42407431,17.50483809,17.50483809,17.50483809,17.50483809,17.50483809,17.50483809,17.50483809,17.50483809,17.50483809,17.50483809,17.50483809,17.50483809,17.50483809,17.50483809,17.50483809,17.50483809,17.50483809,17.50483809</t>
  </si>
  <si>
    <t>datastructure,WB.DATA360:DS_DATA360(1.3),I,A,MUS,WB_WDI_ER_H2O_FWST_ZS,_T,_T,_T,PT_FRSH_WAT_RSC,_Z,_Z,_Z,_Z,RATIO,2,WB_WDI,P1Y,Level of water stress: freshwater withdrawal as a proportion of available freshwater resources,0,WB_WDI,PU,A,Annual,Mauritius,Level of water stress: freshwater withdrawal as a proportion of available freshwater resources,Total,All age ranges or no breakdown by age,Total,Percentage of freshwater resources,Not Applicable,Not Applicable,Not Applicable,Not Applicable,Ratio,Two,World Development Indicators (WDI),Annual,Units,Normal value,Public,,,,,,,,,,,,,13.08615049,13.08615049,13.5853629,14.08457531,14.58378771,15.08300012,15.58221253,16.08142494,16.58063734,17.07984975,17.57906216,18.07827457,18.57748697,19.07669938,19.57591179,20.0751242,20.5743366,20.9305707,21.2868048,21.64303889,21.99927299,22.35550709,22.31915667,22.28280625,22.24645583,22.21010542,22.173755,23.56718769,24.96062038,26.35405307,25.73609597,25.11813886,24.7909851,22.90076336,27.84442021,22.97346419,23.15521629,20.7560887,21.15594329,22.10105416,22.53725918,22.24645583,22.53725918,22.173755,21.48309706,21.62849873,22.06470374,21.95565249,22.97346419</t>
  </si>
  <si>
    <t>datastructure,WB.DATA360:DS_DATA360(1.3),I,A,ISL,WB_WDI_ER_H2O_FWST_ZS,_T,_T,_T,PT_FRSH_WAT_RSC,_Z,_Z,_Z,_Z,RATIO,2,WB_WDI,P1Y,Level of water stress: freshwater withdrawal as a proportion of available freshwater resources,0,WB_WDI,PU,A,Annual,Iceland,Level of water stress: freshwater withdrawal as a proportion of available freshwater resources,Total,All age ranges or no breakdown by age,Total,Percentage of freshwater resources,Not Applicable,Not Applicable,Not Applicable,Not Applicable,Ratio,Two,World Development Indicators (WDI),Annual,Units,Normal value,Public,,,,,,,,,,,,,,,,,,,0.146759071,0.147846175,0.148933279,0.150020383,0.151107487,0.152194592,0.167142275,0.182089958,0.197037641,0.211985324,0.226933007,0.226933007,0.226933007,0.226253567,0.225574127,0.224894687,0.224215247,0.223535807,0.222856366,0.222176926,0.221497486,0.222856366,0.224215247,0.224215247,0.224215247,0.246444263,0.26867328,0.290902297,0.313131313,0.33536033,0.357589346,0.378685963,0.399510803,0.39557005,0.37423563,0.379807039,0.353308874,0.394075282,0.394075282,0.394075282,0.394075282,0.394075282,0.394075282</t>
  </si>
  <si>
    <t>datastructure,WB.DATA360:DS_DATA360(1.3),I,A,KAZ,WB_WDI_ER_H2O_FWST_ZS,_T,_T,_T,PT_FRSH_WAT_RSC,_Z,_Z,_Z,_Z,RATIO,2,WB_WDI,P1Y,Level of water stress: freshwater withdrawal as a proportion of available freshwater resources,0,WB_WDI,PU,A,Annual,Kazakhstan,Level of water stress: freshwater withdrawal as a proportion of available freshwater resources,Total,All age ranges or no breakdown by age,Total,Percentage of freshwater resources,Not Applicable,Not Applicable,Not Applicable,Not Applicable,Ratio,Two,World Development Indicators (WDI),Annual,Units,Normal value,Public,,,,,,,,,,,,,,,,,,,,,,,,,,,,,,,,46.10402219,45.29403606,44.48404993,40.96976422,37.4554785,33.94119279,30.42690707,29.12482663,28.89736477,30.86962552,31.85298197,32.78363384,34.38557559,29.46324549,31.64632455,28.39112344,33.09153953,30.50762829,29.67683773,31.33564494,32.04576976,32.01386963,30.03606103,30.00138696,31.14008322,32.6518724,32.61581137,34.09847434,34.00416089,34.62690707</t>
  </si>
  <si>
    <t>datastructure,WB.DATA360:DS_DATA360(1.3),I,A,FIN,WB_WDI_ER_H2O_FWST_ZS,_T,_T,_T,PT_FRSH_WAT_RSC,_Z,_Z,_Z,_Z,RATIO,2,WB_WDI,P1Y,Level of water stress: freshwater withdrawal as a proportion of available freshwater resources,0,WB_WDI,PU,A,Annual,Finland,Level of water stress: freshwater withdrawal as a proportion of available freshwater resources,Total,All age ranges or no breakdown by age,Total,Percentage of freshwater resources,Not Applicable,Not Applicable,Not Applicable,Not Applicable,Ratio,Two,World Development Indicators (WDI),Annual,Units,Normal value,Public,,,,,,,,,7.825468342,7.944036045,8.062603747,8.181171449,8.299739151,8.418306853,8.489447475,8.560588096,8.631728717,8.702869338,8.77400996,8.916291202,9.058572445,9.200853688,9.34313493,9.485416173,8.69196111,7.898506047,7.105050984,6.311595921,5.518140858,5.640976998,5.763813137,5.886649277,6.009485416,6.132321556,5.979191368,5.826061181,5.672930994,5.519800806,6.9612453,8.402689793,9.844134286,11.27330702,12.70247976,14.1316525,15.56082523,14.55015414,13.53948304,12.52881195,11.51814086,10.50746977,9.496798672,8.486127579,7.475456486,6.464785393,5.454114299,5.454114299,6.639791321,7.11406213,7.11406213,7.11406213,7.11406213</t>
  </si>
  <si>
    <t>datastructure,WB.DATA360:DS_DATA360(1.3),I,A,MLI,WB_WDI_ER_H2O_FWST_ZS,_T,_T,_T,PT_FRSH_WAT_RSC,_Z,_Z,_Z,_Z,RATIO,2,WB_WDI,P1Y,Level of water stress: freshwater withdrawal as a proportion of available freshwater resources,0,WB_WDI,PU,A,Annual,Mali,Level of water stress: freshwater withdrawal as a proportion of available freshwater resources,Total,All age ranges or no breakdown by age,Total,Percentage of freshwater resources,Not Applicable,Not Applicable,Not Applicable,Not Applicable,Ratio,Two,World Development Indicators (WDI),Annual,Units,Normal value,Public,,,,,,,,,,,,,,,,,,,,,,,,,,2.098765432,2.517002383,2.935239333,3.353476283,3.771713234,4.189950184,4.608187135,5.026424085,5.444661035,5.862897986,6.259015595,6.655133203,7.051250812,7.447368421,7.84348603,7.875406108,7.907326186,7.939246264,7.971166342,8.00308642,8.00308642,8.00308642,8.00308642,8.00308642,8.00308642,8.00308642,8.00308642,8.00308642,8.00308642,8.00308642,8.00308642,8.00308642,8.00308642,8.00308642,8.00308642,8.00308642</t>
  </si>
  <si>
    <t>datastructure,WB.DATA360:DS_DATA360(1.3),I,A,TLS,WB_WDI_ER_H2O_FWST_ZS,_T,_T,_T,PT_FRSH_WAT_RSC,_Z,_Z,_Z,_Z,RATIO,2,WB_WDI,P1Y,Level of water stress: freshwater withdrawal as a proportion of available freshwater resources,0,WB_WDI,PU,A,Annual,Timor-Leste,Level of water stress: freshwater withdrawal as a proportion of available freshwater resources,Total,All age ranges or no breakdown by age,Total,Percentage of freshwater resources,Not Applicable,Not Applicable,Not Applicable,Not Applicable,Ratio,Two,World Development Indicators (WDI),Annual,Units,Normal value,Public,,,,,,,,,,,,,,,,,,,,,,,,,,,,,,,,,,,,,,,,,,,28.26821032,28.26821032,28.26821032,28.26821032,28.26821032,28.26821032,28.26821032,28.26821032,28.26821032,28.26821032,28.26821032,28.26821032,28.26821032,28.26821032,28.26821032,28.26821032,28.26821032,28.26821032,28.26821032</t>
  </si>
  <si>
    <t>datastructure,WB.DATA360:DS_DATA360(1.3),I,A,SWZ,WB_WDI_ER_H2O_FWST_ZS,_T,_T,_T,PT_FRSH_WAT_RSC,_Z,_Z,_Z,_Z,RATIO,2,WB_WDI,P1Y,Level of water stress: freshwater withdrawal as a proportion of available freshwater resources,0,WB_WDI,PU,A,Annual,Eswatini,Level of water stress: freshwater withdrawal as a proportion of available freshwater resources,Total,All age ranges or no breakdown by age,Total,Percentage of freshwater resources,Not Applicable,Not Applicable,Not Applicable,Not Applicable,Ratio,Two,World Development Indicators (WDI),Annual,Units,Normal value,Public,,,,,,,,,,,,,,,,,,,47.7124183,49.11038489,50.50835149,51.90631808,53.30428468,54.70225127,56.10021786,57.49818446,58.89615105,60.29411765,61.69208424,63.09005084,64.48801743,65.88598402,67.28395062,68.68191721,70.07988381,71.4778504,72.87581699,74.27378359,75.67175018,76.04938272,76.42701525,76.80464779,77.18228032,77.55991285,77.55991285,77.55991285,77.55991285,77.55991285,77.55991285,77.55991285,77.55991285,77.55991285,77.55991285,77.55991285,77.55991285,77.55991285,77.55991285,77.55991285,77.55991285,77.55991285,77.55991285</t>
  </si>
  <si>
    <t>datastructure,WB.DATA360:DS_DATA360(1.3),I,A,SEN,WB_WDI_ER_H2O_FWST_ZS,_T,_T,_T,PT_FRSH_WAT_RSC,_Z,_Z,_Z,_Z,RATIO,2,WB_WDI,P1Y,Level of water stress: freshwater withdrawal as a proportion of available freshwater resources,0,WB_WDI,PU,A,Annual,Senegal,Level of water stress: freshwater withdrawal as a proportion of available freshwater resources,Total,All age ranges or no breakdown by age,Total,Percentage of freshwater resources,Not Applicable,Not Applicable,Not Applicable,Not Applicable,Ratio,Two,World Development Indicators (WDI),Annual,Units,Normal value,Public,,,,,,,,,,,,,,,,,,,,,,,,,,7.230196704,7.324234245,7.418271787,7.512309328,7.60634687,7.700384411,7.794421952,7.888459494,7.982497035,8.076534577,8.170572118,8.264609659,8.358647201,8.452684742,10.12998405,11.80728336,11.89718466,11.98708596,12.07698726,12.16688856,12.25678986,12.35101406,12.44163584,12.53225762,12.62287941,12.71350119,12.80412297,12.89474476,12.98536654,13.07598832,13.15580287,16.0861244,16.2764487,16.2764487,16.2764487,16.2764487</t>
  </si>
  <si>
    <t>datastructure,WB.DATA360:DS_DATA360(1.3),I,A,LBY,WB_WDI_ER_H2O_FWST_ZS,_T,_T,_T,PT_FRSH_WAT_RSC,_Z,_Z,_Z,_Z,RATIO,2,WB_WDI,P1Y,Level of water stress: freshwater withdrawal as a proportion of available freshwater resources,0,WB_WDI,PU,A,Annual,Libya,Level of water stress: freshwater withdrawal as a proportion of available freshwater resources,Total,All age ranges or no breakdown by age,Total,Percentage of freshwater resources,Not Applicable,Not Applicable,Not Applicable,Not Applicable,Ratio,Two,World Development Indicators (WDI),Annual,Units,Normal value,Public,,,,,,,,,,,,,,171.4285714,179.1428571,186.8571429,194.5714286,202.2857143,210.0,257.0,304.0,351.0,398.0,445.0,492.0,539.0,586.0,633.0,680.0,674.2857143,668.5714286,662.8571429,657.1428571,650.6114286,644.08,637.5485714,628.4457143,621.9142857,615.4285714,631.9571429,648.4857143,665.0142857,681.5428571,698.0714286,715.0816327,732.0918367,749.1020408,766.1122449,783.122449,800.1326531,817.1428571,817.1428571,817.1428571,817.1428571,817.1428571,817.1428571,817.1428571,817.1428571,817.1428571,817.1428571,817.1428571</t>
  </si>
  <si>
    <t>datastructure,WB.DATA360:DS_DATA360(1.3),I,A,AFG,WB_WDI_ER_H2O_FWST_ZS,_T,_T,_T,PT_FRSH_WAT_RSC,_Z,_Z,_Z,_Z,RATIO,2,WB_WDI,P1Y,Level of water stress: freshwater withdrawal as a proportion of available freshwater resources,0,WB_WDI,PU,A,Annual,Afghanistan,Level of water stress: freshwater withdrawal as a proportion of available freshwater resources,Total,All age ranges or no breakdown by age,Total,Percentage of freshwater resources,Not Applicable,Not Applicable,Not Applicable,Not Applicable,Ratio,Two,World Development Indicators (WDI),Annual,Units,Normal value,Public,,,,,,,,,,,,,,28.88768898,32.35490911,35.82212923,39.28934935,42.75656947,46.2237896,49.69100972,53.15822984,56.62544996,60.09267009,63.55989021,67.02711033,70.49433045,69.06366582,67.63300118,66.20233654,64.76909672,63.33778829,61.90647986,60.47517143,59.04386299,57.61255456,56.18124613,54.75701944,54.75701944,54.75701944,54.75701944,54.75701944,54.75701944,54.75701944,54.75701944,54.75701944,54.75701944,54.75701944,54.75701944,54.75701944,54.75701944,54.75701944,54.75701944,54.75701944,54.75701944,54.75701944,54.75701944,54.75701944,54.75701944,54.75701944,54.75701944,54.75701944</t>
  </si>
  <si>
    <t>datastructure,WB.DATA360:DS_DATA360(1.3),I,A,NZL,WB_WDI_ER_H2O_FWST_ZS,_T,_T,_T,PT_FRSH_WAT_RSC,_Z,_Z,_Z,_Z,RATIO,2,WB_WDI,P1Y,Level of water stress: freshwater withdrawal as a proportion of available freshwater resources,0,WB_WDI,PU,A,Annual,New Zealand,Level of water stress: freshwater withdrawal as a proportion of available freshwater resources,Total,All age ranges or no breakdown by age,Total,Percentage of freshwater resources,Not Applicable,Not Applicable,Not Applicable,Not Applicable,Ratio,Two,World Development Indicators (WDI),Annual,Units,Normal value,Public,,,,,,,,,,,,,,,,,,,0.97799511,1.09209454,1.206193969,1.320293399,1.434392828,1.548492258,1.620677611,1.692862964,1.765048318,1.837233671,1.909419024,1.981604378,2.053789731,2.125975084,2.198160438,2.270345791,2.342531145,2.414716498,2.486901851,2.559087205,2.76493189,2.970776575,3.17662126,3.382465945,3.58831063,3.794155315,4.0,4.059698452,4.119396903,4.179095355,4.238793806,5.191116544,6.143439283,7.095762021,8.04808476,8.04808476,8.04808476,8.04808476,8.04808476,8.04808476,8.04808476,8.04808476,8.04808476</t>
  </si>
  <si>
    <t>datastructure,WB.DATA360:DS_DATA360(1.3),I,A,SYR,WB_WDI_ER_H2O_FWST_ZS,_T,_T,_T,PT_FRSH_WAT_RSC,_Z,_Z,_Z,_Z,RATIO,2,WB_WDI,P1Y,Level of water stress: freshwater withdrawal as a proportion of available freshwater resources,0,WB_WDI,PU,A,Annual,Syrian Arab Republic,Level of water stress: freshwater withdrawal as a proportion of available freshwater resources,Total,All age ranges or no breakdown by age,Total,Percentage of freshwater resources,Not Applicable,Not Applicable,Not Applicable,Not Applicable,Ratio,Two,World Development Indicators (WDI),Annual,Units,Normal value,Public,,,,,,,,,,,,,,29.74441179,34.40892134,39.0734309,43.73794045,48.40245001,53.06695956,57.73146911,62.39597867,67.06048822,71.72499777,76.38950733,81.05401688,85.71852643,90.38303599,95.04754554,99.7120551,104.3765646,109.0410742,113.7055838,119.7702378,120.1531748,124.3565767,128.479829,132.8435301,130.8932229,134.2238846,138.5163416,145.6852792,128.6401282,125.6541099,125.9631312,125.9631312,125.9631312,125.9631312,125.5623831,125.1616351,124.760887,124.3601389,124.3601389,124.3601389,124.3601389,124.3601389,124.3601389,124.3601389,124.3601389,124.3601389,124.3601389,124.3601389</t>
  </si>
  <si>
    <t>datastructure,WB.DATA360:DS_DATA360(1.3),I,A,TZA,WB_WDI_ER_H2O_FWST_ZS,_T,_T,_T,PT_FRSH_WAT_RSC,_Z,_Z,_Z,_Z,RATIO,2,WB_WDI,P1Y,Level of water stress: freshwater withdrawal as a proportion of available freshwater resources,0,WB_WDI,PU,A,Annual,Tanzania,Level of water stress: freshwater withdrawal as a proportion of available freshwater resources,Total,All age ranges or no breakdown by age,Total,Percentage of freshwater resources,Not Applicable,Not Applicable,Not Applicable,Not Applicable,Ratio,Two,World Development Indicators (WDI),Annual,Units,Normal value,Public,,,,,,,,,,,,,,,,,,,,,,,,,,,,,,,,,3.714053513,4.870201926,6.026350338,7.18249875,8.338647162,9.494795574,10.65094399,11.8070924,12.96324081,12.96324081,12.96324081,12.96324081,12.96324081,12.96324081,12.96324081,12.96324081,12.96324081,12.96324081,12.96324081,12.96324081,12.96324081,12.96324081,12.96324081,12.96324081,12.96324081,12.96324081,12.96324081,12.96324081,12.96324081</t>
  </si>
  <si>
    <t>datastructure,WB.DATA360:DS_DATA360(1.3),I,A,COG,WB_WDI_ER_H2O_FWST_ZS,_T,_T,_T,PT_FRSH_WAT_RSC,_Z,_Z,_Z,_Z,RATIO,2,WB_WDI,P1Y,Level of water stress: freshwater withdrawal as a proportion of available freshwater resources,0,WB_WDI,PU,A,Annual,"Congo, Rep.",Level of water stress: freshwater withdrawal as a proportion of available freshwater resources,Total,All age ranges or no breakdown by age,Total,Percentage of freshwater resources,Not Applicable,Not Applicable,Not Applicable,Not Applicable,Ratio,Two,World Development Indicators (WDI),Annual,Units,Normal value,Public,,,,,,,,,,,,,,,,,,,,,,,,,,0.023866348,0.024105012,0.024343675,0.024582339,0.024821002,0.025059666,0.025298329,0.025536993,0.025775656,0.02601432,0.026252983,0.026491647,0.02673031,0.026968974,0.027207637,0.027446301,0.027446301,0.027446301,0.027446301,0.027446301,0.027446301,0.027446301,0.027446301,0.027446301,0.027446301,0.027446301,0.027446301,0.027446301,0.027446301,0.027446301,0.027446301,0.027446301,0.027446301,0.027446301,0.027446301,0.027446301</t>
  </si>
  <si>
    <t>datastructure,WB.DATA360:DS_DATA360(1.3),I,A,BIH,WB_WDI_ER_H2O_FWST_ZS,_T,_T,_T,PT_FRSH_WAT_RSC,_Z,_Z,_Z,_Z,RATIO,2,WB_WDI,P1Y,Level of water stress: freshwater withdrawal as a proportion of available freshwater resources,0,WB_WDI,PU,A,Annual,Bosnia and Herzegovina,Level of water stress: freshwater withdrawal as a proportion of available freshwater resources,Total,All age ranges or no breakdown by age,Total,Percentage of freshwater resources,Not Applicable,Not Applicable,Not Applicable,Not Applicable,Ratio,Two,World Development Indicators (WDI),Annual,Units,Normal value,Public,,,,,,,,,,,,,,,,,,,,,,,,,,,,,,,,,,,,,,,2.468791501,2.480743692,2.493359894,2.505976096,2.516600266,2.514608234,2.525896414,2.586985392,2.602257636,2.854581673,2.891102258,2.812749004,2.906374502,2.8937583,2.738379814,2.778884462,2.786188579,2.662018592,2.071713147,2.028552457,2.000531209,2.03187251,2.071713147</t>
  </si>
  <si>
    <t>datastructure,WB.DATA360:DS_DATA360(1.3),I,A,KGZ,WB_WDI_ER_H2O_FWST_ZS,_T,_T,_T,PT_FRSH_WAT_RSC,_Z,_Z,_Z,_Z,RATIO,2,WB_WDI,P1Y,Level of water stress: freshwater withdrawal as a proportion of available freshwater resources,0,WB_WDI,PU,A,Annual,Kyrgyz Republic,Level of water stress: freshwater withdrawal as a proportion of available freshwater resources,Total,All age ranges or no breakdown by age,Total,Percentage of freshwater resources,Not Applicable,Not Applicable,Not Applicable,Not Applicable,Ratio,Two,World Development Indicators (WDI),Annual,Units,Normal value,Public,,,,,,,,,,,,,,,,,,,,,,,,,,,,,,,,,63.56317361,63.87698567,64.19079773,64.50460979,64.81842185,65.13223391,65.44604597,62.87819764,60.31034931,57.74250097,55.17465264,52.60680431,50.03895598,50.03895598,50.03895598,50.03895598,50.03895598,50.03895598,50.03895598,50.03895598,50.03895598,50.03895598,50.03895598,50.03895598,50.03895598,50.03895598,50.03895598,50.03895598,50.03895598</t>
  </si>
  <si>
    <t>datastructure,WB.DATA360:DS_DATA360(1.3),I,A,ITA,WB_WDI_ER_H2O_FWST_ZS,_T,_T,_T,PT_FRSH_WAT_RSC,_Z,_Z,_Z,_Z,RATIO,2,WB_WDI,P1Y,Level of water stress: freshwater withdrawal as a proportion of available freshwater resources,0,WB_WDI,PU,A,Annual,Italy,Level of water stress: freshwater withdrawal as a proportion of available freshwater resources,Total,All age ranges or no breakdown by age,Total,Percentage of freshwater resources,Not Applicable,Not Applicable,Not Applicable,Not Applicable,Ratio,Two,World Development Indicators (WDI),Annual,Units,Normal value,Public,,,,,,,,,36.65521191,37.12738693,37.59956195,38.07173697,38.54391199,39.01608701,39.48649975,39.9569125,40.42732525,40.897738,41.36815075,40.86438075,40.36061075,39.85684075,39.35307076,38.84930076,38.34376849,37.79417947,37.27475465,36.75532982,36.23590499,36.67663328,37.11736157,37.55808987,37.99881816,38.43954645,38.88027475,39.32100304,39.76173133,39.70808001,39.69735953,38.23045997,36.76356041,35.29666085,33.82976129,32.32144839,30.88289201,29.44433562,47.19539656,29.60034093,29.69508515,29.78982937,29.88457359,29.94407241,29.93375824,29.92344406,29.8426391,29.76183413,29.68102917,29.82201075,29.79822011,29.73928981,29.76738039</t>
  </si>
  <si>
    <t>datastructure,WB.DATA360:DS_DATA360(1.3),I,A,NIC,WB_WDI_ER_H2O_FWST_ZS,_T,_T,_T,PT_FRSH_WAT_RSC,_Z,_Z,_Z,_Z,RATIO,2,WB_WDI,P1Y,Level of water stress: freshwater withdrawal as a proportion of available freshwater resources,0,WB_WDI,PU,A,Annual,Nicaragua,Level of water stress: freshwater withdrawal as a proportion of available freshwater resources,Total,All age ranges or no breakdown by age,Total,Percentage of freshwater resources,Not Applicable,Not Applicable,Not Applicable,Not Applicable,Ratio,Two,World Development Indicators (WDI),Annual,Units,Normal value,Public,,,,,,,,,,,,,,,,,,,,,,,,,,,,,,,,,,,,,2.2414515,2.331281361,2.419192171,2.509022032,2.539826538,2.570631044,2.60143555,2.632240056,2.651430565,2.670621075,2.689811584,2.663836199,2.637860813,2.611885428,2.563012276,2.514139123,2.465265971,2.416392819,2.367519666,2.318646514,2.269773362,2.219818563,2.220900209,2.220900209,2.220900209</t>
  </si>
  <si>
    <t>STRUCTURE</t>
  </si>
  <si>
    <t>STRUCTURE_ID</t>
  </si>
  <si>
    <t>ACTION</t>
  </si>
  <si>
    <t>FREQ</t>
  </si>
  <si>
    <t>REF_AREA</t>
  </si>
  <si>
    <t>INDICATOR</t>
  </si>
  <si>
    <t>SEX</t>
  </si>
  <si>
    <t>AGE</t>
  </si>
  <si>
    <t>URBANISATION</t>
  </si>
  <si>
    <t>UNIT_MEASURE</t>
  </si>
  <si>
    <t>COMP_BREAKDOWN_1</t>
  </si>
  <si>
    <t>COMP_BREAKDOWN_2</t>
  </si>
  <si>
    <t>COMP_BREAKDOWN_3</t>
  </si>
  <si>
    <t>AGG_METHOD</t>
  </si>
  <si>
    <t>UNIT_TYPE</t>
  </si>
  <si>
    <t>DECIMALS</t>
  </si>
  <si>
    <t>DATABASE_ID</t>
  </si>
  <si>
    <t>TIME_FORMAT</t>
  </si>
  <si>
    <t>COMMENT_TS</t>
  </si>
  <si>
    <t>UNIT_MULT</t>
  </si>
  <si>
    <t>DATA_SOURCE</t>
  </si>
  <si>
    <t>OBS_CONF</t>
  </si>
  <si>
    <t>OBS_STATUS</t>
  </si>
  <si>
    <t>FREQ_LABEL</t>
  </si>
  <si>
    <t>REF_AREA_LABEL</t>
  </si>
  <si>
    <t>INDICATOR_LABEL</t>
  </si>
  <si>
    <t>SEX_LABEL</t>
  </si>
  <si>
    <t>AGE_LABEL</t>
  </si>
  <si>
    <t>URBANISATION_LABEL</t>
  </si>
  <si>
    <t>UNIT_MEASURE_LABEL</t>
  </si>
  <si>
    <t>COMP_BREAKDOWN_1_LABEL</t>
  </si>
  <si>
    <t>COMP_BREAKDOWN_2_LABEL</t>
  </si>
  <si>
    <t>COMP_BREAKDOWN_3_LABEL</t>
  </si>
  <si>
    <t>AGG_METHOD_LABEL</t>
  </si>
  <si>
    <t>UNIT_TYPE_LABEL</t>
  </si>
  <si>
    <t>DECIMALS_LABEL</t>
  </si>
  <si>
    <t>DATABASE_ID_LABEL</t>
  </si>
  <si>
    <t>TIME_FORMAT_LABEL</t>
  </si>
  <si>
    <t>UNIT_MULT_LABEL</t>
  </si>
  <si>
    <t>OBS_STATUS_LABEL</t>
  </si>
  <si>
    <t>OBS_CONF_LABEL</t>
  </si>
  <si>
    <t>datastructure</t>
  </si>
  <si>
    <t>WB.DATA360:DS_DATA360(1.3)</t>
  </si>
  <si>
    <t>I</t>
  </si>
  <si>
    <t>A</t>
  </si>
  <si>
    <t>VNM</t>
  </si>
  <si>
    <t>WB_WDI_ER_H2O_FWST_ZS</t>
  </si>
  <si>
    <t>_T</t>
  </si>
  <si>
    <t>PT_FRSH_WAT_RSC</t>
  </si>
  <si>
    <t>_Z</t>
  </si>
  <si>
    <t>RATIO</t>
  </si>
  <si>
    <t>WB_WDI</t>
  </si>
  <si>
    <t>P1Y</t>
  </si>
  <si>
    <t>Level of water stress: freshwater withdrawal as a proportion of available freshwater resources</t>
  </si>
  <si>
    <t>PU</t>
  </si>
  <si>
    <t>Annual</t>
  </si>
  <si>
    <t>Vietnam</t>
  </si>
  <si>
    <t>Total</t>
  </si>
  <si>
    <t>All age ranges or no breakdown by age</t>
  </si>
  <si>
    <t>Percentage of freshwater resources</t>
  </si>
  <si>
    <t>Not Applicable</t>
  </si>
  <si>
    <t>Ratio</t>
  </si>
  <si>
    <t>Two</t>
  </si>
  <si>
    <t>World Development Indicators (WDI)</t>
  </si>
  <si>
    <t>Units</t>
  </si>
  <si>
    <t>Normal value</t>
  </si>
  <si>
    <t>Public</t>
  </si>
  <si>
    <t>NGA</t>
  </si>
  <si>
    <t>Nigeria</t>
  </si>
  <si>
    <t>SVN</t>
  </si>
  <si>
    <t>Slovenia</t>
  </si>
  <si>
    <t>CAN</t>
  </si>
  <si>
    <t>Canada</t>
  </si>
  <si>
    <t>EST</t>
  </si>
  <si>
    <t>Estonia</t>
  </si>
  <si>
    <t>BFA</t>
  </si>
  <si>
    <t>Burkina Faso</t>
  </si>
  <si>
    <t>QAT</t>
  </si>
  <si>
    <t>Qatar</t>
  </si>
  <si>
    <t>HUN</t>
  </si>
  <si>
    <t>Hungary</t>
  </si>
  <si>
    <t>TKM</t>
  </si>
  <si>
    <t>Turkmenistan</t>
  </si>
  <si>
    <t>LBR</t>
  </si>
  <si>
    <t>Liberia</t>
  </si>
  <si>
    <t>TJK</t>
  </si>
  <si>
    <t>Tajikistan</t>
  </si>
  <si>
    <t>CPV</t>
  </si>
  <si>
    <t>Cabo Verde</t>
  </si>
  <si>
    <t>DZA</t>
  </si>
  <si>
    <t>Algeria</t>
  </si>
  <si>
    <t>ARE</t>
  </si>
  <si>
    <t>United Arab Emirates</t>
  </si>
  <si>
    <t>ETH</t>
  </si>
  <si>
    <t>Ethiopia</t>
  </si>
  <si>
    <t>PRT</t>
  </si>
  <si>
    <t>Portugal</t>
  </si>
  <si>
    <t>BOL</t>
  </si>
  <si>
    <t>Bolivia</t>
  </si>
  <si>
    <t>CAF</t>
  </si>
  <si>
    <t>Central African Republic</t>
  </si>
  <si>
    <t>LKA</t>
  </si>
  <si>
    <t>Sri Lanka</t>
  </si>
  <si>
    <t>AUT</t>
  </si>
  <si>
    <t>Austria</t>
  </si>
  <si>
    <t>JAM</t>
  </si>
  <si>
    <t>Jamaica</t>
  </si>
  <si>
    <t>HND</t>
  </si>
  <si>
    <t>Honduras</t>
  </si>
  <si>
    <t>BDI</t>
  </si>
  <si>
    <t>Burundi</t>
  </si>
  <si>
    <t>PAN</t>
  </si>
  <si>
    <t>Panama</t>
  </si>
  <si>
    <t>OMN</t>
  </si>
  <si>
    <t>Oman</t>
  </si>
  <si>
    <t>CHN</t>
  </si>
  <si>
    <t>China</t>
  </si>
  <si>
    <t>CUB</t>
  </si>
  <si>
    <t>Cuba</t>
  </si>
  <si>
    <t>GAB</t>
  </si>
  <si>
    <t>Gabon</t>
  </si>
  <si>
    <t>IRN</t>
  </si>
  <si>
    <t>Iran, Islamic Rep.</t>
  </si>
  <si>
    <t>MMR</t>
  </si>
  <si>
    <t>Myanmar</t>
  </si>
  <si>
    <t>MLT</t>
  </si>
  <si>
    <t>Malta</t>
  </si>
  <si>
    <t>IDN</t>
  </si>
  <si>
    <t>Indonesia</t>
  </si>
  <si>
    <t>FRA</t>
  </si>
  <si>
    <t>France</t>
  </si>
  <si>
    <t>COD</t>
  </si>
  <si>
    <t>Congo, Dem. Rep.</t>
  </si>
  <si>
    <t>CYP</t>
  </si>
  <si>
    <t>Cyprus</t>
  </si>
  <si>
    <t>KOR</t>
  </si>
  <si>
    <t>Korea, Rep.</t>
  </si>
  <si>
    <t>DMA</t>
  </si>
  <si>
    <t>Dominica</t>
  </si>
  <si>
    <t>LSO</t>
  </si>
  <si>
    <t>Lesotho</t>
  </si>
  <si>
    <t>BEN</t>
  </si>
  <si>
    <t>Benin</t>
  </si>
  <si>
    <t>PRY</t>
  </si>
  <si>
    <t>Paraguay</t>
  </si>
  <si>
    <t>CRI</t>
  </si>
  <si>
    <t>Costa Rica</t>
  </si>
  <si>
    <t>UGA</t>
  </si>
  <si>
    <t>Uganda</t>
  </si>
  <si>
    <t>TUN</t>
  </si>
  <si>
    <t>Tunisia</t>
  </si>
  <si>
    <t>TCD</t>
  </si>
  <si>
    <t>Chad</t>
  </si>
  <si>
    <t>DOM</t>
  </si>
  <si>
    <t>Dominican Republic</t>
  </si>
  <si>
    <t>GRC</t>
  </si>
  <si>
    <t>Greece</t>
  </si>
  <si>
    <t>VEN</t>
  </si>
  <si>
    <t>Venezuela, RB</t>
  </si>
  <si>
    <t>COL</t>
  </si>
  <si>
    <t>Colombia</t>
  </si>
  <si>
    <t>MKD</t>
  </si>
  <si>
    <t>North Macedonia</t>
  </si>
  <si>
    <t>AGO</t>
  </si>
  <si>
    <t>Angola</t>
  </si>
  <si>
    <t>LVA</t>
  </si>
  <si>
    <t>Latvia</t>
  </si>
  <si>
    <t>KEN</t>
  </si>
  <si>
    <t>Kenya</t>
  </si>
  <si>
    <t>PSE</t>
  </si>
  <si>
    <t>West Bank and Gaza</t>
  </si>
  <si>
    <t>SLV</t>
  </si>
  <si>
    <t>El Salvador</t>
  </si>
  <si>
    <t>SWE</t>
  </si>
  <si>
    <t>Sweden</t>
  </si>
  <si>
    <t>PAK</t>
  </si>
  <si>
    <t>Pakistan</t>
  </si>
  <si>
    <t>PRI</t>
  </si>
  <si>
    <t>Puerto Rico</t>
  </si>
  <si>
    <t>MDV</t>
  </si>
  <si>
    <t>Maldives</t>
  </si>
  <si>
    <t>ROU</t>
  </si>
  <si>
    <t>Romania</t>
  </si>
  <si>
    <t>MNG</t>
  </si>
  <si>
    <t>Mongolia</t>
  </si>
  <si>
    <t>LTU</t>
  </si>
  <si>
    <t>Lithuania</t>
  </si>
  <si>
    <t>SGP</t>
  </si>
  <si>
    <t>Singapore</t>
  </si>
  <si>
    <t>VCT</t>
  </si>
  <si>
    <t>St. Vincent and the Grenadines</t>
  </si>
  <si>
    <t>PHL</t>
  </si>
  <si>
    <t>Philippines</t>
  </si>
  <si>
    <t>ZAF</t>
  </si>
  <si>
    <t>South Africa</t>
  </si>
  <si>
    <t>KNA</t>
  </si>
  <si>
    <t>St. Kitts and Nevis</t>
  </si>
  <si>
    <t>JOR</t>
  </si>
  <si>
    <t>Jordan</t>
  </si>
  <si>
    <t>MEX</t>
  </si>
  <si>
    <t>Mexico</t>
  </si>
  <si>
    <t>PNG</t>
  </si>
  <si>
    <t>Papua New Guinea</t>
  </si>
  <si>
    <t>RUS</t>
  </si>
  <si>
    <t>Russian Federation</t>
  </si>
  <si>
    <t>ESP</t>
  </si>
  <si>
    <t>Spain</t>
  </si>
  <si>
    <t>MRT</t>
  </si>
  <si>
    <t>Mauritania</t>
  </si>
  <si>
    <t>KHM</t>
  </si>
  <si>
    <t>Cambodia</t>
  </si>
  <si>
    <t>LAO</t>
  </si>
  <si>
    <t>Lao PDR</t>
  </si>
  <si>
    <t>LBN</t>
  </si>
  <si>
    <t>Lebanon</t>
  </si>
  <si>
    <t>CIV</t>
  </si>
  <si>
    <t>CÃ´te dâ€™Ivoire</t>
  </si>
  <si>
    <t>PER</t>
  </si>
  <si>
    <t>Peru</t>
  </si>
  <si>
    <t>BRB</t>
  </si>
  <si>
    <t>Barbados</t>
  </si>
  <si>
    <t>HTI</t>
  </si>
  <si>
    <t>Haiti</t>
  </si>
  <si>
    <t>ISR</t>
  </si>
  <si>
    <t>Israel</t>
  </si>
  <si>
    <t>STP</t>
  </si>
  <si>
    <t>SÃ£o TomÃ© and PrÃ­ncipe</t>
  </si>
  <si>
    <t>GUY</t>
  </si>
  <si>
    <t>Guyana</t>
  </si>
  <si>
    <t>ERI</t>
  </si>
  <si>
    <t>Eritrea</t>
  </si>
  <si>
    <t>NLD</t>
  </si>
  <si>
    <t>Netherlands</t>
  </si>
  <si>
    <t>BHR</t>
  </si>
  <si>
    <t>Bahrain</t>
  </si>
  <si>
    <t>GBR</t>
  </si>
  <si>
    <t>United Kingdom</t>
  </si>
  <si>
    <t>UKR</t>
  </si>
  <si>
    <t>Ukraine</t>
  </si>
  <si>
    <t>BLZ</t>
  </si>
  <si>
    <t>Belize</t>
  </si>
  <si>
    <t>GMB</t>
  </si>
  <si>
    <t>Gambia, The</t>
  </si>
  <si>
    <t>BTN</t>
  </si>
  <si>
    <t>Bhutan</t>
  </si>
  <si>
    <t>BLR</t>
  </si>
  <si>
    <t>Belarus</t>
  </si>
  <si>
    <t>SAU</t>
  </si>
  <si>
    <t>Saudi Arabia</t>
  </si>
  <si>
    <t>HRV</t>
  </si>
  <si>
    <t>Croatia</t>
  </si>
  <si>
    <t>KWT</t>
  </si>
  <si>
    <t>Kuwait</t>
  </si>
  <si>
    <t>BWA</t>
  </si>
  <si>
    <t>Botswana</t>
  </si>
  <si>
    <t>TTO</t>
  </si>
  <si>
    <t>Trinidad and Tobago</t>
  </si>
  <si>
    <t>ZWE</t>
  </si>
  <si>
    <t>Zimbabwe</t>
  </si>
  <si>
    <t>ECU</t>
  </si>
  <si>
    <t>Ecuador</t>
  </si>
  <si>
    <t>GRD</t>
  </si>
  <si>
    <t>Grenada</t>
  </si>
  <si>
    <t>BEL</t>
  </si>
  <si>
    <t>Belgium</t>
  </si>
  <si>
    <t>SOM</t>
  </si>
  <si>
    <t>Federal Republic of Somalia</t>
  </si>
  <si>
    <t>GEO</t>
  </si>
  <si>
    <t>Georgia</t>
  </si>
  <si>
    <t>MDG</t>
  </si>
  <si>
    <t>Madagascar</t>
  </si>
  <si>
    <t>MYS</t>
  </si>
  <si>
    <t>Malaysia</t>
  </si>
  <si>
    <t>BRN</t>
  </si>
  <si>
    <t>Brunei Darussalam</t>
  </si>
  <si>
    <t>USA</t>
  </si>
  <si>
    <t>United States</t>
  </si>
  <si>
    <t>TGO</t>
  </si>
  <si>
    <t>Togo</t>
  </si>
  <si>
    <t>NAM</t>
  </si>
  <si>
    <t>Namibia</t>
  </si>
  <si>
    <t>NER</t>
  </si>
  <si>
    <t>Niger</t>
  </si>
  <si>
    <t>DEU</t>
  </si>
  <si>
    <t>Germany</t>
  </si>
  <si>
    <t>CHL</t>
  </si>
  <si>
    <t>Chile</t>
  </si>
  <si>
    <t>CHE</t>
  </si>
  <si>
    <t>Switzerland</t>
  </si>
  <si>
    <t>FJI</t>
  </si>
  <si>
    <t>Fiji</t>
  </si>
  <si>
    <t>RWA</t>
  </si>
  <si>
    <t>Rwanda</t>
  </si>
  <si>
    <t>IRL</t>
  </si>
  <si>
    <t>Ireland</t>
  </si>
  <si>
    <t>CZE</t>
  </si>
  <si>
    <t>Czechia</t>
  </si>
  <si>
    <t>URY</t>
  </si>
  <si>
    <t>Uruguay</t>
  </si>
  <si>
    <t>AUS</t>
  </si>
  <si>
    <t>Australia</t>
  </si>
  <si>
    <t>GNB</t>
  </si>
  <si>
    <t>Guinea-Bissau</t>
  </si>
  <si>
    <t>COM</t>
  </si>
  <si>
    <t>Comoros</t>
  </si>
  <si>
    <t>IRQ</t>
  </si>
  <si>
    <t>Iraq</t>
  </si>
  <si>
    <t>BGD</t>
  </si>
  <si>
    <t>Bangladesh</t>
  </si>
  <si>
    <t>SRB</t>
  </si>
  <si>
    <t>Serbia</t>
  </si>
  <si>
    <t>NPL</t>
  </si>
  <si>
    <t>Nepal</t>
  </si>
  <si>
    <t>SLE</t>
  </si>
  <si>
    <t>Sierra Leone</t>
  </si>
  <si>
    <t>LCA</t>
  </si>
  <si>
    <t>St. Lucia</t>
  </si>
  <si>
    <t>POL</t>
  </si>
  <si>
    <t>Poland</t>
  </si>
  <si>
    <t>THA</t>
  </si>
  <si>
    <t>Thailand</t>
  </si>
  <si>
    <t>ARG</t>
  </si>
  <si>
    <t>Argentina</t>
  </si>
  <si>
    <t>IND</t>
  </si>
  <si>
    <t>India</t>
  </si>
  <si>
    <t>GNQ</t>
  </si>
  <si>
    <t>Equatorial Guinea</t>
  </si>
  <si>
    <t>AZE</t>
  </si>
  <si>
    <t>Azerbaijan</t>
  </si>
  <si>
    <t>TUR</t>
  </si>
  <si>
    <t>TÃ¼rkiye</t>
  </si>
  <si>
    <t>GIN</t>
  </si>
  <si>
    <t>Guinea</t>
  </si>
  <si>
    <t>DJI</t>
  </si>
  <si>
    <t>Djibouti</t>
  </si>
  <si>
    <t>SVK</t>
  </si>
  <si>
    <t>Slovak Republic</t>
  </si>
  <si>
    <t>SSD</t>
  </si>
  <si>
    <t>South Sudan</t>
  </si>
  <si>
    <t>SUR</t>
  </si>
  <si>
    <t>Suriname</t>
  </si>
  <si>
    <t>DNK</t>
  </si>
  <si>
    <t>Denmark</t>
  </si>
  <si>
    <t>GHA</t>
  </si>
  <si>
    <t>Ghana</t>
  </si>
  <si>
    <t>UZB</t>
  </si>
  <si>
    <t>Uzbekistan</t>
  </si>
  <si>
    <t>BGR</t>
  </si>
  <si>
    <t>Bulgaria</t>
  </si>
  <si>
    <t>NOR</t>
  </si>
  <si>
    <t>Norway</t>
  </si>
  <si>
    <t>CMR</t>
  </si>
  <si>
    <t>Cameroon</t>
  </si>
  <si>
    <t>ALB</t>
  </si>
  <si>
    <t>Albania</t>
  </si>
  <si>
    <t>ARM</t>
  </si>
  <si>
    <t>Armenia</t>
  </si>
  <si>
    <t>EGY</t>
  </si>
  <si>
    <t>Egypt, Arab Rep.</t>
  </si>
  <si>
    <t>MAR</t>
  </si>
  <si>
    <t>Morocco</t>
  </si>
  <si>
    <t>SDN</t>
  </si>
  <si>
    <t>Sudan</t>
  </si>
  <si>
    <t>MDA</t>
  </si>
  <si>
    <t>Moldova</t>
  </si>
  <si>
    <t>LUX</t>
  </si>
  <si>
    <t>Luxembourg</t>
  </si>
  <si>
    <t>JPN</t>
  </si>
  <si>
    <t>Japan</t>
  </si>
  <si>
    <t>YEM</t>
  </si>
  <si>
    <t>Yemen, Rep.</t>
  </si>
  <si>
    <t>GTM</t>
  </si>
  <si>
    <t>Guatemala</t>
  </si>
  <si>
    <t>MOZ</t>
  </si>
  <si>
    <t>Mozambique</t>
  </si>
  <si>
    <t>ZMB</t>
  </si>
  <si>
    <t>Zambia</t>
  </si>
  <si>
    <t>BRA</t>
  </si>
  <si>
    <t>Brazil</t>
  </si>
  <si>
    <t>PRK</t>
  </si>
  <si>
    <t>Korea, Dem. People's Rep.</t>
  </si>
  <si>
    <t>ATG</t>
  </si>
  <si>
    <t>Antigua and Barbuda</t>
  </si>
  <si>
    <t>MWI</t>
  </si>
  <si>
    <t>Malawi</t>
  </si>
  <si>
    <t>MUS</t>
  </si>
  <si>
    <t>Mauritius</t>
  </si>
  <si>
    <t>ISL</t>
  </si>
  <si>
    <t>Iceland</t>
  </si>
  <si>
    <t>KAZ</t>
  </si>
  <si>
    <t>Kazakhstan</t>
  </si>
  <si>
    <t>FIN</t>
  </si>
  <si>
    <t>Finland</t>
  </si>
  <si>
    <t>MLI</t>
  </si>
  <si>
    <t>Mali</t>
  </si>
  <si>
    <t>TLS</t>
  </si>
  <si>
    <t>Timor-Leste</t>
  </si>
  <si>
    <t>SWZ</t>
  </si>
  <si>
    <t>Eswatini</t>
  </si>
  <si>
    <t>SEN</t>
  </si>
  <si>
    <t>Senegal</t>
  </si>
  <si>
    <t>LBY</t>
  </si>
  <si>
    <t>Libya</t>
  </si>
  <si>
    <t>AFG</t>
  </si>
  <si>
    <t>Afghanistan</t>
  </si>
  <si>
    <t>NZL</t>
  </si>
  <si>
    <t>New Zealand</t>
  </si>
  <si>
    <t>SYR</t>
  </si>
  <si>
    <t>Syrian Arab Republic</t>
  </si>
  <si>
    <t>TZA</t>
  </si>
  <si>
    <t>Tanzania</t>
  </si>
  <si>
    <t>COG</t>
  </si>
  <si>
    <t>Congo, Rep.</t>
  </si>
  <si>
    <t>BIH</t>
  </si>
  <si>
    <t>Bosnia and Herzegovina</t>
  </si>
  <si>
    <t>KGZ</t>
  </si>
  <si>
    <t>Kyrgyz Republic</t>
  </si>
  <si>
    <t>ITA</t>
  </si>
  <si>
    <t>Italy</t>
  </si>
  <si>
    <t>NIC</t>
  </si>
  <si>
    <t>Nicaragua</t>
  </si>
  <si>
    <t>2022 (in %)</t>
  </si>
  <si>
    <t>Approach:</t>
  </si>
  <si>
    <t>ISO</t>
  </si>
  <si>
    <t>Country</t>
  </si>
  <si>
    <t>Helper 1</t>
  </si>
  <si>
    <t>Helper 2</t>
  </si>
  <si>
    <t>Helper 3</t>
  </si>
  <si>
    <t>Country Helper 1</t>
  </si>
  <si>
    <t>Country Helper 2</t>
  </si>
  <si>
    <t>Country Helper 3</t>
  </si>
  <si>
    <t>Türkiye</t>
  </si>
  <si>
    <t>Islamic Republic of Iran</t>
  </si>
  <si>
    <t>COK</t>
  </si>
  <si>
    <t>Cook Islands</t>
  </si>
  <si>
    <t>Korea</t>
  </si>
  <si>
    <t>TWN</t>
  </si>
  <si>
    <t>Chinese Taipei</t>
  </si>
  <si>
    <t>Viet Nam</t>
  </si>
  <si>
    <t>Czech Republic</t>
  </si>
  <si>
    <t>Russia</t>
  </si>
  <si>
    <t>Egypt</t>
  </si>
  <si>
    <t>Democratic Republic of the Congo</t>
  </si>
  <si>
    <t>Saint Lucia</t>
  </si>
  <si>
    <t>PRT
ESP</t>
  </si>
  <si>
    <t>ROM
DEU
AUT</t>
  </si>
  <si>
    <t>ROM</t>
  </si>
  <si>
    <t>POL
CZE
SVK
HUN</t>
  </si>
  <si>
    <t>DEU
DNK</t>
  </si>
  <si>
    <t>ESP
FRA</t>
  </si>
  <si>
    <t>Freshwater withdrawal as a proportion of available freshwater resources</t>
  </si>
  <si>
    <t>Xlookup the countries from the database - if not found, then manually add name. When more than one country, average the score. Cook Islands were set to level of St. Lucia. For Israel, 2021 values were used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</si>
</sst>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3" fillId="0" borderId="1" xfId="2"/>
    <xf numFmtId="0" fontId="13" fillId="9" borderId="0" xfId="18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20FA2-026F-4A1D-83D2-74085002FCCA}">
  <dimension ref="A1"/>
  <sheetViews>
    <sheetView showGridLines="0" workbookViewId="0"/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0B8EC-6215-4BB9-B7DC-16252A9A8CA4}">
  <dimension ref="B2:M112"/>
  <sheetViews>
    <sheetView showGridLines="0" tabSelected="1" topLeftCell="A12" workbookViewId="0">
      <selection activeCell="D39" sqref="D39"/>
    </sheetView>
  </sheetViews>
  <sheetFormatPr defaultRowHeight="14.4" outlineLevelCol="1" x14ac:dyDescent="0.3"/>
  <cols>
    <col min="1" max="1" width="2.44140625" customWidth="1"/>
    <col min="2" max="2" width="42.77734375" bestFit="1" customWidth="1"/>
    <col min="3" max="3" width="30.6640625" bestFit="1" customWidth="1"/>
    <col min="4" max="4" width="30.77734375" customWidth="1"/>
    <col min="6" max="6" width="10.44140625" hidden="1" customWidth="1" outlineLevel="1"/>
    <col min="7" max="8" width="10.77734375" hidden="1" customWidth="1" outlineLevel="1"/>
    <col min="9" max="9" width="0" hidden="1" customWidth="1" outlineLevel="1"/>
    <col min="10" max="12" width="15.5546875" hidden="1" customWidth="1" outlineLevel="1"/>
    <col min="13" max="13" width="8.88671875" collapsed="1"/>
  </cols>
  <sheetData>
    <row r="2" spans="2:12" ht="20.399999999999999" thickBot="1" x14ac:dyDescent="0.45">
      <c r="B2" s="1" t="s">
        <v>629</v>
      </c>
      <c r="C2" s="1"/>
      <c r="D2" s="1"/>
      <c r="E2" s="1"/>
      <c r="F2" s="1"/>
      <c r="G2" s="1"/>
      <c r="H2" s="1"/>
      <c r="I2" s="1"/>
      <c r="J2" s="1"/>
    </row>
    <row r="3" spans="2:12" ht="15" thickTop="1" x14ac:dyDescent="0.3"/>
    <row r="4" spans="2:12" x14ac:dyDescent="0.3">
      <c r="B4" t="s">
        <v>601</v>
      </c>
      <c r="C4" t="s">
        <v>630</v>
      </c>
    </row>
    <row r="6" spans="2:12" x14ac:dyDescent="0.3">
      <c r="B6" s="2" t="s">
        <v>602</v>
      </c>
      <c r="C6" s="2" t="s">
        <v>603</v>
      </c>
      <c r="D6" s="2" t="s">
        <v>236</v>
      </c>
      <c r="F6" s="2" t="s">
        <v>604</v>
      </c>
      <c r="G6" s="2" t="s">
        <v>605</v>
      </c>
      <c r="H6" s="2" t="s">
        <v>606</v>
      </c>
      <c r="J6" s="2" t="s">
        <v>607</v>
      </c>
      <c r="K6" s="2" t="s">
        <v>608</v>
      </c>
      <c r="L6" s="2" t="s">
        <v>609</v>
      </c>
    </row>
    <row r="7" spans="2:12" x14ac:dyDescent="0.3">
      <c r="B7" t="s">
        <v>410</v>
      </c>
      <c r="C7" t="s">
        <v>411</v>
      </c>
      <c r="D7">
        <f>_xlfn.XLOOKUP(B7,ED_Freshwater!$E$2:$E$179,ED_Freshwater!$CX$2:$CX$179,"N/A",0,1)</f>
        <v>16.658506979999999</v>
      </c>
    </row>
    <row r="8" spans="2:12" x14ac:dyDescent="0.3">
      <c r="B8" t="s">
        <v>528</v>
      </c>
      <c r="C8" t="s">
        <v>529</v>
      </c>
      <c r="D8">
        <f>_xlfn.XLOOKUP(B8,ED_Freshwater!$E$2:$E$179,ED_Freshwater!$CX$2:$CX$179,"N/A",0,1)</f>
        <v>2.044007605</v>
      </c>
    </row>
    <row r="9" spans="2:12" x14ac:dyDescent="0.3">
      <c r="B9" t="s">
        <v>352</v>
      </c>
      <c r="C9" t="s">
        <v>353</v>
      </c>
      <c r="D9">
        <f>_xlfn.XLOOKUP(B9,ED_Freshwater!$E$2:$E$179,ED_Freshwater!$CX$2:$CX$179,"N/A",0,1)</f>
        <v>3.5829725830000001</v>
      </c>
    </row>
    <row r="10" spans="2:12" x14ac:dyDescent="0.3">
      <c r="B10" t="s">
        <v>384</v>
      </c>
      <c r="C10" t="s">
        <v>385</v>
      </c>
      <c r="D10">
        <f>_xlfn.XLOOKUP(B10,ED_Freshwater!$E$2:$E$179,ED_Freshwater!$CX$2:$CX$179,"N/A",0,1)</f>
        <v>43.254039229999997</v>
      </c>
    </row>
    <row r="11" spans="2:12" x14ac:dyDescent="0.3">
      <c r="B11" t="s">
        <v>454</v>
      </c>
      <c r="C11" t="s">
        <v>455</v>
      </c>
      <c r="D11">
        <f>_xlfn.XLOOKUP(B11,ED_Freshwater!$E$2:$E$179,ED_Freshwater!$CX$2:$CX$179,"N/A",0,1)</f>
        <v>28.155259820000001</v>
      </c>
    </row>
    <row r="12" spans="2:12" x14ac:dyDescent="0.3">
      <c r="B12" t="s">
        <v>546</v>
      </c>
      <c r="C12" t="s">
        <v>547</v>
      </c>
      <c r="D12">
        <f>_xlfn.XLOOKUP(B12,ED_Freshwater!$E$2:$E$179,ED_Freshwater!$CX$2:$CX$179,"N/A",0,1)</f>
        <v>36.64367816</v>
      </c>
    </row>
    <row r="13" spans="2:12" x14ac:dyDescent="0.3">
      <c r="B13" t="s">
        <v>466</v>
      </c>
      <c r="C13" t="s">
        <v>467</v>
      </c>
      <c r="D13">
        <f>_xlfn.XLOOKUP(B13,ED_Freshwater!$E$2:$E$179,ED_Freshwater!$CX$2:$CX$179,"N/A",0,1)</f>
        <v>6.4988558349999996</v>
      </c>
    </row>
    <row r="14" spans="2:12" x14ac:dyDescent="0.3">
      <c r="B14" t="s">
        <v>462</v>
      </c>
      <c r="C14" t="s">
        <v>463</v>
      </c>
      <c r="D14">
        <f>_xlfn.XLOOKUP(B14,ED_Freshwater!$E$2:$E$179,ED_Freshwater!$CX$2:$CX$179,"N/A",0,1)</f>
        <v>35.351657070000002</v>
      </c>
    </row>
    <row r="15" spans="2:12" x14ac:dyDescent="0.3">
      <c r="B15" t="s">
        <v>414</v>
      </c>
      <c r="C15" t="s">
        <v>415</v>
      </c>
      <c r="D15">
        <f>_xlfn.XLOOKUP(B15,ED_Freshwater!$E$2:$E$179,ED_Freshwater!$CX$2:$CX$179,"N/A",0,1)</f>
        <v>14.35464621</v>
      </c>
    </row>
    <row r="16" spans="2:12" x14ac:dyDescent="0.3">
      <c r="B16" t="s">
        <v>520</v>
      </c>
      <c r="C16" t="s">
        <v>521</v>
      </c>
      <c r="D16">
        <f>_xlfn.XLOOKUP(B16,ED_Freshwater!$E$2:$E$179,ED_Freshwater!$CX$2:$CX$179,"N/A",0,1)</f>
        <v>25.26636019</v>
      </c>
    </row>
    <row r="17" spans="2:4" x14ac:dyDescent="0.3">
      <c r="B17" t="s">
        <v>282</v>
      </c>
      <c r="C17" t="s">
        <v>283</v>
      </c>
      <c r="D17">
        <f>_xlfn.XLOOKUP(B17,ED_Freshwater!$E$2:$E$179,ED_Freshwater!$CX$2:$CX$179,"N/A",0,1)</f>
        <v>8.6764299529999995</v>
      </c>
    </row>
    <row r="18" spans="2:4" x14ac:dyDescent="0.3">
      <c r="B18" t="s">
        <v>294</v>
      </c>
      <c r="C18" t="s">
        <v>295</v>
      </c>
      <c r="D18">
        <f>_xlfn.XLOOKUP(B18,ED_Freshwater!$E$2:$E$179,ED_Freshwater!$CX$2:$CX$179,"N/A",0,1)</f>
        <v>41.518528799999999</v>
      </c>
    </row>
    <row r="19" spans="2:4" x14ac:dyDescent="0.3">
      <c r="B19" t="s">
        <v>250</v>
      </c>
      <c r="C19" t="s">
        <v>251</v>
      </c>
      <c r="D19">
        <f>_xlfn.XLOOKUP(B19,ED_Freshwater!$E$2:$E$179,ED_Freshwater!$CX$2:$CX$179,"N/A",0,1)</f>
        <v>3.7207003090000001</v>
      </c>
    </row>
    <row r="20" spans="2:4" x14ac:dyDescent="0.3">
      <c r="B20" t="s">
        <v>252</v>
      </c>
      <c r="C20" t="s">
        <v>253</v>
      </c>
      <c r="D20">
        <f>_xlfn.XLOOKUP(B20,ED_Freshwater!$E$2:$E$179,ED_Freshwater!$CX$2:$CX$179,"N/A",0,1)</f>
        <v>13.046285190000001</v>
      </c>
    </row>
    <row r="21" spans="2:4" x14ac:dyDescent="0.3">
      <c r="B21" t="s">
        <v>308</v>
      </c>
      <c r="C21" t="s">
        <v>309</v>
      </c>
      <c r="D21">
        <f>_xlfn.XLOOKUP(B21,ED_Freshwater!$E$2:$E$179,ED_Freshwater!$CX$2:$CX$179,"N/A",0,1)</f>
        <v>21.384627160000001</v>
      </c>
    </row>
    <row r="22" spans="2:4" x14ac:dyDescent="0.3">
      <c r="B22" t="s">
        <v>450</v>
      </c>
      <c r="C22" t="s">
        <v>451</v>
      </c>
      <c r="D22">
        <f>_xlfn.XLOOKUP(B22,ED_Freshwater!$E$2:$E$179,ED_Freshwater!$CX$2:$CX$179,"N/A",0,1)</f>
        <v>3.43948718</v>
      </c>
    </row>
    <row r="23" spans="2:4" x14ac:dyDescent="0.3">
      <c r="B23" t="s">
        <v>478</v>
      </c>
      <c r="C23" t="s">
        <v>479</v>
      </c>
      <c r="D23">
        <f>_xlfn.XLOOKUP(B23,ED_Freshwater!$E$2:$E$179,ED_Freshwater!$CX$2:$CX$179,"N/A",0,1)</f>
        <v>4.6722959389999996</v>
      </c>
    </row>
    <row r="24" spans="2:4" x14ac:dyDescent="0.3">
      <c r="B24" t="s">
        <v>496</v>
      </c>
      <c r="C24" t="s">
        <v>497</v>
      </c>
      <c r="D24">
        <f>_xlfn.XLOOKUP(B24,ED_Freshwater!$E$2:$E$179,ED_Freshwater!$CX$2:$CX$179,"N/A",0,1)</f>
        <v>32.485289029999997</v>
      </c>
    </row>
    <row r="25" spans="2:4" x14ac:dyDescent="0.3">
      <c r="B25" t="s">
        <v>570</v>
      </c>
      <c r="C25" t="s">
        <v>571</v>
      </c>
      <c r="D25">
        <f>_xlfn.XLOOKUP(B25,ED_Freshwater!$E$2:$E$179,ED_Freshwater!$CX$2:$CX$179,"N/A",0,1)</f>
        <v>7.1140621299999998</v>
      </c>
    </row>
    <row r="26" spans="2:4" x14ac:dyDescent="0.3">
      <c r="B26" t="s">
        <v>366</v>
      </c>
      <c r="C26" t="s">
        <v>367</v>
      </c>
      <c r="D26">
        <f>_xlfn.XLOOKUP(B26,ED_Freshwater!$E$2:$E$179,ED_Freshwater!$CX$2:$CX$179,"N/A",0,1)</f>
        <v>33.255222670000002</v>
      </c>
    </row>
    <row r="27" spans="2:4" x14ac:dyDescent="0.3">
      <c r="B27" t="s">
        <v>498</v>
      </c>
      <c r="C27" t="s">
        <v>499</v>
      </c>
      <c r="D27">
        <f>_xlfn.XLOOKUP(B27,ED_Freshwater!$E$2:$E$179,ED_Freshwater!$CX$2:$CX$179,"N/A",0,1)</f>
        <v>23.013935180000001</v>
      </c>
    </row>
    <row r="28" spans="2:4" x14ac:dyDescent="0.3">
      <c r="B28" t="s">
        <v>596</v>
      </c>
      <c r="C28" t="s">
        <v>597</v>
      </c>
      <c r="D28">
        <f>_xlfn.XLOOKUP(B28,ED_Freshwater!$E$2:$E$179,ED_Freshwater!$CX$2:$CX$179,"N/A",0,1)</f>
        <v>29.76738039</v>
      </c>
    </row>
    <row r="29" spans="2:4" x14ac:dyDescent="0.3">
      <c r="B29" t="s">
        <v>324</v>
      </c>
      <c r="C29" t="s">
        <v>325</v>
      </c>
      <c r="D29">
        <f>_xlfn.XLOOKUP(B29,ED_Freshwater!$E$2:$E$179,ED_Freshwater!$CX$2:$CX$179,"N/A",0,1)</f>
        <v>5.8819624570000002</v>
      </c>
    </row>
    <row r="30" spans="2:4" x14ac:dyDescent="0.3">
      <c r="B30" t="s">
        <v>464</v>
      </c>
      <c r="C30" t="s">
        <v>465</v>
      </c>
      <c r="D30">
        <f>_xlfn.XLOOKUP(B30,ED_Freshwater!$E$2:$E$179,ED_Freshwater!$CX$2:$CX$179,"N/A",0,1)</f>
        <v>8.9821210889999996</v>
      </c>
    </row>
    <row r="31" spans="2:4" x14ac:dyDescent="0.3">
      <c r="B31" t="s">
        <v>442</v>
      </c>
      <c r="C31" t="s">
        <v>443</v>
      </c>
      <c r="D31">
        <f>_xlfn.XLOOKUP(B31,ED_Freshwater!$E$2:$E$179,ED_Freshwater!$CX$2:$CX$179,"N/A",0,1)</f>
        <v>52.825742249999998</v>
      </c>
    </row>
    <row r="32" spans="2:4" x14ac:dyDescent="0.3">
      <c r="B32" t="s">
        <v>502</v>
      </c>
      <c r="C32" t="s">
        <v>503</v>
      </c>
      <c r="D32">
        <f>_xlfn.XLOOKUP(B32,ED_Freshwater!$E$2:$E$179,ED_Freshwater!$CX$2:$CX$179,"N/A",0,1)</f>
        <v>66.492092830000004</v>
      </c>
    </row>
    <row r="33" spans="2:4" x14ac:dyDescent="0.3">
      <c r="B33" t="s">
        <v>334</v>
      </c>
      <c r="C33" t="s">
        <v>335</v>
      </c>
      <c r="D33">
        <f>_xlfn.XLOOKUP(B33,ED_Freshwater!$E$2:$E$179,ED_Freshwater!$CX$2:$CX$179,"N/A",0,1)</f>
        <v>20.32571313</v>
      </c>
    </row>
    <row r="34" spans="2:4" x14ac:dyDescent="0.3">
      <c r="B34" t="s">
        <v>566</v>
      </c>
      <c r="C34" t="s">
        <v>567</v>
      </c>
      <c r="D34">
        <f>_xlfn.XLOOKUP(B34,ED_Freshwater!$E$2:$E$179,ED_Freshwater!$CX$2:$CX$179,"N/A",0,1)</f>
        <v>0.39407528200000003</v>
      </c>
    </row>
    <row r="35" spans="2:4" x14ac:dyDescent="0.3">
      <c r="B35" t="s">
        <v>508</v>
      </c>
      <c r="C35" t="s">
        <v>610</v>
      </c>
      <c r="D35">
        <f>_xlfn.XLOOKUP(B35,ED_Freshwater!$E$2:$E$179,ED_Freshwater!$CX$2:$CX$179,"N/A",0,1)</f>
        <v>47.886533460000003</v>
      </c>
    </row>
    <row r="36" spans="2:4" x14ac:dyDescent="0.3">
      <c r="B36" t="s">
        <v>500</v>
      </c>
      <c r="C36" t="s">
        <v>501</v>
      </c>
      <c r="D36">
        <f>_xlfn.XLOOKUP(B36,ED_Freshwater!$E$2:$E$179,ED_Freshwater!$CX$2:$CX$179,"N/A",0,1)</f>
        <v>10.456664079999999</v>
      </c>
    </row>
    <row r="37" spans="2:4" x14ac:dyDescent="0.3">
      <c r="B37" t="s">
        <v>300</v>
      </c>
      <c r="C37" t="s">
        <v>611</v>
      </c>
      <c r="D37">
        <f>_xlfn.XLOOKUP(B37,ED_Freshwater!$E$2:$E$179,ED_Freshwater!$CX$2:$CX$179,"N/A",0,1)</f>
        <v>81.289081289999999</v>
      </c>
    </row>
    <row r="38" spans="2:4" x14ac:dyDescent="0.3">
      <c r="B38" t="s">
        <v>584</v>
      </c>
      <c r="C38" t="s">
        <v>585</v>
      </c>
      <c r="D38">
        <f>_xlfn.XLOOKUP(B38,ED_Freshwater!$E$2:$E$179,ED_Freshwater!$CX$2:$CX$179,"N/A",0,1)</f>
        <v>8.0480847600000001</v>
      </c>
    </row>
    <row r="39" spans="2:4" x14ac:dyDescent="0.3">
      <c r="B39" t="s">
        <v>276</v>
      </c>
      <c r="C39" t="s">
        <v>277</v>
      </c>
      <c r="D39">
        <f>_xlfn.XLOOKUP(B39,ED_Freshwater!$E$2:$E$179,ED_Freshwater!$CX$2:$CX$179,"N/A",0,1)</f>
        <v>0.20297958899999999</v>
      </c>
    </row>
    <row r="40" spans="2:4" x14ac:dyDescent="0.3">
      <c r="B40" t="s">
        <v>274</v>
      </c>
      <c r="C40" t="s">
        <v>275</v>
      </c>
      <c r="D40">
        <f>_xlfn.XLOOKUP(B40,ED_Freshwater!$E$2:$E$179,ED_Freshwater!$CX$2:$CX$179,"N/A",0,1)</f>
        <v>12.31571228</v>
      </c>
    </row>
    <row r="41" spans="2:4" x14ac:dyDescent="0.3">
      <c r="B41" t="s">
        <v>392</v>
      </c>
      <c r="C41" t="s">
        <v>393</v>
      </c>
      <c r="D41">
        <f>_xlfn.XLOOKUP(B41,ED_Freshwater!$E$2:$E$179,ED_Freshwater!$CX$2:$CX$179,"N/A",0,1)</f>
        <v>58.792991559999997</v>
      </c>
    </row>
    <row r="42" spans="2:4" x14ac:dyDescent="0.3">
      <c r="B42" t="s">
        <v>386</v>
      </c>
      <c r="C42" t="s">
        <v>387</v>
      </c>
      <c r="D42">
        <f>_xlfn.XLOOKUP(B42,ED_Freshwater!$E$2:$E$179,ED_Freshwater!$CX$2:$CX$179,"N/A",0,1)</f>
        <v>13.24621733</v>
      </c>
    </row>
    <row r="43" spans="2:4" x14ac:dyDescent="0.3">
      <c r="B43" t="s">
        <v>426</v>
      </c>
      <c r="C43" t="s">
        <v>427</v>
      </c>
      <c r="D43">
        <f>_xlfn.XLOOKUP(B43,ED_Freshwater!$E$2:$E$179,ED_Freshwater!$CX$2:$CX$179,"N/A",0,1)</f>
        <v>974.16666669999995</v>
      </c>
    </row>
    <row r="44" spans="2:4" x14ac:dyDescent="0.3">
      <c r="B44" t="s">
        <v>612</v>
      </c>
      <c r="C44" t="s">
        <v>613</v>
      </c>
      <c r="D44">
        <f>D107</f>
        <v>14.3</v>
      </c>
    </row>
    <row r="45" spans="2:4" x14ac:dyDescent="0.3">
      <c r="B45" t="s">
        <v>372</v>
      </c>
      <c r="C45" t="s">
        <v>373</v>
      </c>
      <c r="D45">
        <f>_xlfn.XLOOKUP(B45,ED_Freshwater!$E$2:$E$179,ED_Freshwater!$CX$2:$CX$179,"N/A",0,1)</f>
        <v>67.595260969999998</v>
      </c>
    </row>
    <row r="46" spans="2:4" x14ac:dyDescent="0.3">
      <c r="B46" t="s">
        <v>270</v>
      </c>
      <c r="C46" t="s">
        <v>271</v>
      </c>
      <c r="D46">
        <f>_xlfn.XLOOKUP(B46,ED_Freshwater!$E$2:$E$179,ED_Freshwater!$CX$2:$CX$179,"N/A",0,1)</f>
        <v>1509.9333329999999</v>
      </c>
    </row>
    <row r="47" spans="2:4" x14ac:dyDescent="0.3">
      <c r="B47" t="s">
        <v>292</v>
      </c>
      <c r="C47" t="s">
        <v>293</v>
      </c>
      <c r="D47">
        <f>_xlfn.XLOOKUP(B47,ED_Freshwater!$E$2:$E$179,ED_Freshwater!$CX$2:$CX$179,"N/A",0,1)</f>
        <v>116.7142857</v>
      </c>
    </row>
    <row r="48" spans="2:4" x14ac:dyDescent="0.3">
      <c r="B48" t="s">
        <v>476</v>
      </c>
      <c r="C48" t="s">
        <v>477</v>
      </c>
      <c r="D48">
        <f>_xlfn.XLOOKUP(B48,ED_Freshwater!$E$2:$E$179,ED_Freshwater!$CX$2:$CX$179,"N/A",0,1)</f>
        <v>12.05201437</v>
      </c>
    </row>
    <row r="49" spans="2:4" x14ac:dyDescent="0.3">
      <c r="B49" t="s">
        <v>322</v>
      </c>
      <c r="C49" t="s">
        <v>323</v>
      </c>
      <c r="D49">
        <f>_xlfn.XLOOKUP(B49,ED_Freshwater!$E$2:$E$179,ED_Freshwater!$CX$2:$CX$179,"N/A",0,1)</f>
        <v>1.835399711</v>
      </c>
    </row>
    <row r="50" spans="2:4" x14ac:dyDescent="0.3">
      <c r="B50" t="s">
        <v>314</v>
      </c>
      <c r="C50" t="s">
        <v>614</v>
      </c>
      <c r="D50">
        <f>_xlfn.XLOOKUP(B50,ED_Freshwater!$E$2:$E$179,ED_Freshwater!$CX$2:$CX$179,"N/A",0,1)</f>
        <v>85.221833040000007</v>
      </c>
    </row>
    <row r="51" spans="2:4" x14ac:dyDescent="0.3">
      <c r="B51" t="s">
        <v>538</v>
      </c>
      <c r="C51" t="s">
        <v>539</v>
      </c>
      <c r="D51">
        <f>_xlfn.XLOOKUP(B51,ED_Freshwater!$E$2:$E$179,ED_Freshwater!$CX$2:$CX$179,"N/A",0,1)</f>
        <v>50.751212019999997</v>
      </c>
    </row>
    <row r="52" spans="2:4" x14ac:dyDescent="0.3">
      <c r="B52" t="s">
        <v>532</v>
      </c>
      <c r="C52" t="s">
        <v>533</v>
      </c>
      <c r="D52">
        <f>_xlfn.XLOOKUP(B52,ED_Freshwater!$E$2:$E$179,ED_Freshwater!$CX$2:$CX$179,"N/A",0,1)</f>
        <v>4.789663462</v>
      </c>
    </row>
    <row r="53" spans="2:4" x14ac:dyDescent="0.3">
      <c r="B53" t="s">
        <v>306</v>
      </c>
      <c r="C53" t="s">
        <v>307</v>
      </c>
      <c r="D53">
        <f>_xlfn.XLOOKUP(B53,ED_Freshwater!$E$2:$E$179,ED_Freshwater!$CX$2:$CX$179,"N/A",0,1)</f>
        <v>29.696545279999999</v>
      </c>
    </row>
    <row r="54" spans="2:4" x14ac:dyDescent="0.3">
      <c r="B54" t="s">
        <v>398</v>
      </c>
      <c r="C54" t="s">
        <v>399</v>
      </c>
      <c r="D54">
        <f>_xlfn.XLOOKUP(B54,ED_Freshwater!$E$2:$E$179,ED_Freshwater!$CX$2:$CX$179,"N/A",0,1)</f>
        <v>87.5</v>
      </c>
    </row>
    <row r="55" spans="2:4" x14ac:dyDescent="0.3">
      <c r="B55" t="s">
        <v>434</v>
      </c>
      <c r="C55" t="s">
        <v>435</v>
      </c>
      <c r="D55">
        <f>_xlfn.XLOOKUP(B55,ED_Freshwater!$E$2:$E$179,ED_Freshwater!$CX$2:$CX$179,"N/A",0,1)</f>
        <v>20.326481260000001</v>
      </c>
    </row>
    <row r="56" spans="2:4" x14ac:dyDescent="0.3">
      <c r="B56" t="s">
        <v>486</v>
      </c>
      <c r="C56" t="s">
        <v>487</v>
      </c>
      <c r="D56">
        <f>_xlfn.XLOOKUP(B56,ED_Freshwater!$E$2:$E$179,ED_Freshwater!$CX$2:$CX$179,"N/A",0,1)</f>
        <v>5.7233394820000001</v>
      </c>
    </row>
    <row r="57" spans="2:4" x14ac:dyDescent="0.3">
      <c r="B57" t="s">
        <v>556</v>
      </c>
      <c r="C57" t="s">
        <v>557</v>
      </c>
      <c r="D57">
        <f>_xlfn.XLOOKUP(B57,ED_Freshwater!$E$2:$E$179,ED_Freshwater!$CX$2:$CX$179,"N/A",0,1)</f>
        <v>1.495816821</v>
      </c>
    </row>
    <row r="58" spans="2:4" x14ac:dyDescent="0.3">
      <c r="B58" t="s">
        <v>258</v>
      </c>
      <c r="C58" t="s">
        <v>259</v>
      </c>
      <c r="D58">
        <f>_xlfn.XLOOKUP(B58,ED_Freshwater!$E$2:$E$179,ED_Freshwater!$CX$2:$CX$179,"N/A",0,1)</f>
        <v>8.1084974089999999</v>
      </c>
    </row>
    <row r="59" spans="2:4" x14ac:dyDescent="0.3">
      <c r="B59" t="s">
        <v>615</v>
      </c>
      <c r="C59" t="s">
        <v>616</v>
      </c>
      <c r="D59">
        <f>D18</f>
        <v>41.518528799999999</v>
      </c>
    </row>
    <row r="60" spans="2:4" x14ac:dyDescent="0.3">
      <c r="B60" t="s">
        <v>378</v>
      </c>
      <c r="C60" t="s">
        <v>379</v>
      </c>
      <c r="D60">
        <f>_xlfn.XLOOKUP(B60,ED_Freshwater!$E$2:$E$179,ED_Freshwater!$CX$2:$CX$179,"N/A",0,1)</f>
        <v>44.945147339999998</v>
      </c>
    </row>
    <row r="61" spans="2:4" x14ac:dyDescent="0.3">
      <c r="B61" t="s">
        <v>224</v>
      </c>
      <c r="C61" t="s">
        <v>617</v>
      </c>
      <c r="D61">
        <f>_xlfn.XLOOKUP(B61,ED_Freshwater!$E$2:$E$179,ED_Freshwater!$CX$2:$CX$179,"N/A",0,1)</f>
        <v>18.130315379999999</v>
      </c>
    </row>
    <row r="62" spans="2:4" x14ac:dyDescent="0.3">
      <c r="B62" t="s">
        <v>248</v>
      </c>
      <c r="C62" t="s">
        <v>249</v>
      </c>
      <c r="D62">
        <f>_xlfn.XLOOKUP(B62,ED_Freshwater!$E$2:$E$179,ED_Freshwater!$CX$2:$CX$179,"N/A",0,1)</f>
        <v>5.5916159570000001</v>
      </c>
    </row>
    <row r="63" spans="2:4" x14ac:dyDescent="0.3">
      <c r="B63" t="s">
        <v>474</v>
      </c>
      <c r="C63" t="s">
        <v>618</v>
      </c>
      <c r="D63">
        <f>_xlfn.XLOOKUP(B63,ED_Freshwater!$E$2:$E$179,ED_Freshwater!$CX$2:$CX$179,"N/A",0,1)</f>
        <v>21.973844280000002</v>
      </c>
    </row>
    <row r="64" spans="2:4" x14ac:dyDescent="0.3">
      <c r="B64" t="s">
        <v>514</v>
      </c>
      <c r="C64" t="s">
        <v>515</v>
      </c>
      <c r="D64">
        <f>_xlfn.XLOOKUP(B64,ED_Freshwater!$E$2:$E$179,ED_Freshwater!$CX$2:$CX$179,"N/A",0,1)</f>
        <v>2.4252302929999998</v>
      </c>
    </row>
    <row r="65" spans="2:4" x14ac:dyDescent="0.3">
      <c r="B65" t="s">
        <v>364</v>
      </c>
      <c r="C65" t="s">
        <v>365</v>
      </c>
      <c r="D65">
        <f>_xlfn.XLOOKUP(B65,ED_Freshwater!$E$2:$E$179,ED_Freshwater!$CX$2:$CX$179,"N/A",0,1)</f>
        <v>2.1655371309999998</v>
      </c>
    </row>
    <row r="66" spans="2:4" x14ac:dyDescent="0.3">
      <c r="B66" t="s">
        <v>344</v>
      </c>
      <c r="C66" t="s">
        <v>345</v>
      </c>
      <c r="D66">
        <f>_xlfn.XLOOKUP(B66,ED_Freshwater!$E$2:$E$179,ED_Freshwater!$CX$2:$CX$179,"N/A",0,1)</f>
        <v>1.015521509</v>
      </c>
    </row>
    <row r="67" spans="2:4" x14ac:dyDescent="0.3">
      <c r="B67" t="s">
        <v>472</v>
      </c>
      <c r="C67" t="s">
        <v>473</v>
      </c>
      <c r="D67">
        <f>_xlfn.XLOOKUP(B67,ED_Freshwater!$E$2:$E$179,ED_Freshwater!$CX$2:$CX$179,"N/A",0,1)</f>
        <v>8.0510105870000004</v>
      </c>
    </row>
    <row r="68" spans="2:4" x14ac:dyDescent="0.3">
      <c r="B68" t="s">
        <v>396</v>
      </c>
      <c r="C68" t="s">
        <v>397</v>
      </c>
      <c r="D68">
        <f>_xlfn.XLOOKUP(B68,ED_Freshwater!$E$2:$E$179,ED_Freshwater!$CX$2:$CX$179,"N/A",0,1)</f>
        <v>4.8284277199999996</v>
      </c>
    </row>
    <row r="69" spans="2:4" x14ac:dyDescent="0.3">
      <c r="B69" t="s">
        <v>382</v>
      </c>
      <c r="C69" t="s">
        <v>619</v>
      </c>
      <c r="D69">
        <f>_xlfn.XLOOKUP(B69,ED_Freshwater!$E$2:$E$179,ED_Freshwater!$CX$2:$CX$179,"N/A",0,1)</f>
        <v>4.1222427489999998</v>
      </c>
    </row>
    <row r="70" spans="2:4" x14ac:dyDescent="0.3">
      <c r="B70" t="s">
        <v>338</v>
      </c>
      <c r="C70" t="s">
        <v>339</v>
      </c>
      <c r="D70">
        <f>_xlfn.XLOOKUP(B70,ED_Freshwater!$E$2:$E$179,ED_Freshwater!$CX$2:$CX$179,"N/A",0,1)</f>
        <v>3.6322814370000001</v>
      </c>
    </row>
    <row r="71" spans="2:4" x14ac:dyDescent="0.3">
      <c r="B71" t="s">
        <v>568</v>
      </c>
      <c r="C71" t="s">
        <v>569</v>
      </c>
      <c r="D71">
        <f>_xlfn.XLOOKUP(B71,ED_Freshwater!$E$2:$E$179,ED_Freshwater!$CX$2:$CX$179,"N/A",0,1)</f>
        <v>34.626907070000001</v>
      </c>
    </row>
    <row r="72" spans="2:4" x14ac:dyDescent="0.3">
      <c r="B72" t="s">
        <v>536</v>
      </c>
      <c r="C72" t="s">
        <v>620</v>
      </c>
      <c r="D72">
        <f>_xlfn.XLOOKUP(B72,ED_Freshwater!$E$2:$E$179,ED_Freshwater!$CX$2:$CX$179,"N/A",0,1)</f>
        <v>141.16575589999999</v>
      </c>
    </row>
    <row r="73" spans="2:4" x14ac:dyDescent="0.3">
      <c r="B73" t="s">
        <v>436</v>
      </c>
      <c r="C73" t="s">
        <v>437</v>
      </c>
      <c r="D73">
        <f>_xlfn.XLOOKUP(B73,ED_Freshwater!$E$2:$E$179,ED_Freshwater!$CX$2:$CX$179,"N/A",0,1)</f>
        <v>46.091620310000003</v>
      </c>
    </row>
    <row r="74" spans="2:4" x14ac:dyDescent="0.3">
      <c r="B74" t="s">
        <v>458</v>
      </c>
      <c r="C74" t="s">
        <v>459</v>
      </c>
      <c r="D74">
        <f>_xlfn.XLOOKUP(B74,ED_Freshwater!$E$2:$E$179,ED_Freshwater!$CX$2:$CX$179,"N/A",0,1)</f>
        <v>0.314668328</v>
      </c>
    </row>
    <row r="75" spans="2:4" x14ac:dyDescent="0.3">
      <c r="B75" t="s">
        <v>346</v>
      </c>
      <c r="C75" t="s">
        <v>347</v>
      </c>
      <c r="D75">
        <f>_xlfn.XLOOKUP(B75,ED_Freshwater!$E$2:$E$179,ED_Freshwater!$CX$2:$CX$179,"N/A",0,1)</f>
        <v>33.239901070000002</v>
      </c>
    </row>
    <row r="76" spans="2:4" x14ac:dyDescent="0.3">
      <c r="B76" t="s">
        <v>432</v>
      </c>
      <c r="C76" t="s">
        <v>433</v>
      </c>
      <c r="D76">
        <f>_xlfn.XLOOKUP(B76,ED_Freshwater!$E$2:$E$179,ED_Freshwater!$CX$2:$CX$179,"N/A",0,1)</f>
        <v>2.2300098190000002</v>
      </c>
    </row>
    <row r="77" spans="2:4" x14ac:dyDescent="0.3">
      <c r="B77" t="s">
        <v>354</v>
      </c>
      <c r="C77" t="s">
        <v>355</v>
      </c>
      <c r="D77">
        <f>_xlfn.XLOOKUP(B77,ED_Freshwater!$E$2:$E$179,ED_Freshwater!$CX$2:$CX$179,"N/A",0,1)</f>
        <v>109.9932519</v>
      </c>
    </row>
    <row r="78" spans="2:4" x14ac:dyDescent="0.3">
      <c r="B78" t="s">
        <v>310</v>
      </c>
      <c r="C78" t="s">
        <v>621</v>
      </c>
      <c r="D78">
        <f>_xlfn.XLOOKUP(B78,ED_Freshwater!$E$2:$E$179,ED_Freshwater!$CX$2:$CX$179,"N/A",0,1)</f>
        <v>0.22688350500000001</v>
      </c>
    </row>
    <row r="79" spans="2:4" x14ac:dyDescent="0.3">
      <c r="B79" t="s">
        <v>342</v>
      </c>
      <c r="C79" t="s">
        <v>343</v>
      </c>
      <c r="D79">
        <f>_xlfn.XLOOKUP(B79,ED_Freshwater!$E$2:$E$179,ED_Freshwater!$CX$2:$CX$179,"N/A",0,1)</f>
        <v>1.8718832889999999</v>
      </c>
    </row>
    <row r="80" spans="2:4" x14ac:dyDescent="0.3">
      <c r="B80" t="s">
        <v>526</v>
      </c>
      <c r="C80" t="s">
        <v>527</v>
      </c>
      <c r="D80">
        <f>_xlfn.XLOOKUP(B80,ED_Freshwater!$E$2:$E$179,ED_Freshwater!$CX$2:$CX$179,"N/A",0,1)</f>
        <v>40.23530092</v>
      </c>
    </row>
    <row r="81" spans="2:4" x14ac:dyDescent="0.3">
      <c r="B81" t="s">
        <v>544</v>
      </c>
      <c r="C81" t="s">
        <v>545</v>
      </c>
      <c r="D81">
        <f>_xlfn.XLOOKUP(B81,ED_Freshwater!$E$2:$E$179,ED_Freshwater!$CX$2:$CX$179,"N/A",0,1)</f>
        <v>3.9585406299999999</v>
      </c>
    </row>
    <row r="82" spans="2:4" x14ac:dyDescent="0.3">
      <c r="B82" t="s">
        <v>360</v>
      </c>
      <c r="C82" t="s">
        <v>361</v>
      </c>
      <c r="D82">
        <f>_xlfn.XLOOKUP(B82,ED_Freshwater!$E$2:$E$179,ED_Freshwater!$CX$2:$CX$179,"N/A",0,1)</f>
        <v>7.6313079300000002</v>
      </c>
    </row>
    <row r="83" spans="2:4" x14ac:dyDescent="0.3">
      <c r="B83" t="s">
        <v>280</v>
      </c>
      <c r="C83" t="s">
        <v>281</v>
      </c>
      <c r="D83">
        <f>_xlfn.XLOOKUP(B83,ED_Freshwater!$E$2:$E$179,ED_Freshwater!$CX$2:$CX$179,"N/A",0,1)</f>
        <v>90.785413739999996</v>
      </c>
    </row>
    <row r="84" spans="2:4" x14ac:dyDescent="0.3">
      <c r="B84" t="s">
        <v>460</v>
      </c>
      <c r="C84" t="s">
        <v>461</v>
      </c>
      <c r="D84">
        <f>_xlfn.XLOOKUP(B84,ED_Freshwater!$E$2:$E$179,ED_Freshwater!$CX$2:$CX$179,"N/A",0,1)</f>
        <v>11.02093771</v>
      </c>
    </row>
    <row r="85" spans="2:4" x14ac:dyDescent="0.3">
      <c r="B85" t="s">
        <v>416</v>
      </c>
      <c r="C85" t="s">
        <v>417</v>
      </c>
      <c r="D85">
        <f>_xlfn.XLOOKUP(B85,ED_Freshwater!$E$2:$E$179,ED_Freshwater!$CX$2:$CX$179,"N/A",0,1)</f>
        <v>6.2981342319999998</v>
      </c>
    </row>
    <row r="86" spans="2:4" x14ac:dyDescent="0.3">
      <c r="B86" t="s">
        <v>512</v>
      </c>
      <c r="C86" t="s">
        <v>513</v>
      </c>
      <c r="D86">
        <f>_xlfn.XLOOKUP(B86,ED_Freshwater!$E$2:$E$179,ED_Freshwater!$CX$2:$CX$179,"N/A",0,1)</f>
        <v>6.3333333329999997</v>
      </c>
    </row>
    <row r="87" spans="2:4" x14ac:dyDescent="0.3">
      <c r="B87" t="s">
        <v>524</v>
      </c>
      <c r="C87" t="s">
        <v>525</v>
      </c>
      <c r="D87">
        <f>_xlfn.XLOOKUP(B87,ED_Freshwater!$E$2:$E$179,ED_Freshwater!$CX$2:$CX$179,"N/A",0,1)</f>
        <v>123.0283912</v>
      </c>
    </row>
    <row r="88" spans="2:4" x14ac:dyDescent="0.3">
      <c r="B88" t="s">
        <v>290</v>
      </c>
      <c r="C88" t="s">
        <v>291</v>
      </c>
      <c r="D88">
        <f>_xlfn.XLOOKUP(B88,ED_Freshwater!$E$2:$E$179,ED_Freshwater!$CX$2:$CX$179,"N/A",0,1)</f>
        <v>0.90107110999999995</v>
      </c>
    </row>
    <row r="89" spans="2:4" x14ac:dyDescent="0.3">
      <c r="B89" t="s">
        <v>362</v>
      </c>
      <c r="C89" t="s">
        <v>363</v>
      </c>
      <c r="D89">
        <f>_xlfn.XLOOKUP(B89,ED_Freshwater!$E$2:$E$179,ED_Freshwater!$CX$2:$CX$179,"N/A",0,1)</f>
        <v>3.395007342</v>
      </c>
    </row>
    <row r="90" spans="2:4" x14ac:dyDescent="0.3">
      <c r="B90" t="s">
        <v>316</v>
      </c>
      <c r="C90" t="s">
        <v>317</v>
      </c>
      <c r="D90">
        <f>_xlfn.XLOOKUP(B90,ED_Freshwater!$E$2:$E$179,ED_Freshwater!$CX$2:$CX$179,"N/A",0,1)</f>
        <v>10</v>
      </c>
    </row>
    <row r="91" spans="2:4" x14ac:dyDescent="0.3">
      <c r="B91" t="s">
        <v>376</v>
      </c>
      <c r="C91" t="s">
        <v>377</v>
      </c>
      <c r="D91">
        <f>_xlfn.XLOOKUP(B91,ED_Freshwater!$E$2:$E$179,ED_Freshwater!$CX$2:$CX$179,"N/A",0,1)</f>
        <v>105.20212650000001</v>
      </c>
    </row>
    <row r="92" spans="2:4" x14ac:dyDescent="0.3">
      <c r="B92" t="s">
        <v>552</v>
      </c>
      <c r="C92" t="s">
        <v>553</v>
      </c>
      <c r="D92">
        <f>_xlfn.XLOOKUP(B92,ED_Freshwater!$E$2:$E$179,ED_Freshwater!$CX$2:$CX$179,"N/A",0,1)</f>
        <v>1.751486326</v>
      </c>
    </row>
    <row r="93" spans="2:4" x14ac:dyDescent="0.3">
      <c r="B93" t="s">
        <v>332</v>
      </c>
      <c r="C93" t="s">
        <v>333</v>
      </c>
      <c r="D93">
        <f>_xlfn.XLOOKUP(B93,ED_Freshwater!$E$2:$E$179,ED_Freshwater!$CX$2:$CX$179,"N/A",0,1)</f>
        <v>39.553314120000003</v>
      </c>
    </row>
    <row r="94" spans="2:4" x14ac:dyDescent="0.3">
      <c r="B94" t="s">
        <v>256</v>
      </c>
      <c r="C94" t="s">
        <v>257</v>
      </c>
      <c r="D94">
        <f>_xlfn.XLOOKUP(B94,ED_Freshwater!$E$2:$E$179,ED_Freshwater!$CX$2:$CX$179,"N/A",0,1)</f>
        <v>431.03448279999998</v>
      </c>
    </row>
    <row r="95" spans="2:4" x14ac:dyDescent="0.3">
      <c r="B95" t="s">
        <v>488</v>
      </c>
      <c r="C95" t="s">
        <v>489</v>
      </c>
      <c r="D95">
        <f>_xlfn.XLOOKUP(B95,ED_Freshwater!$E$2:$E$179,ED_Freshwater!$CX$2:$CX$179,"N/A",0,1)</f>
        <v>5.7376310149999998</v>
      </c>
    </row>
    <row r="96" spans="2:4" x14ac:dyDescent="0.3">
      <c r="B96" t="s">
        <v>370</v>
      </c>
      <c r="C96" t="s">
        <v>371</v>
      </c>
      <c r="D96">
        <f>_xlfn.XLOOKUP(B96,ED_Freshwater!$E$2:$E$179,ED_Freshwater!$CX$2:$CX$179,"N/A",0,1)</f>
        <v>27.83151711</v>
      </c>
    </row>
    <row r="97" spans="2:12" x14ac:dyDescent="0.3">
      <c r="B97" t="s">
        <v>468</v>
      </c>
      <c r="C97" t="s">
        <v>469</v>
      </c>
      <c r="D97">
        <f>_xlfn.XLOOKUP(B97,ED_Freshwater!$E$2:$E$179,ED_Freshwater!$CX$2:$CX$179,"N/A",0,1)</f>
        <v>0.29737302999999998</v>
      </c>
    </row>
    <row r="98" spans="2:12" x14ac:dyDescent="0.3">
      <c r="B98" t="s">
        <v>326</v>
      </c>
      <c r="C98" t="s">
        <v>327</v>
      </c>
      <c r="D98">
        <f>_xlfn.XLOOKUP(B98,ED_Freshwater!$E$2:$E$179,ED_Freshwater!$CX$2:$CX$179,"N/A",0,1)</f>
        <v>5.8279963400000003</v>
      </c>
    </row>
    <row r="99" spans="2:12" x14ac:dyDescent="0.3">
      <c r="B99" t="s">
        <v>312</v>
      </c>
      <c r="C99" t="s">
        <v>313</v>
      </c>
      <c r="D99">
        <f>_xlfn.XLOOKUP(B99,ED_Freshwater!$E$2:$E$179,ED_Freshwater!$CX$2:$CX$179,"N/A",0,1)</f>
        <v>30.481137230000002</v>
      </c>
    </row>
    <row r="100" spans="2:12" x14ac:dyDescent="0.3">
      <c r="B100" t="s">
        <v>428</v>
      </c>
      <c r="C100" t="s">
        <v>429</v>
      </c>
      <c r="D100">
        <f>_xlfn.XLOOKUP(B100,ED_Freshwater!$E$2:$E$179,ED_Freshwater!$CX$2:$CX$179,"N/A",0,1)</f>
        <v>1.509559804</v>
      </c>
    </row>
    <row r="101" spans="2:12" x14ac:dyDescent="0.3">
      <c r="B101" t="s">
        <v>328</v>
      </c>
      <c r="C101" t="s">
        <v>329</v>
      </c>
      <c r="D101">
        <f>_xlfn.XLOOKUP(B101,ED_Freshwater!$E$2:$E$179,ED_Freshwater!$CX$2:$CX$179,"N/A",0,1)</f>
        <v>98.113399180000002</v>
      </c>
    </row>
    <row r="102" spans="2:12" x14ac:dyDescent="0.3">
      <c r="B102" t="s">
        <v>268</v>
      </c>
      <c r="C102" t="s">
        <v>269</v>
      </c>
      <c r="D102">
        <f>_xlfn.XLOOKUP(B102,ED_Freshwater!$E$2:$E$179,ED_Freshwater!$CX$2:$CX$179,"N/A",0,1)</f>
        <v>144.8149712</v>
      </c>
    </row>
    <row r="103" spans="2:12" x14ac:dyDescent="0.3">
      <c r="B103" t="s">
        <v>412</v>
      </c>
      <c r="C103" t="s">
        <v>413</v>
      </c>
      <c r="D103">
        <f>_xlfn.XLOOKUP(B103,ED_Freshwater!$E$2:$E$179,ED_Freshwater!$CX$2:$CX$179,"N/A",0,1)</f>
        <v>133.70689659999999</v>
      </c>
    </row>
    <row r="104" spans="2:12" x14ac:dyDescent="0.3">
      <c r="B104" t="s">
        <v>402</v>
      </c>
      <c r="C104" t="s">
        <v>403</v>
      </c>
      <c r="D104">
        <f>_xlfn.XLOOKUP(B104,ED_Freshwater!$E$2:$E$179,ED_Freshwater!$CX$2:$CX$179,"N/A",0,1)</f>
        <v>131.99896471400001</v>
      </c>
    </row>
    <row r="105" spans="2:12" x14ac:dyDescent="0.3">
      <c r="B105" t="s">
        <v>298</v>
      </c>
      <c r="C105" t="s">
        <v>299</v>
      </c>
      <c r="D105">
        <f>_xlfn.XLOOKUP(B105,ED_Freshwater!$E$2:$E$179,ED_Freshwater!$CX$2:$CX$179,"N/A",0,1)</f>
        <v>0.50216606500000005</v>
      </c>
    </row>
    <row r="106" spans="2:12" x14ac:dyDescent="0.3">
      <c r="B106" t="s">
        <v>246</v>
      </c>
      <c r="C106" t="s">
        <v>247</v>
      </c>
      <c r="D106">
        <f>_xlfn.XLOOKUP(B106,ED_Freshwater!$E$2:$E$179,ED_Freshwater!$CX$2:$CX$179,"N/A",0,1)</f>
        <v>9.6682170539999994</v>
      </c>
    </row>
    <row r="107" spans="2:12" x14ac:dyDescent="0.3">
      <c r="B107" t="s">
        <v>494</v>
      </c>
      <c r="C107" t="s">
        <v>622</v>
      </c>
      <c r="D107">
        <f>_xlfn.XLOOKUP(B107,ED_Freshwater!$E$2:$E$179,ED_Freshwater!$CX$2:$CX$179,"N/A",0,1)</f>
        <v>14.3</v>
      </c>
    </row>
    <row r="108" spans="2:12" x14ac:dyDescent="0.3">
      <c r="B108" t="s">
        <v>623</v>
      </c>
      <c r="C108" t="e">
        <v>#N/A</v>
      </c>
      <c r="D108">
        <f>AVERAGE(F108:G108)</f>
        <v>27.784875754999998</v>
      </c>
      <c r="F108">
        <f>_xlfn.XLOOKUP(J108,$B$7:$B$107,$D$7:$D$107)</f>
        <v>12.31571228</v>
      </c>
      <c r="G108">
        <f>_xlfn.XLOOKUP(K108,$B$7:$B$107,$D$7:$D$107)</f>
        <v>43.254039229999997</v>
      </c>
      <c r="J108" t="s">
        <v>274</v>
      </c>
      <c r="K108" t="s">
        <v>384</v>
      </c>
    </row>
    <row r="109" spans="2:12" x14ac:dyDescent="0.3">
      <c r="B109" t="s">
        <v>624</v>
      </c>
      <c r="C109" t="e">
        <v>#N/A</v>
      </c>
      <c r="D109">
        <f>AVERAGE(G109:H109)</f>
        <v>22.014043511499999</v>
      </c>
      <c r="G109">
        <f>_xlfn.XLOOKUP(K109,$B$7:$B$107,$D$7:$D$107)</f>
        <v>35.351657070000002</v>
      </c>
      <c r="H109">
        <f>_xlfn.XLOOKUP(L109,$B$7:$B$107,$D$7:$D$107)</f>
        <v>8.6764299529999995</v>
      </c>
      <c r="J109" t="s">
        <v>625</v>
      </c>
      <c r="K109" t="s">
        <v>462</v>
      </c>
      <c r="L109" t="s">
        <v>282</v>
      </c>
    </row>
    <row r="110" spans="2:12" x14ac:dyDescent="0.3">
      <c r="B110" t="s">
        <v>626</v>
      </c>
      <c r="C110" t="e">
        <v>#N/A</v>
      </c>
      <c r="D110">
        <f>AVERAGE(F110:H110)</f>
        <v>18.961454534333331</v>
      </c>
      <c r="F110">
        <f>_xlfn.XLOOKUP(J110,$B$7:$B$107,$D$7:$D$107)</f>
        <v>32.485289029999997</v>
      </c>
      <c r="G110">
        <f>_xlfn.XLOOKUP(K110,$B$7:$B$107,$D$7:$D$107)</f>
        <v>21.973844280000002</v>
      </c>
      <c r="H110">
        <f>_xlfn.XLOOKUP(L110,$B$7:$B$107,$D$7:$D$107)</f>
        <v>2.4252302929999998</v>
      </c>
      <c r="J110" t="s">
        <v>496</v>
      </c>
      <c r="K110" t="s">
        <v>474</v>
      </c>
      <c r="L110" t="s">
        <v>514</v>
      </c>
    </row>
    <row r="111" spans="2:12" x14ac:dyDescent="0.3">
      <c r="B111" t="s">
        <v>627</v>
      </c>
      <c r="C111" t="e">
        <v>#N/A</v>
      </c>
      <c r="D111">
        <f>AVERAGE(F111:G111)</f>
        <v>30.309008630000001</v>
      </c>
      <c r="F111">
        <f>_xlfn.XLOOKUP(J111,$B$7:$B$107,$D$7:$D$107)</f>
        <v>35.351657070000002</v>
      </c>
      <c r="G111">
        <f>_xlfn.XLOOKUP(K111,$B$7:$B$107,$D$7:$D$107)</f>
        <v>25.26636019</v>
      </c>
      <c r="J111" t="s">
        <v>462</v>
      </c>
      <c r="K111" t="s">
        <v>520</v>
      </c>
    </row>
    <row r="112" spans="2:12" x14ac:dyDescent="0.3">
      <c r="B112" t="s">
        <v>628</v>
      </c>
      <c r="C112" t="e">
        <v>#N/A</v>
      </c>
      <c r="D112">
        <f>AVERAGE(F112:G112)</f>
        <v>32.319333194999999</v>
      </c>
      <c r="F112">
        <f>_xlfn.XLOOKUP(J112,$B$7:$B$107,$D$7:$D$107)</f>
        <v>43.254039229999997</v>
      </c>
      <c r="G112">
        <f>_xlfn.XLOOKUP(K112,$B$7:$B$107,$D$7:$D$107)</f>
        <v>21.384627160000001</v>
      </c>
      <c r="J112" t="s">
        <v>384</v>
      </c>
      <c r="K112" t="s">
        <v>308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1FED34-1A65-4195-8D4A-565684070D22}">
  <dimension ref="A1"/>
  <sheetViews>
    <sheetView showGridLines="0" workbookViewId="0"/>
  </sheetViews>
  <sheetFormatPr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A6687-9E11-46A6-BA17-72B896D5047F}">
  <dimension ref="A1:CX179"/>
  <sheetViews>
    <sheetView showGridLines="0" topLeftCell="BK44" zoomScale="70" zoomScaleNormal="70" workbookViewId="0">
      <selection activeCell="CX82" sqref="CX82"/>
    </sheetView>
  </sheetViews>
  <sheetFormatPr defaultRowHeight="14.4" outlineLevelCol="1" x14ac:dyDescent="0.3"/>
  <cols>
    <col min="1" max="4" width="0" hidden="1" customWidth="1" outlineLevel="1"/>
    <col min="5" max="5" width="8.88671875" collapsed="1"/>
    <col min="6" max="101" width="8.88671875" customWidth="1" outlineLevel="1"/>
    <col min="102" max="102" width="14.44140625" bestFit="1" customWidth="1"/>
  </cols>
  <sheetData>
    <row r="1" spans="1:102" x14ac:dyDescent="0.3">
      <c r="A1" t="s">
        <v>179</v>
      </c>
      <c r="B1" t="s">
        <v>180</v>
      </c>
      <c r="C1" t="s">
        <v>181</v>
      </c>
      <c r="D1" t="s">
        <v>182</v>
      </c>
      <c r="E1" t="s">
        <v>183</v>
      </c>
      <c r="F1" t="s">
        <v>184</v>
      </c>
      <c r="G1" t="s">
        <v>185</v>
      </c>
      <c r="H1" t="s">
        <v>186</v>
      </c>
      <c r="I1" t="s">
        <v>187</v>
      </c>
      <c r="J1" t="s">
        <v>188</v>
      </c>
      <c r="K1" t="s">
        <v>189</v>
      </c>
      <c r="L1" t="s">
        <v>190</v>
      </c>
      <c r="M1" t="s">
        <v>191</v>
      </c>
      <c r="N1" t="s">
        <v>192</v>
      </c>
      <c r="O1" t="s">
        <v>193</v>
      </c>
      <c r="P1" t="s">
        <v>194</v>
      </c>
      <c r="Q1" t="s">
        <v>195</v>
      </c>
      <c r="R1" t="s">
        <v>196</v>
      </c>
      <c r="S1" t="s">
        <v>197</v>
      </c>
      <c r="T1" t="s">
        <v>198</v>
      </c>
      <c r="U1" t="s">
        <v>199</v>
      </c>
      <c r="V1" t="s">
        <v>200</v>
      </c>
      <c r="W1" t="s">
        <v>201</v>
      </c>
      <c r="X1" t="s">
        <v>202</v>
      </c>
      <c r="Y1" t="s">
        <v>203</v>
      </c>
      <c r="Z1" t="s">
        <v>204</v>
      </c>
      <c r="AA1" t="s">
        <v>205</v>
      </c>
      <c r="AB1" t="s">
        <v>206</v>
      </c>
      <c r="AC1" t="s">
        <v>207</v>
      </c>
      <c r="AD1" t="s">
        <v>208</v>
      </c>
      <c r="AE1" t="s">
        <v>209</v>
      </c>
      <c r="AF1" t="s">
        <v>210</v>
      </c>
      <c r="AG1" t="s">
        <v>211</v>
      </c>
      <c r="AH1" t="s">
        <v>212</v>
      </c>
      <c r="AI1" t="s">
        <v>213</v>
      </c>
      <c r="AJ1" t="s">
        <v>214</v>
      </c>
      <c r="AK1" t="s">
        <v>215</v>
      </c>
      <c r="AL1" t="s">
        <v>216</v>
      </c>
      <c r="AM1" t="s">
        <v>217</v>
      </c>
      <c r="AN1" t="s">
        <v>218</v>
      </c>
      <c r="AO1" t="s">
        <v>219</v>
      </c>
      <c r="AP1">
        <v>1962</v>
      </c>
      <c r="AQ1">
        <v>1963</v>
      </c>
      <c r="AR1">
        <v>1964</v>
      </c>
      <c r="AS1">
        <v>1965</v>
      </c>
      <c r="AT1">
        <v>1966</v>
      </c>
      <c r="AU1">
        <v>1967</v>
      </c>
      <c r="AV1">
        <v>1968</v>
      </c>
      <c r="AW1">
        <v>1969</v>
      </c>
      <c r="AX1">
        <v>1970</v>
      </c>
      <c r="AY1">
        <v>1971</v>
      </c>
      <c r="AZ1">
        <v>1972</v>
      </c>
      <c r="BA1">
        <v>1973</v>
      </c>
      <c r="BB1">
        <v>1974</v>
      </c>
      <c r="BC1">
        <v>1975</v>
      </c>
      <c r="BD1">
        <v>1976</v>
      </c>
      <c r="BE1">
        <v>1977</v>
      </c>
      <c r="BF1">
        <v>1978</v>
      </c>
      <c r="BG1">
        <v>1979</v>
      </c>
      <c r="BH1">
        <v>1980</v>
      </c>
      <c r="BI1">
        <v>1981</v>
      </c>
      <c r="BJ1">
        <v>1982</v>
      </c>
      <c r="BK1">
        <v>1983</v>
      </c>
      <c r="BL1">
        <v>1984</v>
      </c>
      <c r="BM1">
        <v>1985</v>
      </c>
      <c r="BN1">
        <v>1986</v>
      </c>
      <c r="BO1">
        <v>1987</v>
      </c>
      <c r="BP1">
        <v>1988</v>
      </c>
      <c r="BQ1">
        <v>1989</v>
      </c>
      <c r="BR1">
        <v>1990</v>
      </c>
      <c r="BS1">
        <v>1991</v>
      </c>
      <c r="BT1">
        <v>1992</v>
      </c>
      <c r="BU1">
        <v>1993</v>
      </c>
      <c r="BV1">
        <v>1994</v>
      </c>
      <c r="BW1">
        <v>1995</v>
      </c>
      <c r="BX1">
        <v>1996</v>
      </c>
      <c r="BY1">
        <v>1997</v>
      </c>
      <c r="BZ1">
        <v>1998</v>
      </c>
      <c r="CA1">
        <v>1999</v>
      </c>
      <c r="CB1">
        <v>2000</v>
      </c>
      <c r="CC1">
        <v>2001</v>
      </c>
      <c r="CD1">
        <v>2002</v>
      </c>
      <c r="CE1">
        <v>2003</v>
      </c>
      <c r="CF1">
        <v>2004</v>
      </c>
      <c r="CG1">
        <v>2005</v>
      </c>
      <c r="CH1">
        <v>2006</v>
      </c>
      <c r="CI1">
        <v>2007</v>
      </c>
      <c r="CJ1">
        <v>2008</v>
      </c>
      <c r="CK1">
        <v>2009</v>
      </c>
      <c r="CL1">
        <v>2010</v>
      </c>
      <c r="CM1">
        <v>2011</v>
      </c>
      <c r="CN1">
        <v>2012</v>
      </c>
      <c r="CO1">
        <v>2013</v>
      </c>
      <c r="CP1">
        <v>2014</v>
      </c>
      <c r="CQ1">
        <v>2015</v>
      </c>
      <c r="CR1">
        <v>2016</v>
      </c>
      <c r="CS1">
        <v>2017</v>
      </c>
      <c r="CT1">
        <v>2018</v>
      </c>
      <c r="CU1">
        <v>2019</v>
      </c>
      <c r="CV1">
        <v>2020</v>
      </c>
      <c r="CW1">
        <v>2021</v>
      </c>
      <c r="CX1" t="s">
        <v>600</v>
      </c>
    </row>
    <row r="2" spans="1:102" x14ac:dyDescent="0.3">
      <c r="A2" t="s">
        <v>220</v>
      </c>
      <c r="B2" t="s">
        <v>221</v>
      </c>
      <c r="C2" t="s">
        <v>222</v>
      </c>
      <c r="D2" t="s">
        <v>223</v>
      </c>
      <c r="E2" t="s">
        <v>224</v>
      </c>
      <c r="F2" t="s">
        <v>225</v>
      </c>
      <c r="G2" t="s">
        <v>226</v>
      </c>
      <c r="H2" t="s">
        <v>226</v>
      </c>
      <c r="I2" t="s">
        <v>226</v>
      </c>
      <c r="J2" t="s">
        <v>227</v>
      </c>
      <c r="K2" t="s">
        <v>228</v>
      </c>
      <c r="L2" t="s">
        <v>228</v>
      </c>
      <c r="M2" t="s">
        <v>228</v>
      </c>
      <c r="N2" t="s">
        <v>228</v>
      </c>
      <c r="O2" t="s">
        <v>229</v>
      </c>
      <c r="P2">
        <v>2</v>
      </c>
      <c r="Q2" t="s">
        <v>230</v>
      </c>
      <c r="R2" t="s">
        <v>231</v>
      </c>
      <c r="S2" t="s">
        <v>232</v>
      </c>
      <c r="T2">
        <v>0</v>
      </c>
      <c r="U2" t="s">
        <v>230</v>
      </c>
      <c r="V2" t="s">
        <v>233</v>
      </c>
      <c r="W2" t="s">
        <v>223</v>
      </c>
      <c r="X2" t="s">
        <v>234</v>
      </c>
      <c r="Y2" t="s">
        <v>235</v>
      </c>
      <c r="Z2" t="s">
        <v>232</v>
      </c>
      <c r="AA2" t="s">
        <v>236</v>
      </c>
      <c r="AB2" t="s">
        <v>237</v>
      </c>
      <c r="AC2" t="s">
        <v>236</v>
      </c>
      <c r="AD2" t="s">
        <v>238</v>
      </c>
      <c r="AE2" t="s">
        <v>239</v>
      </c>
      <c r="AF2" t="s">
        <v>239</v>
      </c>
      <c r="AG2" t="s">
        <v>239</v>
      </c>
      <c r="AH2" t="s">
        <v>239</v>
      </c>
      <c r="AI2" t="s">
        <v>240</v>
      </c>
      <c r="AJ2" t="s">
        <v>241</v>
      </c>
      <c r="AK2" t="s">
        <v>242</v>
      </c>
      <c r="AL2" t="s">
        <v>234</v>
      </c>
      <c r="AM2" t="s">
        <v>243</v>
      </c>
      <c r="AN2" t="s">
        <v>244</v>
      </c>
      <c r="AO2" t="s">
        <v>245</v>
      </c>
      <c r="BH2">
        <v>8.3850106310000001</v>
      </c>
      <c r="BI2">
        <v>8.7132352940000004</v>
      </c>
      <c r="BJ2">
        <v>9.0414599580000008</v>
      </c>
      <c r="BK2">
        <v>9.3696846209999993</v>
      </c>
      <c r="BL2">
        <v>9.6979092839999996</v>
      </c>
      <c r="BM2">
        <v>10.02613395</v>
      </c>
      <c r="BN2">
        <v>10.302888019999999</v>
      </c>
      <c r="BO2">
        <v>10.579642099999999</v>
      </c>
      <c r="BP2">
        <v>10.85639617</v>
      </c>
      <c r="BQ2">
        <v>11.13315025</v>
      </c>
      <c r="BR2">
        <v>11.409904320000001</v>
      </c>
      <c r="BS2">
        <v>11.859408220000001</v>
      </c>
      <c r="BT2">
        <v>12.30891212</v>
      </c>
      <c r="BU2">
        <v>12.75841602</v>
      </c>
      <c r="BV2">
        <v>13.20791992</v>
      </c>
      <c r="BW2">
        <v>13.657423809999999</v>
      </c>
      <c r="BX2">
        <v>14.106927710000001</v>
      </c>
      <c r="BY2">
        <v>14.556431610000001</v>
      </c>
      <c r="BZ2">
        <v>15.00593551</v>
      </c>
      <c r="CA2">
        <v>15.455439399999999</v>
      </c>
      <c r="CB2">
        <v>15.904943299999999</v>
      </c>
      <c r="CC2">
        <v>16.357459250000002</v>
      </c>
      <c r="CD2">
        <v>16.809975189999999</v>
      </c>
      <c r="CE2">
        <v>17.223733169999999</v>
      </c>
      <c r="CF2">
        <v>17.676249110000001</v>
      </c>
      <c r="CG2">
        <v>18.130315379999999</v>
      </c>
      <c r="CH2">
        <v>18.130315379999999</v>
      </c>
      <c r="CI2">
        <v>18.130315379999999</v>
      </c>
      <c r="CJ2">
        <v>18.130315379999999</v>
      </c>
      <c r="CK2">
        <v>18.130315379999999</v>
      </c>
      <c r="CL2">
        <v>18.130315379999999</v>
      </c>
      <c r="CM2">
        <v>18.130315379999999</v>
      </c>
      <c r="CN2">
        <v>18.130315379999999</v>
      </c>
      <c r="CO2">
        <v>18.130315379999999</v>
      </c>
      <c r="CP2">
        <v>18.130315379999999</v>
      </c>
      <c r="CQ2">
        <v>18.130315379999999</v>
      </c>
      <c r="CR2">
        <v>18.130315379999999</v>
      </c>
      <c r="CS2">
        <v>18.130315379999999</v>
      </c>
      <c r="CT2">
        <v>18.130315379999999</v>
      </c>
      <c r="CU2">
        <v>18.130315379999999</v>
      </c>
      <c r="CV2">
        <v>18.130315379999999</v>
      </c>
      <c r="CW2">
        <v>18.130315379999999</v>
      </c>
      <c r="CX2">
        <v>18.130315379999999</v>
      </c>
    </row>
    <row r="3" spans="1:102" x14ac:dyDescent="0.3">
      <c r="A3" t="s">
        <v>220</v>
      </c>
      <c r="B3" t="s">
        <v>221</v>
      </c>
      <c r="C3" t="s">
        <v>222</v>
      </c>
      <c r="D3" t="s">
        <v>223</v>
      </c>
      <c r="E3" t="s">
        <v>246</v>
      </c>
      <c r="F3" t="s">
        <v>225</v>
      </c>
      <c r="G3" t="s">
        <v>226</v>
      </c>
      <c r="H3" t="s">
        <v>226</v>
      </c>
      <c r="I3" t="s">
        <v>226</v>
      </c>
      <c r="J3" t="s">
        <v>227</v>
      </c>
      <c r="K3" t="s">
        <v>228</v>
      </c>
      <c r="L3" t="s">
        <v>228</v>
      </c>
      <c r="M3" t="s">
        <v>228</v>
      </c>
      <c r="N3" t="s">
        <v>228</v>
      </c>
      <c r="O3" t="s">
        <v>229</v>
      </c>
      <c r="P3">
        <v>2</v>
      </c>
      <c r="Q3" t="s">
        <v>230</v>
      </c>
      <c r="R3" t="s">
        <v>231</v>
      </c>
      <c r="S3" t="s">
        <v>232</v>
      </c>
      <c r="T3">
        <v>0</v>
      </c>
      <c r="U3" t="s">
        <v>230</v>
      </c>
      <c r="V3" t="s">
        <v>233</v>
      </c>
      <c r="W3" t="s">
        <v>223</v>
      </c>
      <c r="X3" t="s">
        <v>234</v>
      </c>
      <c r="Y3" t="s">
        <v>247</v>
      </c>
      <c r="Z3" t="s">
        <v>232</v>
      </c>
      <c r="AA3" t="s">
        <v>236</v>
      </c>
      <c r="AB3" t="s">
        <v>237</v>
      </c>
      <c r="AC3" t="s">
        <v>236</v>
      </c>
      <c r="AD3" t="s">
        <v>238</v>
      </c>
      <c r="AE3" t="s">
        <v>239</v>
      </c>
      <c r="AF3" t="s">
        <v>239</v>
      </c>
      <c r="AG3" t="s">
        <v>239</v>
      </c>
      <c r="AH3" t="s">
        <v>239</v>
      </c>
      <c r="AI3" t="s">
        <v>240</v>
      </c>
      <c r="AJ3" t="s">
        <v>241</v>
      </c>
      <c r="AK3" t="s">
        <v>242</v>
      </c>
      <c r="AL3" t="s">
        <v>234</v>
      </c>
      <c r="AM3" t="s">
        <v>243</v>
      </c>
      <c r="AN3" t="s">
        <v>244</v>
      </c>
      <c r="AO3" t="s">
        <v>245</v>
      </c>
      <c r="BO3">
        <v>4.3333333329999997</v>
      </c>
      <c r="BP3">
        <v>4.6143708999999999</v>
      </c>
      <c r="BQ3">
        <v>4.8957662490000002</v>
      </c>
      <c r="BR3">
        <v>5.1746571259999996</v>
      </c>
      <c r="BS3">
        <v>5.4558735839999999</v>
      </c>
      <c r="BT3">
        <v>5.7370900420000002</v>
      </c>
      <c r="BU3">
        <v>6.0183064999999996</v>
      </c>
      <c r="BV3">
        <v>6.2995229579999998</v>
      </c>
      <c r="BW3">
        <v>6.5807394160000001</v>
      </c>
      <c r="BX3">
        <v>6.8619558740000004</v>
      </c>
      <c r="BY3">
        <v>7.1437090039999998</v>
      </c>
      <c r="BZ3">
        <v>7.4243887900000001</v>
      </c>
      <c r="CA3">
        <v>7.7057841380000003</v>
      </c>
      <c r="CB3">
        <v>7.9868217049999997</v>
      </c>
      <c r="CC3">
        <v>8.1834108529999998</v>
      </c>
      <c r="CD3">
        <v>8.3800000000000008</v>
      </c>
      <c r="CE3">
        <v>8.576589147</v>
      </c>
      <c r="CF3">
        <v>8.7731782949999992</v>
      </c>
      <c r="CG3">
        <v>8.9697674420000002</v>
      </c>
      <c r="CH3">
        <v>9.1094573640000007</v>
      </c>
      <c r="CI3">
        <v>9.2491472869999996</v>
      </c>
      <c r="CJ3">
        <v>9.3888372090000001</v>
      </c>
      <c r="CK3">
        <v>9.5285271320000007</v>
      </c>
      <c r="CL3">
        <v>9.6682170539999994</v>
      </c>
      <c r="CM3">
        <v>9.6682170539999994</v>
      </c>
      <c r="CN3">
        <v>9.6682170539999994</v>
      </c>
      <c r="CO3">
        <v>9.6682170539999994</v>
      </c>
      <c r="CP3">
        <v>9.6682170539999994</v>
      </c>
      <c r="CQ3">
        <v>9.6682170539999994</v>
      </c>
      <c r="CR3">
        <v>9.6682170539999994</v>
      </c>
      <c r="CS3">
        <v>9.6682170539999994</v>
      </c>
      <c r="CT3">
        <v>9.6682170539999994</v>
      </c>
      <c r="CU3">
        <v>9.6682170539999994</v>
      </c>
      <c r="CV3">
        <v>9.6682170539999994</v>
      </c>
      <c r="CW3">
        <v>9.6682170539999994</v>
      </c>
      <c r="CX3">
        <v>9.6682170539999994</v>
      </c>
    </row>
    <row r="4" spans="1:102" x14ac:dyDescent="0.3">
      <c r="A4" t="s">
        <v>220</v>
      </c>
      <c r="B4" t="s">
        <v>221</v>
      </c>
      <c r="C4" t="s">
        <v>222</v>
      </c>
      <c r="D4" t="s">
        <v>223</v>
      </c>
      <c r="E4" t="s">
        <v>248</v>
      </c>
      <c r="F4" t="s">
        <v>225</v>
      </c>
      <c r="G4" t="s">
        <v>226</v>
      </c>
      <c r="H4" t="s">
        <v>226</v>
      </c>
      <c r="I4" t="s">
        <v>226</v>
      </c>
      <c r="J4" t="s">
        <v>227</v>
      </c>
      <c r="K4" t="s">
        <v>228</v>
      </c>
      <c r="L4" t="s">
        <v>228</v>
      </c>
      <c r="M4" t="s">
        <v>228</v>
      </c>
      <c r="N4" t="s">
        <v>228</v>
      </c>
      <c r="O4" t="s">
        <v>229</v>
      </c>
      <c r="P4">
        <v>2</v>
      </c>
      <c r="Q4" t="s">
        <v>230</v>
      </c>
      <c r="R4" t="s">
        <v>231</v>
      </c>
      <c r="S4" t="s">
        <v>232</v>
      </c>
      <c r="T4">
        <v>0</v>
      </c>
      <c r="U4" t="s">
        <v>230</v>
      </c>
      <c r="V4" t="s">
        <v>233</v>
      </c>
      <c r="W4" t="s">
        <v>223</v>
      </c>
      <c r="X4" t="s">
        <v>234</v>
      </c>
      <c r="Y4" t="s">
        <v>249</v>
      </c>
      <c r="Z4" t="s">
        <v>232</v>
      </c>
      <c r="AA4" t="s">
        <v>236</v>
      </c>
      <c r="AB4" t="s">
        <v>237</v>
      </c>
      <c r="AC4" t="s">
        <v>236</v>
      </c>
      <c r="AD4" t="s">
        <v>238</v>
      </c>
      <c r="AE4" t="s">
        <v>239</v>
      </c>
      <c r="AF4" t="s">
        <v>239</v>
      </c>
      <c r="AG4" t="s">
        <v>239</v>
      </c>
      <c r="AH4" t="s">
        <v>239</v>
      </c>
      <c r="AI4" t="s">
        <v>240</v>
      </c>
      <c r="AJ4" t="s">
        <v>241</v>
      </c>
      <c r="AK4" t="s">
        <v>242</v>
      </c>
      <c r="AL4" t="s">
        <v>234</v>
      </c>
      <c r="AM4" t="s">
        <v>243</v>
      </c>
      <c r="AN4" t="s">
        <v>244</v>
      </c>
      <c r="AO4" t="s">
        <v>245</v>
      </c>
      <c r="CD4">
        <v>6.0797836380000003</v>
      </c>
      <c r="CE4">
        <v>6.1347757490000001</v>
      </c>
      <c r="CF4">
        <v>6.189767861</v>
      </c>
      <c r="CG4">
        <v>6.2447599729999999</v>
      </c>
      <c r="CH4">
        <v>6.284651792</v>
      </c>
      <c r="CI4">
        <v>6.3245436110000002</v>
      </c>
      <c r="CJ4">
        <v>7.0317782290000004</v>
      </c>
      <c r="CK4">
        <v>6.3739012849999996</v>
      </c>
      <c r="CL4">
        <v>6.2576064909999998</v>
      </c>
      <c r="CM4">
        <v>5.7491548339999996</v>
      </c>
      <c r="CN4">
        <v>6.274509804</v>
      </c>
      <c r="CO4">
        <v>7.8133874240000001</v>
      </c>
      <c r="CP4">
        <v>6.6281271129999997</v>
      </c>
      <c r="CQ4">
        <v>6.0649087220000002</v>
      </c>
      <c r="CR4">
        <v>5.9993238680000003</v>
      </c>
      <c r="CS4">
        <v>6.2974983099999999</v>
      </c>
      <c r="CT4">
        <v>6.4976335360000004</v>
      </c>
      <c r="CU4">
        <v>6.382691007</v>
      </c>
      <c r="CV4">
        <v>6.7816091949999997</v>
      </c>
      <c r="CW4">
        <v>6.29479378</v>
      </c>
      <c r="CX4">
        <v>5.5916159570000001</v>
      </c>
    </row>
    <row r="5" spans="1:102" x14ac:dyDescent="0.3">
      <c r="A5" t="s">
        <v>220</v>
      </c>
      <c r="B5" t="s">
        <v>221</v>
      </c>
      <c r="C5" t="s">
        <v>222</v>
      </c>
      <c r="D5" t="s">
        <v>223</v>
      </c>
      <c r="E5" t="s">
        <v>250</v>
      </c>
      <c r="F5" t="s">
        <v>225</v>
      </c>
      <c r="G5" t="s">
        <v>226</v>
      </c>
      <c r="H5" t="s">
        <v>226</v>
      </c>
      <c r="I5" t="s">
        <v>226</v>
      </c>
      <c r="J5" t="s">
        <v>227</v>
      </c>
      <c r="K5" t="s">
        <v>228</v>
      </c>
      <c r="L5" t="s">
        <v>228</v>
      </c>
      <c r="M5" t="s">
        <v>228</v>
      </c>
      <c r="N5" t="s">
        <v>228</v>
      </c>
      <c r="O5" t="s">
        <v>229</v>
      </c>
      <c r="P5">
        <v>2</v>
      </c>
      <c r="Q5" t="s">
        <v>230</v>
      </c>
      <c r="R5" t="s">
        <v>231</v>
      </c>
      <c r="S5" t="s">
        <v>232</v>
      </c>
      <c r="T5">
        <v>0</v>
      </c>
      <c r="U5" t="s">
        <v>230</v>
      </c>
      <c r="V5" t="s">
        <v>233</v>
      </c>
      <c r="W5" t="s">
        <v>223</v>
      </c>
      <c r="X5" t="s">
        <v>234</v>
      </c>
      <c r="Y5" t="s">
        <v>251</v>
      </c>
      <c r="Z5" t="s">
        <v>232</v>
      </c>
      <c r="AA5" t="s">
        <v>236</v>
      </c>
      <c r="AB5" t="s">
        <v>237</v>
      </c>
      <c r="AC5" t="s">
        <v>236</v>
      </c>
      <c r="AD5" t="s">
        <v>238</v>
      </c>
      <c r="AE5" t="s">
        <v>239</v>
      </c>
      <c r="AF5" t="s">
        <v>239</v>
      </c>
      <c r="AG5" t="s">
        <v>239</v>
      </c>
      <c r="AH5" t="s">
        <v>239</v>
      </c>
      <c r="AI5" t="s">
        <v>240</v>
      </c>
      <c r="AJ5" t="s">
        <v>241</v>
      </c>
      <c r="AK5" t="s">
        <v>242</v>
      </c>
      <c r="AL5" t="s">
        <v>234</v>
      </c>
      <c r="AM5" t="s">
        <v>243</v>
      </c>
      <c r="AN5" t="s">
        <v>244</v>
      </c>
      <c r="AO5" t="s">
        <v>245</v>
      </c>
      <c r="BN5">
        <v>4.346035015</v>
      </c>
      <c r="BO5">
        <v>4.4055818740000001</v>
      </c>
      <c r="BP5">
        <v>4.4651287330000002</v>
      </c>
      <c r="BQ5">
        <v>4.5246755920000004</v>
      </c>
      <c r="BR5">
        <v>4.5842224509999996</v>
      </c>
      <c r="BS5">
        <v>4.6437693099999997</v>
      </c>
      <c r="BT5">
        <v>4.5844490220000003</v>
      </c>
      <c r="BU5">
        <v>4.5251287329999998</v>
      </c>
      <c r="BV5">
        <v>4.4658084450000004</v>
      </c>
      <c r="BW5">
        <v>4.4064881570000001</v>
      </c>
      <c r="BX5">
        <v>4.3471678679999997</v>
      </c>
      <c r="BY5">
        <v>4.3388006739999998</v>
      </c>
      <c r="BZ5">
        <v>4.3304334799999999</v>
      </c>
      <c r="CA5">
        <v>4.3220662860000001</v>
      </c>
      <c r="CB5">
        <v>4.3136990920000002</v>
      </c>
      <c r="CC5">
        <v>4.3053318980000004</v>
      </c>
      <c r="CD5">
        <v>4.2969647039999996</v>
      </c>
      <c r="CE5">
        <v>4.2885975099999998</v>
      </c>
      <c r="CF5">
        <v>4.2802303159999999</v>
      </c>
      <c r="CG5">
        <v>4.271863121</v>
      </c>
      <c r="CH5">
        <v>4.2634959270000001</v>
      </c>
      <c r="CI5">
        <v>4.2551287330000003</v>
      </c>
      <c r="CJ5">
        <v>4.1253656029999997</v>
      </c>
      <c r="CK5">
        <v>3.9956024719999998</v>
      </c>
      <c r="CL5">
        <v>3.8309629250000001</v>
      </c>
      <c r="CM5">
        <v>3.666323378</v>
      </c>
      <c r="CN5">
        <v>3.752832132</v>
      </c>
      <c r="CO5">
        <v>3.839340886</v>
      </c>
      <c r="CP5">
        <v>3.7595262620000001</v>
      </c>
      <c r="CQ5">
        <v>3.6797116380000001</v>
      </c>
      <c r="CR5">
        <v>3.7066426369999999</v>
      </c>
      <c r="CS5">
        <v>3.7335736349999999</v>
      </c>
      <c r="CT5">
        <v>3.7335736349999999</v>
      </c>
      <c r="CU5">
        <v>3.7335736349999999</v>
      </c>
      <c r="CV5">
        <v>3.7335736349999999</v>
      </c>
      <c r="CW5">
        <v>3.7207003090000001</v>
      </c>
      <c r="CX5">
        <v>3.7207003090000001</v>
      </c>
    </row>
    <row r="6" spans="1:102" x14ac:dyDescent="0.3">
      <c r="A6" t="s">
        <v>220</v>
      </c>
      <c r="B6" t="s">
        <v>221</v>
      </c>
      <c r="C6" t="s">
        <v>222</v>
      </c>
      <c r="D6" t="s">
        <v>223</v>
      </c>
      <c r="E6" t="s">
        <v>252</v>
      </c>
      <c r="F6" t="s">
        <v>225</v>
      </c>
      <c r="G6" t="s">
        <v>226</v>
      </c>
      <c r="H6" t="s">
        <v>226</v>
      </c>
      <c r="I6" t="s">
        <v>226</v>
      </c>
      <c r="J6" t="s">
        <v>227</v>
      </c>
      <c r="K6" t="s">
        <v>228</v>
      </c>
      <c r="L6" t="s">
        <v>228</v>
      </c>
      <c r="M6" t="s">
        <v>228</v>
      </c>
      <c r="N6" t="s">
        <v>228</v>
      </c>
      <c r="O6" t="s">
        <v>229</v>
      </c>
      <c r="P6">
        <v>2</v>
      </c>
      <c r="Q6" t="s">
        <v>230</v>
      </c>
      <c r="R6" t="s">
        <v>231</v>
      </c>
      <c r="S6" t="s">
        <v>232</v>
      </c>
      <c r="T6">
        <v>0</v>
      </c>
      <c r="U6" t="s">
        <v>230</v>
      </c>
      <c r="V6" t="s">
        <v>233</v>
      </c>
      <c r="W6" t="s">
        <v>223</v>
      </c>
      <c r="X6" t="s">
        <v>234</v>
      </c>
      <c r="Y6" t="s">
        <v>253</v>
      </c>
      <c r="Z6" t="s">
        <v>232</v>
      </c>
      <c r="AA6" t="s">
        <v>236</v>
      </c>
      <c r="AB6" t="s">
        <v>237</v>
      </c>
      <c r="AC6" t="s">
        <v>236</v>
      </c>
      <c r="AD6" t="s">
        <v>238</v>
      </c>
      <c r="AE6" t="s">
        <v>239</v>
      </c>
      <c r="AF6" t="s">
        <v>239</v>
      </c>
      <c r="AG6" t="s">
        <v>239</v>
      </c>
      <c r="AH6" t="s">
        <v>239</v>
      </c>
      <c r="AI6" t="s">
        <v>240</v>
      </c>
      <c r="AJ6" t="s">
        <v>241</v>
      </c>
      <c r="AK6" t="s">
        <v>242</v>
      </c>
      <c r="AL6" t="s">
        <v>234</v>
      </c>
      <c r="AM6" t="s">
        <v>243</v>
      </c>
      <c r="AN6" t="s">
        <v>244</v>
      </c>
      <c r="AO6" t="s">
        <v>245</v>
      </c>
      <c r="BT6">
        <v>28.463203459999999</v>
      </c>
      <c r="BU6">
        <v>23.874458870000002</v>
      </c>
      <c r="BV6">
        <v>19.285714290000001</v>
      </c>
      <c r="BW6">
        <v>14.6969697</v>
      </c>
      <c r="BX6">
        <v>14.782622140000001</v>
      </c>
      <c r="BY6">
        <v>14.86827458</v>
      </c>
      <c r="BZ6">
        <v>14.953927029999999</v>
      </c>
      <c r="CA6">
        <v>15.03957947</v>
      </c>
      <c r="CB6">
        <v>15.12523191</v>
      </c>
      <c r="CC6">
        <v>15.210884350000001</v>
      </c>
      <c r="CD6">
        <v>15.2965368</v>
      </c>
      <c r="CE6">
        <v>16.206709960000001</v>
      </c>
      <c r="CF6">
        <v>17.116883120000001</v>
      </c>
      <c r="CG6">
        <v>18.02705628</v>
      </c>
      <c r="CH6">
        <v>18.937229439999999</v>
      </c>
      <c r="CI6">
        <v>19.847402599999999</v>
      </c>
      <c r="CJ6">
        <v>17.359307359999999</v>
      </c>
      <c r="CK6">
        <v>14.91341991</v>
      </c>
      <c r="CL6">
        <v>19.93506494</v>
      </c>
      <c r="CM6">
        <v>20.281385279999999</v>
      </c>
      <c r="CN6">
        <v>17.651515150000002</v>
      </c>
      <c r="CO6">
        <v>18.917748920000001</v>
      </c>
      <c r="CP6">
        <v>18.614718610000001</v>
      </c>
      <c r="CQ6">
        <v>17.482063199999999</v>
      </c>
      <c r="CR6">
        <v>18.954545450000001</v>
      </c>
      <c r="CS6">
        <v>19.31709957</v>
      </c>
      <c r="CT6">
        <v>17.40844156</v>
      </c>
      <c r="CU6">
        <v>10.892316020000001</v>
      </c>
      <c r="CV6">
        <v>9.2310854980000006</v>
      </c>
      <c r="CW6">
        <v>10.819801330000001</v>
      </c>
      <c r="CX6">
        <v>13.046285190000001</v>
      </c>
    </row>
    <row r="7" spans="1:102" x14ac:dyDescent="0.3">
      <c r="A7" t="s">
        <v>220</v>
      </c>
      <c r="B7" t="s">
        <v>221</v>
      </c>
      <c r="C7" t="s">
        <v>222</v>
      </c>
      <c r="D7" t="s">
        <v>223</v>
      </c>
      <c r="E7" t="s">
        <v>254</v>
      </c>
      <c r="F7" t="s">
        <v>225</v>
      </c>
      <c r="G7" t="s">
        <v>226</v>
      </c>
      <c r="H7" t="s">
        <v>226</v>
      </c>
      <c r="I7" t="s">
        <v>226</v>
      </c>
      <c r="J7" t="s">
        <v>227</v>
      </c>
      <c r="K7" t="s">
        <v>228</v>
      </c>
      <c r="L7" t="s">
        <v>228</v>
      </c>
      <c r="M7" t="s">
        <v>228</v>
      </c>
      <c r="N7" t="s">
        <v>228</v>
      </c>
      <c r="O7" t="s">
        <v>229</v>
      </c>
      <c r="P7">
        <v>2</v>
      </c>
      <c r="Q7" t="s">
        <v>230</v>
      </c>
      <c r="R7" t="s">
        <v>231</v>
      </c>
      <c r="S7" t="s">
        <v>232</v>
      </c>
      <c r="T7">
        <v>0</v>
      </c>
      <c r="U7" t="s">
        <v>230</v>
      </c>
      <c r="V7" t="s">
        <v>233</v>
      </c>
      <c r="W7" t="s">
        <v>223</v>
      </c>
      <c r="X7" t="s">
        <v>234</v>
      </c>
      <c r="Y7" t="s">
        <v>255</v>
      </c>
      <c r="Z7" t="s">
        <v>232</v>
      </c>
      <c r="AA7" t="s">
        <v>236</v>
      </c>
      <c r="AB7" t="s">
        <v>237</v>
      </c>
      <c r="AC7" t="s">
        <v>236</v>
      </c>
      <c r="AD7" t="s">
        <v>238</v>
      </c>
      <c r="AE7" t="s">
        <v>239</v>
      </c>
      <c r="AF7" t="s">
        <v>239</v>
      </c>
      <c r="AG7" t="s">
        <v>239</v>
      </c>
      <c r="AH7" t="s">
        <v>239</v>
      </c>
      <c r="AI7" t="s">
        <v>240</v>
      </c>
      <c r="AJ7" t="s">
        <v>241</v>
      </c>
      <c r="AK7" t="s">
        <v>242</v>
      </c>
      <c r="AL7" t="s">
        <v>234</v>
      </c>
      <c r="AM7" t="s">
        <v>243</v>
      </c>
      <c r="AN7" t="s">
        <v>244</v>
      </c>
      <c r="AO7" t="s">
        <v>245</v>
      </c>
      <c r="BM7">
        <v>2.7724665389999998</v>
      </c>
      <c r="BN7">
        <v>2.8898661570000002</v>
      </c>
      <c r="BO7">
        <v>3.0072657739999999</v>
      </c>
      <c r="BP7">
        <v>3.1246653919999998</v>
      </c>
      <c r="BQ7">
        <v>3.2420650100000001</v>
      </c>
      <c r="BR7">
        <v>3.3594646269999999</v>
      </c>
      <c r="BS7">
        <v>3.4770554489999999</v>
      </c>
      <c r="BT7">
        <v>3.5946462719999999</v>
      </c>
      <c r="BU7">
        <v>3.7786275759999999</v>
      </c>
      <c r="BV7">
        <v>3.9626088799999999</v>
      </c>
      <c r="BW7">
        <v>4.146590185</v>
      </c>
      <c r="BX7">
        <v>4.3305714890000004</v>
      </c>
      <c r="BY7">
        <v>4.5145527940000001</v>
      </c>
      <c r="BZ7">
        <v>5.5449330779999997</v>
      </c>
      <c r="CA7">
        <v>5.86998088</v>
      </c>
      <c r="CB7">
        <v>6.1950286810000001</v>
      </c>
      <c r="CC7">
        <v>6.5200764820000003</v>
      </c>
      <c r="CD7">
        <v>6.8451242829999996</v>
      </c>
      <c r="CE7">
        <v>7.1701720839999998</v>
      </c>
      <c r="CF7">
        <v>7.495219885</v>
      </c>
      <c r="CG7">
        <v>7.8202676860000002</v>
      </c>
      <c r="CH7">
        <v>7.8202676860000002</v>
      </c>
      <c r="CI7">
        <v>7.8202676860000002</v>
      </c>
      <c r="CJ7">
        <v>7.8202676860000002</v>
      </c>
      <c r="CK7">
        <v>7.8202676860000002</v>
      </c>
      <c r="CL7">
        <v>7.8202676860000002</v>
      </c>
      <c r="CM7">
        <v>7.8202676860000002</v>
      </c>
      <c r="CN7">
        <v>7.8202676860000002</v>
      </c>
      <c r="CO7">
        <v>7.8202676860000002</v>
      </c>
      <c r="CP7">
        <v>7.8202676860000002</v>
      </c>
      <c r="CQ7">
        <v>7.8202676860000002</v>
      </c>
      <c r="CR7">
        <v>7.8202676860000002</v>
      </c>
      <c r="CS7">
        <v>7.8202676860000002</v>
      </c>
      <c r="CT7">
        <v>7.8202676860000002</v>
      </c>
      <c r="CU7">
        <v>7.8202676860000002</v>
      </c>
      <c r="CV7">
        <v>7.8202676860000002</v>
      </c>
      <c r="CW7">
        <v>7.8202676860000002</v>
      </c>
      <c r="CX7">
        <v>7.8202676860000002</v>
      </c>
    </row>
    <row r="8" spans="1:102" x14ac:dyDescent="0.3">
      <c r="A8" t="s">
        <v>220</v>
      </c>
      <c r="B8" t="s">
        <v>221</v>
      </c>
      <c r="C8" t="s">
        <v>222</v>
      </c>
      <c r="D8" t="s">
        <v>223</v>
      </c>
      <c r="E8" t="s">
        <v>256</v>
      </c>
      <c r="F8" t="s">
        <v>225</v>
      </c>
      <c r="G8" t="s">
        <v>226</v>
      </c>
      <c r="H8" t="s">
        <v>226</v>
      </c>
      <c r="I8" t="s">
        <v>226</v>
      </c>
      <c r="J8" t="s">
        <v>227</v>
      </c>
      <c r="K8" t="s">
        <v>228</v>
      </c>
      <c r="L8" t="s">
        <v>228</v>
      </c>
      <c r="M8" t="s">
        <v>228</v>
      </c>
      <c r="N8" t="s">
        <v>228</v>
      </c>
      <c r="O8" t="s">
        <v>229</v>
      </c>
      <c r="P8">
        <v>2</v>
      </c>
      <c r="Q8" t="s">
        <v>230</v>
      </c>
      <c r="R8" t="s">
        <v>231</v>
      </c>
      <c r="S8" t="s">
        <v>232</v>
      </c>
      <c r="T8">
        <v>0</v>
      </c>
      <c r="U8" t="s">
        <v>230</v>
      </c>
      <c r="V8" t="s">
        <v>233</v>
      </c>
      <c r="W8" t="s">
        <v>223</v>
      </c>
      <c r="X8" t="s">
        <v>234</v>
      </c>
      <c r="Y8" t="s">
        <v>257</v>
      </c>
      <c r="Z8" t="s">
        <v>232</v>
      </c>
      <c r="AA8" t="s">
        <v>236</v>
      </c>
      <c r="AB8" t="s">
        <v>237</v>
      </c>
      <c r="AC8" t="s">
        <v>236</v>
      </c>
      <c r="AD8" t="s">
        <v>238</v>
      </c>
      <c r="AE8" t="s">
        <v>239</v>
      </c>
      <c r="AF8" t="s">
        <v>239</v>
      </c>
      <c r="AG8" t="s">
        <v>239</v>
      </c>
      <c r="AH8" t="s">
        <v>239</v>
      </c>
      <c r="AI8" t="s">
        <v>240</v>
      </c>
      <c r="AJ8" t="s">
        <v>241</v>
      </c>
      <c r="AK8" t="s">
        <v>242</v>
      </c>
      <c r="AL8" t="s">
        <v>234</v>
      </c>
      <c r="AM8" t="s">
        <v>243</v>
      </c>
      <c r="AN8" t="s">
        <v>244</v>
      </c>
      <c r="AO8" t="s">
        <v>245</v>
      </c>
      <c r="BC8">
        <v>258.62068970000001</v>
      </c>
      <c r="BD8">
        <v>270.86206900000002</v>
      </c>
      <c r="BE8">
        <v>283.10344830000003</v>
      </c>
      <c r="BF8">
        <v>295.34482759999997</v>
      </c>
      <c r="BG8">
        <v>307.58620689999998</v>
      </c>
      <c r="BH8">
        <v>319.82758619999998</v>
      </c>
      <c r="BI8">
        <v>332.06896549999999</v>
      </c>
      <c r="BJ8">
        <v>344.3103448</v>
      </c>
      <c r="BK8">
        <v>356.5517241</v>
      </c>
      <c r="BL8">
        <v>368.79310340000001</v>
      </c>
      <c r="BM8">
        <v>381.03448279999998</v>
      </c>
      <c r="BN8">
        <v>393.27586209999998</v>
      </c>
      <c r="BO8">
        <v>405.51724139999999</v>
      </c>
      <c r="BP8">
        <v>417.75862069999999</v>
      </c>
      <c r="BQ8">
        <v>430</v>
      </c>
      <c r="BR8">
        <v>330.17241380000002</v>
      </c>
      <c r="BS8">
        <v>327.75862069999999</v>
      </c>
      <c r="BT8">
        <v>325.34482759999997</v>
      </c>
      <c r="BU8">
        <v>322.93103450000001</v>
      </c>
      <c r="BV8">
        <v>277.06896549999999</v>
      </c>
      <c r="BW8">
        <v>277.98850570000002</v>
      </c>
      <c r="BX8">
        <v>278.90804600000001</v>
      </c>
      <c r="BY8">
        <v>279.82758619999998</v>
      </c>
      <c r="BZ8">
        <v>280.74712640000001</v>
      </c>
      <c r="CA8">
        <v>281.66666670000001</v>
      </c>
      <c r="CB8">
        <v>282.58620689999998</v>
      </c>
      <c r="CC8">
        <v>300.89655169999997</v>
      </c>
      <c r="CD8">
        <v>321.96551720000002</v>
      </c>
      <c r="CE8">
        <v>341.65517240000003</v>
      </c>
      <c r="CF8">
        <v>361.34482759999997</v>
      </c>
      <c r="CG8">
        <v>374.13793099999998</v>
      </c>
      <c r="CH8">
        <v>381.29310340000001</v>
      </c>
      <c r="CI8">
        <v>388.4482759</v>
      </c>
      <c r="CJ8">
        <v>395.60344830000003</v>
      </c>
      <c r="CK8">
        <v>402.75862069999999</v>
      </c>
      <c r="CL8">
        <v>409.91379310000002</v>
      </c>
      <c r="CM8">
        <v>417.06896549999999</v>
      </c>
      <c r="CN8">
        <v>424.22413790000002</v>
      </c>
      <c r="CO8">
        <v>431.37931029999999</v>
      </c>
      <c r="CP8">
        <v>434.65517240000003</v>
      </c>
      <c r="CQ8">
        <v>431.03448279999998</v>
      </c>
      <c r="CR8">
        <v>432.41379310000002</v>
      </c>
      <c r="CS8">
        <v>431.03448279999998</v>
      </c>
      <c r="CT8">
        <v>431.03448279999998</v>
      </c>
      <c r="CU8">
        <v>431.03448279999998</v>
      </c>
      <c r="CV8">
        <v>431.03448279999998</v>
      </c>
      <c r="CW8">
        <v>431.03448279999998</v>
      </c>
      <c r="CX8">
        <v>431.03448279999998</v>
      </c>
    </row>
    <row r="9" spans="1:102" x14ac:dyDescent="0.3">
      <c r="A9" t="s">
        <v>220</v>
      </c>
      <c r="B9" t="s">
        <v>221</v>
      </c>
      <c r="C9" t="s">
        <v>222</v>
      </c>
      <c r="D9" t="s">
        <v>223</v>
      </c>
      <c r="E9" t="s">
        <v>258</v>
      </c>
      <c r="F9" t="s">
        <v>225</v>
      </c>
      <c r="G9" t="s">
        <v>226</v>
      </c>
      <c r="H9" t="s">
        <v>226</v>
      </c>
      <c r="I9" t="s">
        <v>226</v>
      </c>
      <c r="J9" t="s">
        <v>227</v>
      </c>
      <c r="K9" t="s">
        <v>228</v>
      </c>
      <c r="L9" t="s">
        <v>228</v>
      </c>
      <c r="M9" t="s">
        <v>228</v>
      </c>
      <c r="N9" t="s">
        <v>228</v>
      </c>
      <c r="O9" t="s">
        <v>229</v>
      </c>
      <c r="P9">
        <v>2</v>
      </c>
      <c r="Q9" t="s">
        <v>230</v>
      </c>
      <c r="R9" t="s">
        <v>231</v>
      </c>
      <c r="S9" t="s">
        <v>232</v>
      </c>
      <c r="T9">
        <v>0</v>
      </c>
      <c r="U9" t="s">
        <v>230</v>
      </c>
      <c r="V9" t="s">
        <v>233</v>
      </c>
      <c r="W9" t="s">
        <v>223</v>
      </c>
      <c r="X9" t="s">
        <v>234</v>
      </c>
      <c r="Y9" t="s">
        <v>259</v>
      </c>
      <c r="Z9" t="s">
        <v>232</v>
      </c>
      <c r="AA9" t="s">
        <v>236</v>
      </c>
      <c r="AB9" t="s">
        <v>237</v>
      </c>
      <c r="AC9" t="s">
        <v>236</v>
      </c>
      <c r="AD9" t="s">
        <v>238</v>
      </c>
      <c r="AE9" t="s">
        <v>239</v>
      </c>
      <c r="AF9" t="s">
        <v>239</v>
      </c>
      <c r="AG9" t="s">
        <v>239</v>
      </c>
      <c r="AH9" t="s">
        <v>239</v>
      </c>
      <c r="AI9" t="s">
        <v>240</v>
      </c>
      <c r="AJ9" t="s">
        <v>241</v>
      </c>
      <c r="AK9" t="s">
        <v>242</v>
      </c>
      <c r="AL9" t="s">
        <v>234</v>
      </c>
      <c r="AM9" t="s">
        <v>243</v>
      </c>
      <c r="AN9" t="s">
        <v>244</v>
      </c>
      <c r="AO9" t="s">
        <v>245</v>
      </c>
      <c r="AX9">
        <v>5.1474956819999997</v>
      </c>
      <c r="AY9">
        <v>5.4878756480000002</v>
      </c>
      <c r="AZ9">
        <v>5.8282556129999996</v>
      </c>
      <c r="BA9">
        <v>6.168635579</v>
      </c>
      <c r="BB9">
        <v>6.5090155440000004</v>
      </c>
      <c r="BC9">
        <v>6.8493955099999999</v>
      </c>
      <c r="BD9">
        <v>7.1392746110000003</v>
      </c>
      <c r="BE9">
        <v>7.4291537129999998</v>
      </c>
      <c r="BF9">
        <v>7.7190328150000003</v>
      </c>
      <c r="BG9">
        <v>8.0089119170000007</v>
      </c>
      <c r="BH9">
        <v>8.2987910189999994</v>
      </c>
      <c r="BI9">
        <v>8.8326424869999993</v>
      </c>
      <c r="BJ9">
        <v>9.3664939549999993</v>
      </c>
      <c r="BK9">
        <v>9.9003454229999992</v>
      </c>
      <c r="BL9">
        <v>10.434196890000001</v>
      </c>
      <c r="BM9">
        <v>10.968048359999999</v>
      </c>
      <c r="BN9">
        <v>11.162102150000001</v>
      </c>
      <c r="BO9">
        <v>11.35615593</v>
      </c>
      <c r="BP9">
        <v>11.55020972</v>
      </c>
      <c r="BQ9">
        <v>11.74426351</v>
      </c>
      <c r="BR9">
        <v>11.9383173</v>
      </c>
      <c r="BS9">
        <v>12.13237108</v>
      </c>
      <c r="BT9">
        <v>12.32642487</v>
      </c>
      <c r="BU9">
        <v>11.840069079999999</v>
      </c>
      <c r="BV9">
        <v>11.353713300000001</v>
      </c>
      <c r="BW9">
        <v>10.86735751</v>
      </c>
      <c r="BX9">
        <v>10.381001729999999</v>
      </c>
      <c r="BY9">
        <v>10.308865859999999</v>
      </c>
      <c r="BZ9">
        <v>10.236729990000001</v>
      </c>
      <c r="CA9">
        <v>10.164594129999999</v>
      </c>
      <c r="CB9">
        <v>10.092458260000001</v>
      </c>
      <c r="CC9">
        <v>10.02032239</v>
      </c>
      <c r="CD9">
        <v>9.9481865290000009</v>
      </c>
      <c r="CE9">
        <v>9.8537708689999999</v>
      </c>
      <c r="CF9">
        <v>9.7593552100000007</v>
      </c>
      <c r="CG9">
        <v>9.6649395509999998</v>
      </c>
      <c r="CH9">
        <v>9.5705238920000006</v>
      </c>
      <c r="CI9">
        <v>9.4761082329999997</v>
      </c>
      <c r="CJ9">
        <v>9.3816925730000005</v>
      </c>
      <c r="CK9">
        <v>10.95336788</v>
      </c>
      <c r="CL9">
        <v>9.2746113989999994</v>
      </c>
      <c r="CM9">
        <v>9.02417962</v>
      </c>
      <c r="CN9">
        <v>8.7236614849999992</v>
      </c>
      <c r="CO9">
        <v>9.0673575129999993</v>
      </c>
      <c r="CP9">
        <v>6.7754749570000001</v>
      </c>
      <c r="CQ9">
        <v>6.960276339</v>
      </c>
      <c r="CR9">
        <v>6.8376511229999997</v>
      </c>
      <c r="CS9">
        <v>8.1805181349999998</v>
      </c>
      <c r="CT9">
        <v>8.4947521550000005</v>
      </c>
      <c r="CU9">
        <v>7.708246978</v>
      </c>
      <c r="CV9">
        <v>7.7398963729999997</v>
      </c>
      <c r="CW9">
        <v>7.7183074270000001</v>
      </c>
      <c r="CX9">
        <v>8.1084974089999999</v>
      </c>
    </row>
    <row r="10" spans="1:102" x14ac:dyDescent="0.3">
      <c r="A10" t="s">
        <v>220</v>
      </c>
      <c r="B10" t="s">
        <v>221</v>
      </c>
      <c r="C10" t="s">
        <v>222</v>
      </c>
      <c r="D10" t="s">
        <v>223</v>
      </c>
      <c r="E10" t="s">
        <v>260</v>
      </c>
      <c r="F10" t="s">
        <v>225</v>
      </c>
      <c r="G10" t="s">
        <v>226</v>
      </c>
      <c r="H10" t="s">
        <v>226</v>
      </c>
      <c r="I10" t="s">
        <v>226</v>
      </c>
      <c r="J10" t="s">
        <v>227</v>
      </c>
      <c r="K10" t="s">
        <v>228</v>
      </c>
      <c r="L10" t="s">
        <v>228</v>
      </c>
      <c r="M10" t="s">
        <v>228</v>
      </c>
      <c r="N10" t="s">
        <v>228</v>
      </c>
      <c r="O10" t="s">
        <v>229</v>
      </c>
      <c r="P10">
        <v>2</v>
      </c>
      <c r="Q10" t="s">
        <v>230</v>
      </c>
      <c r="R10" t="s">
        <v>231</v>
      </c>
      <c r="S10" t="s">
        <v>232</v>
      </c>
      <c r="T10">
        <v>0</v>
      </c>
      <c r="U10" t="s">
        <v>230</v>
      </c>
      <c r="V10" t="s">
        <v>233</v>
      </c>
      <c r="W10" t="s">
        <v>223</v>
      </c>
      <c r="X10" t="s">
        <v>234</v>
      </c>
      <c r="Y10" t="s">
        <v>261</v>
      </c>
      <c r="Z10" t="s">
        <v>232</v>
      </c>
      <c r="AA10" t="s">
        <v>236</v>
      </c>
      <c r="AB10" t="s">
        <v>237</v>
      </c>
      <c r="AC10" t="s">
        <v>236</v>
      </c>
      <c r="AD10" t="s">
        <v>238</v>
      </c>
      <c r="AE10" t="s">
        <v>239</v>
      </c>
      <c r="AF10" t="s">
        <v>239</v>
      </c>
      <c r="AG10" t="s">
        <v>239</v>
      </c>
      <c r="AH10" t="s">
        <v>239</v>
      </c>
      <c r="AI10" t="s">
        <v>240</v>
      </c>
      <c r="AJ10" t="s">
        <v>241</v>
      </c>
      <c r="AK10" t="s">
        <v>242</v>
      </c>
      <c r="AL10" t="s">
        <v>234</v>
      </c>
      <c r="AM10" t="s">
        <v>243</v>
      </c>
      <c r="AN10" t="s">
        <v>244</v>
      </c>
      <c r="AO10" t="s">
        <v>245</v>
      </c>
      <c r="BV10">
        <v>122.0917053</v>
      </c>
      <c r="BW10">
        <v>123.0612227</v>
      </c>
      <c r="BX10">
        <v>124.0307402</v>
      </c>
      <c r="BY10">
        <v>125.0002576</v>
      </c>
      <c r="BZ10">
        <v>125.969775</v>
      </c>
      <c r="CA10">
        <v>126.93929249999999</v>
      </c>
      <c r="CB10">
        <v>127.90880989999999</v>
      </c>
      <c r="CC10">
        <v>130.93628709999999</v>
      </c>
      <c r="CD10">
        <v>133.9637644</v>
      </c>
      <c r="CE10">
        <v>136.9912416</v>
      </c>
      <c r="CF10">
        <v>143.5600206</v>
      </c>
      <c r="CG10">
        <v>143.5600206</v>
      </c>
      <c r="CH10">
        <v>143.5600206</v>
      </c>
      <c r="CI10">
        <v>143.69021119999999</v>
      </c>
      <c r="CJ10">
        <v>143.82040190000001</v>
      </c>
      <c r="CK10">
        <v>143.9505925</v>
      </c>
      <c r="CL10">
        <v>144.08078309999999</v>
      </c>
      <c r="CM10">
        <v>144.21097370000001</v>
      </c>
      <c r="CN10">
        <v>144.3411643</v>
      </c>
      <c r="CO10">
        <v>144.47135499999999</v>
      </c>
      <c r="CP10">
        <v>144.60154560000001</v>
      </c>
      <c r="CQ10">
        <v>144.7317362</v>
      </c>
      <c r="CR10">
        <v>144.86192679999999</v>
      </c>
      <c r="CS10">
        <v>148.66666670000001</v>
      </c>
      <c r="CT10">
        <v>138.48531679999999</v>
      </c>
      <c r="CU10">
        <v>142.75167440000001</v>
      </c>
      <c r="CV10">
        <v>135.21380730000001</v>
      </c>
      <c r="CW10">
        <v>135.21380730000001</v>
      </c>
      <c r="CX10">
        <v>135.21380730000001</v>
      </c>
    </row>
    <row r="11" spans="1:102" x14ac:dyDescent="0.3">
      <c r="A11" t="s">
        <v>220</v>
      </c>
      <c r="B11" t="s">
        <v>221</v>
      </c>
      <c r="C11" t="s">
        <v>222</v>
      </c>
      <c r="D11" t="s">
        <v>223</v>
      </c>
      <c r="E11" t="s">
        <v>262</v>
      </c>
      <c r="F11" t="s">
        <v>225</v>
      </c>
      <c r="G11" t="s">
        <v>226</v>
      </c>
      <c r="H11" t="s">
        <v>226</v>
      </c>
      <c r="I11" t="s">
        <v>226</v>
      </c>
      <c r="J11" t="s">
        <v>227</v>
      </c>
      <c r="K11" t="s">
        <v>228</v>
      </c>
      <c r="L11" t="s">
        <v>228</v>
      </c>
      <c r="M11" t="s">
        <v>228</v>
      </c>
      <c r="N11" t="s">
        <v>228</v>
      </c>
      <c r="O11" t="s">
        <v>229</v>
      </c>
      <c r="P11">
        <v>2</v>
      </c>
      <c r="Q11" t="s">
        <v>230</v>
      </c>
      <c r="R11" t="s">
        <v>231</v>
      </c>
      <c r="S11" t="s">
        <v>232</v>
      </c>
      <c r="T11">
        <v>0</v>
      </c>
      <c r="U11" t="s">
        <v>230</v>
      </c>
      <c r="V11" t="s">
        <v>233</v>
      </c>
      <c r="W11" t="s">
        <v>223</v>
      </c>
      <c r="X11" t="s">
        <v>234</v>
      </c>
      <c r="Y11" t="s">
        <v>263</v>
      </c>
      <c r="Z11" t="s">
        <v>232</v>
      </c>
      <c r="AA11" t="s">
        <v>236</v>
      </c>
      <c r="AB11" t="s">
        <v>237</v>
      </c>
      <c r="AC11" t="s">
        <v>236</v>
      </c>
      <c r="AD11" t="s">
        <v>238</v>
      </c>
      <c r="AE11" t="s">
        <v>239</v>
      </c>
      <c r="AF11" t="s">
        <v>239</v>
      </c>
      <c r="AG11" t="s">
        <v>239</v>
      </c>
      <c r="AH11" t="s">
        <v>239</v>
      </c>
      <c r="AI11" t="s">
        <v>240</v>
      </c>
      <c r="AJ11" t="s">
        <v>241</v>
      </c>
      <c r="AK11" t="s">
        <v>242</v>
      </c>
      <c r="AL11" t="s">
        <v>234</v>
      </c>
      <c r="AM11" t="s">
        <v>243</v>
      </c>
      <c r="AN11" t="s">
        <v>244</v>
      </c>
      <c r="AO11" t="s">
        <v>245</v>
      </c>
      <c r="BO11">
        <v>0.235507246</v>
      </c>
      <c r="BP11">
        <v>0.235618729</v>
      </c>
      <c r="BQ11">
        <v>0.23573021199999999</v>
      </c>
      <c r="BR11">
        <v>0.23584169499999999</v>
      </c>
      <c r="BS11">
        <v>0.23595317699999999</v>
      </c>
      <c r="BT11">
        <v>0.23606466000000001</v>
      </c>
      <c r="BU11">
        <v>0.23617614300000001</v>
      </c>
      <c r="BV11">
        <v>0.236287625</v>
      </c>
      <c r="BW11">
        <v>0.236399108</v>
      </c>
      <c r="BX11">
        <v>0.23651059099999999</v>
      </c>
      <c r="BY11">
        <v>0.23662207399999999</v>
      </c>
      <c r="BZ11">
        <v>0.23673355600000001</v>
      </c>
      <c r="CA11">
        <v>0.23684503900000001</v>
      </c>
      <c r="CB11">
        <v>0.236956522</v>
      </c>
      <c r="CC11">
        <v>0.242427536</v>
      </c>
      <c r="CD11">
        <v>0.24789855099999999</v>
      </c>
      <c r="CE11">
        <v>0.25336956500000002</v>
      </c>
      <c r="CF11">
        <v>0.25884057999999999</v>
      </c>
      <c r="CG11">
        <v>0.26431159399999998</v>
      </c>
      <c r="CH11">
        <v>0.26431159399999998</v>
      </c>
      <c r="CI11">
        <v>0.26431159399999998</v>
      </c>
      <c r="CJ11">
        <v>0.26431159399999998</v>
      </c>
      <c r="CK11">
        <v>0.26431159399999998</v>
      </c>
      <c r="CL11">
        <v>0.26431159399999998</v>
      </c>
      <c r="CM11">
        <v>0.26431159399999998</v>
      </c>
      <c r="CN11">
        <v>0.26431159399999998</v>
      </c>
      <c r="CO11">
        <v>0.26431159399999998</v>
      </c>
      <c r="CP11">
        <v>0.26431159399999998</v>
      </c>
      <c r="CQ11">
        <v>0.26431159399999998</v>
      </c>
      <c r="CR11">
        <v>0.26431159399999998</v>
      </c>
      <c r="CS11">
        <v>0.26431159399999998</v>
      </c>
      <c r="CT11">
        <v>0.26431159399999998</v>
      </c>
      <c r="CU11">
        <v>0.26431159399999998</v>
      </c>
      <c r="CV11">
        <v>0.26431159399999998</v>
      </c>
      <c r="CW11">
        <v>0.26431159399999998</v>
      </c>
      <c r="CX11">
        <v>0.26431159399999998</v>
      </c>
    </row>
    <row r="12" spans="1:102" x14ac:dyDescent="0.3">
      <c r="A12" t="s">
        <v>220</v>
      </c>
      <c r="B12" t="s">
        <v>221</v>
      </c>
      <c r="C12" t="s">
        <v>222</v>
      </c>
      <c r="D12" t="s">
        <v>223</v>
      </c>
      <c r="E12" t="s">
        <v>264</v>
      </c>
      <c r="F12" t="s">
        <v>225</v>
      </c>
      <c r="G12" t="s">
        <v>226</v>
      </c>
      <c r="H12" t="s">
        <v>226</v>
      </c>
      <c r="I12" t="s">
        <v>226</v>
      </c>
      <c r="J12" t="s">
        <v>227</v>
      </c>
      <c r="K12" t="s">
        <v>228</v>
      </c>
      <c r="L12" t="s">
        <v>228</v>
      </c>
      <c r="M12" t="s">
        <v>228</v>
      </c>
      <c r="N12" t="s">
        <v>228</v>
      </c>
      <c r="O12" t="s">
        <v>229</v>
      </c>
      <c r="P12">
        <v>2</v>
      </c>
      <c r="Q12" t="s">
        <v>230</v>
      </c>
      <c r="R12" t="s">
        <v>231</v>
      </c>
      <c r="S12" t="s">
        <v>232</v>
      </c>
      <c r="T12">
        <v>0</v>
      </c>
      <c r="U12" t="s">
        <v>230</v>
      </c>
      <c r="V12" t="s">
        <v>233</v>
      </c>
      <c r="W12" t="s">
        <v>223</v>
      </c>
      <c r="X12" t="s">
        <v>234</v>
      </c>
      <c r="Y12" t="s">
        <v>265</v>
      </c>
      <c r="Z12" t="s">
        <v>232</v>
      </c>
      <c r="AA12" t="s">
        <v>236</v>
      </c>
      <c r="AB12" t="s">
        <v>237</v>
      </c>
      <c r="AC12" t="s">
        <v>236</v>
      </c>
      <c r="AD12" t="s">
        <v>238</v>
      </c>
      <c r="AE12" t="s">
        <v>239</v>
      </c>
      <c r="AF12" t="s">
        <v>239</v>
      </c>
      <c r="AG12" t="s">
        <v>239</v>
      </c>
      <c r="AH12" t="s">
        <v>239</v>
      </c>
      <c r="AI12" t="s">
        <v>240</v>
      </c>
      <c r="AJ12" t="s">
        <v>241</v>
      </c>
      <c r="AK12" t="s">
        <v>242</v>
      </c>
      <c r="AL12" t="s">
        <v>234</v>
      </c>
      <c r="AM12" t="s">
        <v>243</v>
      </c>
      <c r="AN12" t="s">
        <v>244</v>
      </c>
      <c r="AO12" t="s">
        <v>245</v>
      </c>
      <c r="BV12">
        <v>75.999472229999995</v>
      </c>
      <c r="BW12">
        <v>76.867000919999995</v>
      </c>
      <c r="BX12">
        <v>77.734529620000004</v>
      </c>
      <c r="BY12">
        <v>78.602058319999998</v>
      </c>
      <c r="BZ12">
        <v>79.469587020000006</v>
      </c>
      <c r="CA12">
        <v>80.337115710000006</v>
      </c>
      <c r="CB12">
        <v>81.20464441</v>
      </c>
      <c r="CC12">
        <v>79.979548750000006</v>
      </c>
      <c r="CD12">
        <v>78.754453089999998</v>
      </c>
      <c r="CE12">
        <v>77.529357439999998</v>
      </c>
      <c r="CF12">
        <v>76.304261780000004</v>
      </c>
      <c r="CG12">
        <v>75.079166119999996</v>
      </c>
      <c r="CH12">
        <v>73.854070460000003</v>
      </c>
      <c r="CI12">
        <v>73.285980269999996</v>
      </c>
      <c r="CJ12">
        <v>72.717890080000004</v>
      </c>
      <c r="CK12">
        <v>72.149799889999997</v>
      </c>
      <c r="CL12">
        <v>71.581709689999997</v>
      </c>
      <c r="CM12">
        <v>71.013619500000004</v>
      </c>
      <c r="CN12">
        <v>70.445529309999998</v>
      </c>
      <c r="CO12">
        <v>69.877439120000005</v>
      </c>
      <c r="CP12">
        <v>69.309348929999999</v>
      </c>
      <c r="CQ12">
        <v>68.741258740000006</v>
      </c>
      <c r="CR12">
        <v>57.718696399999999</v>
      </c>
      <c r="CS12">
        <v>52.698245149999998</v>
      </c>
      <c r="CT12">
        <v>64.480802220000001</v>
      </c>
      <c r="CU12">
        <v>69.943264279999994</v>
      </c>
      <c r="CV12">
        <v>69.943264279999994</v>
      </c>
      <c r="CW12">
        <v>69.943264279999994</v>
      </c>
      <c r="CX12">
        <v>69.943264279999994</v>
      </c>
    </row>
    <row r="13" spans="1:102" x14ac:dyDescent="0.3">
      <c r="A13" t="s">
        <v>220</v>
      </c>
      <c r="B13" t="s">
        <v>221</v>
      </c>
      <c r="C13" t="s">
        <v>222</v>
      </c>
      <c r="D13" t="s">
        <v>223</v>
      </c>
      <c r="E13" t="s">
        <v>266</v>
      </c>
      <c r="F13" t="s">
        <v>225</v>
      </c>
      <c r="G13" t="s">
        <v>226</v>
      </c>
      <c r="H13" t="s">
        <v>226</v>
      </c>
      <c r="I13" t="s">
        <v>226</v>
      </c>
      <c r="J13" t="s">
        <v>227</v>
      </c>
      <c r="K13" t="s">
        <v>228</v>
      </c>
      <c r="L13" t="s">
        <v>228</v>
      </c>
      <c r="M13" t="s">
        <v>228</v>
      </c>
      <c r="N13" t="s">
        <v>228</v>
      </c>
      <c r="O13" t="s">
        <v>229</v>
      </c>
      <c r="P13">
        <v>2</v>
      </c>
      <c r="Q13" t="s">
        <v>230</v>
      </c>
      <c r="R13" t="s">
        <v>231</v>
      </c>
      <c r="S13" t="s">
        <v>232</v>
      </c>
      <c r="T13">
        <v>0</v>
      </c>
      <c r="U13" t="s">
        <v>230</v>
      </c>
      <c r="V13" t="s">
        <v>233</v>
      </c>
      <c r="W13" t="s">
        <v>223</v>
      </c>
      <c r="X13" t="s">
        <v>234</v>
      </c>
      <c r="Y13" t="s">
        <v>267</v>
      </c>
      <c r="Z13" t="s">
        <v>232</v>
      </c>
      <c r="AA13" t="s">
        <v>236</v>
      </c>
      <c r="AB13" t="s">
        <v>237</v>
      </c>
      <c r="AC13" t="s">
        <v>236</v>
      </c>
      <c r="AD13" t="s">
        <v>238</v>
      </c>
      <c r="AE13" t="s">
        <v>239</v>
      </c>
      <c r="AF13" t="s">
        <v>239</v>
      </c>
      <c r="AG13" t="s">
        <v>239</v>
      </c>
      <c r="AH13" t="s">
        <v>239</v>
      </c>
      <c r="AI13" t="s">
        <v>240</v>
      </c>
      <c r="AJ13" t="s">
        <v>241</v>
      </c>
      <c r="AK13" t="s">
        <v>242</v>
      </c>
      <c r="AL13" t="s">
        <v>234</v>
      </c>
      <c r="AM13" t="s">
        <v>243</v>
      </c>
      <c r="AN13" t="s">
        <v>244</v>
      </c>
      <c r="AO13" t="s">
        <v>245</v>
      </c>
      <c r="CC13">
        <v>7.1833333330000002</v>
      </c>
      <c r="CD13">
        <v>8.5342087039999992</v>
      </c>
      <c r="CE13">
        <v>9.8850840739999999</v>
      </c>
      <c r="CF13">
        <v>11.23595944</v>
      </c>
      <c r="CG13">
        <v>13.604034370000001</v>
      </c>
      <c r="CH13">
        <v>15.9721093</v>
      </c>
      <c r="CI13">
        <v>18.340184220000001</v>
      </c>
      <c r="CJ13">
        <v>20.70825915</v>
      </c>
      <c r="CK13">
        <v>23.076334070000001</v>
      </c>
      <c r="CL13">
        <v>25.444409</v>
      </c>
      <c r="CM13">
        <v>27.812483929999999</v>
      </c>
      <c r="CN13">
        <v>30.180558850000001</v>
      </c>
      <c r="CO13">
        <v>32.548633780000003</v>
      </c>
      <c r="CP13">
        <v>34.916708700000001</v>
      </c>
      <c r="CQ13">
        <v>37.28478363</v>
      </c>
      <c r="CR13">
        <v>39.652858559999999</v>
      </c>
      <c r="CS13">
        <v>42.020933479999997</v>
      </c>
      <c r="CT13">
        <v>44.389008410000002</v>
      </c>
      <c r="CU13">
        <v>48.957509999999999</v>
      </c>
      <c r="CV13">
        <v>68.943736670000007</v>
      </c>
      <c r="CW13">
        <v>57.17750667</v>
      </c>
      <c r="CX13">
        <v>59.683709999999998</v>
      </c>
    </row>
    <row r="14" spans="1:102" x14ac:dyDescent="0.3">
      <c r="A14" t="s">
        <v>220</v>
      </c>
      <c r="B14" t="s">
        <v>221</v>
      </c>
      <c r="C14" t="s">
        <v>222</v>
      </c>
      <c r="D14" t="s">
        <v>223</v>
      </c>
      <c r="E14" t="s">
        <v>268</v>
      </c>
      <c r="F14" t="s">
        <v>225</v>
      </c>
      <c r="G14" t="s">
        <v>226</v>
      </c>
      <c r="H14" t="s">
        <v>226</v>
      </c>
      <c r="I14" t="s">
        <v>226</v>
      </c>
      <c r="J14" t="s">
        <v>227</v>
      </c>
      <c r="K14" t="s">
        <v>228</v>
      </c>
      <c r="L14" t="s">
        <v>228</v>
      </c>
      <c r="M14" t="s">
        <v>228</v>
      </c>
      <c r="N14" t="s">
        <v>228</v>
      </c>
      <c r="O14" t="s">
        <v>229</v>
      </c>
      <c r="P14">
        <v>2</v>
      </c>
      <c r="Q14" t="s">
        <v>230</v>
      </c>
      <c r="R14" t="s">
        <v>231</v>
      </c>
      <c r="S14" t="s">
        <v>232</v>
      </c>
      <c r="T14">
        <v>0</v>
      </c>
      <c r="U14" t="s">
        <v>230</v>
      </c>
      <c r="V14" t="s">
        <v>233</v>
      </c>
      <c r="W14" t="s">
        <v>223</v>
      </c>
      <c r="X14" t="s">
        <v>234</v>
      </c>
      <c r="Y14" t="s">
        <v>269</v>
      </c>
      <c r="Z14" t="s">
        <v>232</v>
      </c>
      <c r="AA14" t="s">
        <v>236</v>
      </c>
      <c r="AB14" t="s">
        <v>237</v>
      </c>
      <c r="AC14" t="s">
        <v>236</v>
      </c>
      <c r="AD14" t="s">
        <v>238</v>
      </c>
      <c r="AE14" t="s">
        <v>239</v>
      </c>
      <c r="AF14" t="s">
        <v>239</v>
      </c>
      <c r="AG14" t="s">
        <v>239</v>
      </c>
      <c r="AH14" t="s">
        <v>239</v>
      </c>
      <c r="AI14" t="s">
        <v>240</v>
      </c>
      <c r="AJ14" t="s">
        <v>241</v>
      </c>
      <c r="AK14" t="s">
        <v>242</v>
      </c>
      <c r="AL14" t="s">
        <v>234</v>
      </c>
      <c r="AM14" t="s">
        <v>243</v>
      </c>
      <c r="AN14" t="s">
        <v>244</v>
      </c>
      <c r="AO14" t="s">
        <v>245</v>
      </c>
      <c r="AX14">
        <v>28.141269170000001</v>
      </c>
      <c r="AY14">
        <v>29.548332630000001</v>
      </c>
      <c r="AZ14">
        <v>30.955396090000001</v>
      </c>
      <c r="BA14">
        <v>32.362459549999997</v>
      </c>
      <c r="BB14">
        <v>33.76952301</v>
      </c>
      <c r="BC14">
        <v>35.176586460000003</v>
      </c>
      <c r="BD14">
        <v>36.583649919999999</v>
      </c>
      <c r="BE14">
        <v>37.990713380000003</v>
      </c>
      <c r="BF14">
        <v>39.397776839999999</v>
      </c>
      <c r="BG14">
        <v>40.804840300000002</v>
      </c>
      <c r="BH14">
        <v>42.211903759999998</v>
      </c>
      <c r="BI14">
        <v>43.618967220000002</v>
      </c>
      <c r="BJ14">
        <v>45.026030669999997</v>
      </c>
      <c r="BK14">
        <v>46.433094130000001</v>
      </c>
      <c r="BL14">
        <v>47.840157589999997</v>
      </c>
      <c r="BM14">
        <v>49.24722105</v>
      </c>
      <c r="BN14">
        <v>52.06134797</v>
      </c>
      <c r="BO14">
        <v>54.875474879999999</v>
      </c>
      <c r="BP14">
        <v>57.689601799999998</v>
      </c>
      <c r="BQ14">
        <v>60.503728719999998</v>
      </c>
      <c r="BR14">
        <v>62.417335020000003</v>
      </c>
      <c r="BS14">
        <v>64.101717899999997</v>
      </c>
      <c r="BT14">
        <v>65.786100770000004</v>
      </c>
      <c r="BU14">
        <v>67.470483650000006</v>
      </c>
      <c r="BV14">
        <v>69.154866519999999</v>
      </c>
      <c r="BW14">
        <v>70.8392494</v>
      </c>
      <c r="BX14">
        <v>72.523632269999993</v>
      </c>
      <c r="BY14">
        <v>74.208015149999994</v>
      </c>
      <c r="BZ14">
        <v>75.892398020000002</v>
      </c>
      <c r="CA14">
        <v>77.576780889999995</v>
      </c>
      <c r="CB14">
        <v>79.261163769999996</v>
      </c>
      <c r="CC14">
        <v>81.71052014</v>
      </c>
      <c r="CD14">
        <v>85.03737246</v>
      </c>
      <c r="CE14">
        <v>87.52280082</v>
      </c>
      <c r="CF14">
        <v>90.008229189999994</v>
      </c>
      <c r="CG14">
        <v>92.493657549999995</v>
      </c>
      <c r="CH14">
        <v>94.979085920000003</v>
      </c>
      <c r="CI14">
        <v>97.464514289999997</v>
      </c>
      <c r="CJ14">
        <v>99.949942649999997</v>
      </c>
      <c r="CK14">
        <v>102.435371</v>
      </c>
      <c r="CL14">
        <v>104.92079940000001</v>
      </c>
      <c r="CM14">
        <v>107.4062277</v>
      </c>
      <c r="CN14">
        <v>109.7509498</v>
      </c>
      <c r="CO14">
        <v>115.16345389999999</v>
      </c>
      <c r="CP14">
        <v>120.575958</v>
      </c>
      <c r="CQ14">
        <v>125.98846210000001</v>
      </c>
      <c r="CR14">
        <v>129.8719572</v>
      </c>
      <c r="CS14">
        <v>137.9203602</v>
      </c>
      <c r="CT14">
        <v>141.79916510000001</v>
      </c>
      <c r="CU14">
        <v>145.67797010000001</v>
      </c>
      <c r="CV14">
        <v>149.55677499999999</v>
      </c>
      <c r="CW14">
        <v>140.59378079999999</v>
      </c>
      <c r="CX14">
        <v>144.8149712</v>
      </c>
    </row>
    <row r="15" spans="1:102" x14ac:dyDescent="0.3">
      <c r="A15" t="s">
        <v>220</v>
      </c>
      <c r="B15" t="s">
        <v>221</v>
      </c>
      <c r="C15" t="s">
        <v>222</v>
      </c>
      <c r="D15" t="s">
        <v>223</v>
      </c>
      <c r="E15" t="s">
        <v>270</v>
      </c>
      <c r="F15" t="s">
        <v>225</v>
      </c>
      <c r="G15" t="s">
        <v>226</v>
      </c>
      <c r="H15" t="s">
        <v>226</v>
      </c>
      <c r="I15" t="s">
        <v>226</v>
      </c>
      <c r="J15" t="s">
        <v>227</v>
      </c>
      <c r="K15" t="s">
        <v>228</v>
      </c>
      <c r="L15" t="s">
        <v>228</v>
      </c>
      <c r="M15" t="s">
        <v>228</v>
      </c>
      <c r="N15" t="s">
        <v>228</v>
      </c>
      <c r="O15" t="s">
        <v>229</v>
      </c>
      <c r="P15">
        <v>2</v>
      </c>
      <c r="Q15" t="s">
        <v>230</v>
      </c>
      <c r="R15" t="s">
        <v>231</v>
      </c>
      <c r="S15" t="s">
        <v>232</v>
      </c>
      <c r="T15">
        <v>0</v>
      </c>
      <c r="U15" t="s">
        <v>230</v>
      </c>
      <c r="V15" t="s">
        <v>233</v>
      </c>
      <c r="W15" t="s">
        <v>223</v>
      </c>
      <c r="X15" t="s">
        <v>234</v>
      </c>
      <c r="Y15" t="s">
        <v>271</v>
      </c>
      <c r="Z15" t="s">
        <v>232</v>
      </c>
      <c r="AA15" t="s">
        <v>236</v>
      </c>
      <c r="AB15" t="s">
        <v>237</v>
      </c>
      <c r="AC15" t="s">
        <v>236</v>
      </c>
      <c r="AD15" t="s">
        <v>238</v>
      </c>
      <c r="AE15" t="s">
        <v>239</v>
      </c>
      <c r="AF15" t="s">
        <v>239</v>
      </c>
      <c r="AG15" t="s">
        <v>239</v>
      </c>
      <c r="AH15" t="s">
        <v>239</v>
      </c>
      <c r="AI15" t="s">
        <v>240</v>
      </c>
      <c r="AJ15" t="s">
        <v>241</v>
      </c>
      <c r="AK15" t="s">
        <v>242</v>
      </c>
      <c r="AL15" t="s">
        <v>234</v>
      </c>
      <c r="AM15" t="s">
        <v>243</v>
      </c>
      <c r="AN15" t="s">
        <v>244</v>
      </c>
      <c r="AO15" t="s">
        <v>245</v>
      </c>
      <c r="BH15">
        <v>600</v>
      </c>
      <c r="BI15">
        <v>653.68888890000005</v>
      </c>
      <c r="BJ15">
        <v>707.37777779999999</v>
      </c>
      <c r="BK15">
        <v>761.06666670000004</v>
      </c>
      <c r="BL15">
        <v>814.75555559999998</v>
      </c>
      <c r="BM15">
        <v>868.44444439999995</v>
      </c>
      <c r="BN15">
        <v>922.1333333</v>
      </c>
      <c r="BO15">
        <v>975.82222220000006</v>
      </c>
      <c r="BP15">
        <v>1029.511111</v>
      </c>
      <c r="BQ15">
        <v>1083.2</v>
      </c>
      <c r="BR15">
        <v>1028.2222220000001</v>
      </c>
      <c r="BS15">
        <v>1052.311111</v>
      </c>
      <c r="BT15">
        <v>1076.4000000000001</v>
      </c>
      <c r="BU15">
        <v>1100.488889</v>
      </c>
      <c r="BV15">
        <v>1124.5777780000001</v>
      </c>
      <c r="BW15">
        <v>1148.666667</v>
      </c>
      <c r="BX15">
        <v>1254.8133330000001</v>
      </c>
      <c r="BY15">
        <v>1360.96</v>
      </c>
      <c r="BZ15">
        <v>1467.106667</v>
      </c>
      <c r="CA15">
        <v>1573.2533330000001</v>
      </c>
      <c r="CB15">
        <v>1555.866667</v>
      </c>
      <c r="CC15">
        <v>1527.928889</v>
      </c>
      <c r="CD15">
        <v>1499.991111</v>
      </c>
      <c r="CE15">
        <v>1472.0533330000001</v>
      </c>
      <c r="CF15">
        <v>1669.36</v>
      </c>
      <c r="CG15">
        <v>1866.666667</v>
      </c>
      <c r="CH15">
        <v>1849.636364</v>
      </c>
      <c r="CI15">
        <v>1832.606061</v>
      </c>
      <c r="CJ15">
        <v>1815.575758</v>
      </c>
      <c r="CK15">
        <v>1798.5454549999999</v>
      </c>
      <c r="CL15">
        <v>1781.5151519999999</v>
      </c>
      <c r="CM15">
        <v>1764.4848480000001</v>
      </c>
      <c r="CN15">
        <v>1747.4545450000001</v>
      </c>
      <c r="CO15">
        <v>1730.424242</v>
      </c>
      <c r="CP15">
        <v>1713.393939</v>
      </c>
      <c r="CQ15">
        <v>1696.363636</v>
      </c>
      <c r="CR15">
        <v>1679.333333</v>
      </c>
      <c r="CS15">
        <v>1630</v>
      </c>
      <c r="CT15">
        <v>1667.333333</v>
      </c>
      <c r="CU15">
        <v>1628.666667</v>
      </c>
      <c r="CV15">
        <v>1587.333333</v>
      </c>
      <c r="CW15">
        <v>1533.333333</v>
      </c>
      <c r="CX15">
        <v>1509.9333329999999</v>
      </c>
    </row>
    <row r="16" spans="1:102" x14ac:dyDescent="0.3">
      <c r="A16" t="s">
        <v>220</v>
      </c>
      <c r="B16" t="s">
        <v>221</v>
      </c>
      <c r="C16" t="s">
        <v>222</v>
      </c>
      <c r="D16" t="s">
        <v>223</v>
      </c>
      <c r="E16" t="s">
        <v>272</v>
      </c>
      <c r="F16" t="s">
        <v>225</v>
      </c>
      <c r="G16" t="s">
        <v>226</v>
      </c>
      <c r="H16" t="s">
        <v>226</v>
      </c>
      <c r="I16" t="s">
        <v>226</v>
      </c>
      <c r="J16" t="s">
        <v>227</v>
      </c>
      <c r="K16" t="s">
        <v>228</v>
      </c>
      <c r="L16" t="s">
        <v>228</v>
      </c>
      <c r="M16" t="s">
        <v>228</v>
      </c>
      <c r="N16" t="s">
        <v>228</v>
      </c>
      <c r="O16" t="s">
        <v>229</v>
      </c>
      <c r="P16">
        <v>2</v>
      </c>
      <c r="Q16" t="s">
        <v>230</v>
      </c>
      <c r="R16" t="s">
        <v>231</v>
      </c>
      <c r="S16" t="s">
        <v>232</v>
      </c>
      <c r="T16">
        <v>0</v>
      </c>
      <c r="U16" t="s">
        <v>230</v>
      </c>
      <c r="V16" t="s">
        <v>233</v>
      </c>
      <c r="W16" t="s">
        <v>223</v>
      </c>
      <c r="X16" t="s">
        <v>234</v>
      </c>
      <c r="Y16" t="s">
        <v>273</v>
      </c>
      <c r="Z16" t="s">
        <v>232</v>
      </c>
      <c r="AA16" t="s">
        <v>236</v>
      </c>
      <c r="AB16" t="s">
        <v>237</v>
      </c>
      <c r="AC16" t="s">
        <v>236</v>
      </c>
      <c r="AD16" t="s">
        <v>238</v>
      </c>
      <c r="AE16" t="s">
        <v>239</v>
      </c>
      <c r="AF16" t="s">
        <v>239</v>
      </c>
      <c r="AG16" t="s">
        <v>239</v>
      </c>
      <c r="AH16" t="s">
        <v>239</v>
      </c>
      <c r="AI16" t="s">
        <v>240</v>
      </c>
      <c r="AJ16" t="s">
        <v>241</v>
      </c>
      <c r="AK16" t="s">
        <v>242</v>
      </c>
      <c r="AL16" t="s">
        <v>234</v>
      </c>
      <c r="AM16" t="s">
        <v>243</v>
      </c>
      <c r="AN16" t="s">
        <v>244</v>
      </c>
      <c r="AO16" t="s">
        <v>245</v>
      </c>
      <c r="CD16">
        <v>16.996941899999999</v>
      </c>
      <c r="CE16">
        <v>19.344648320000001</v>
      </c>
      <c r="CF16">
        <v>21.692354739999999</v>
      </c>
      <c r="CG16">
        <v>24.04006116</v>
      </c>
      <c r="CH16">
        <v>24.787072559999999</v>
      </c>
      <c r="CI16">
        <v>25.535140389999999</v>
      </c>
      <c r="CJ16">
        <v>26.28268001</v>
      </c>
      <c r="CK16">
        <v>27.02810676</v>
      </c>
      <c r="CL16">
        <v>27.775118150000001</v>
      </c>
      <c r="CM16">
        <v>28.522129549999999</v>
      </c>
      <c r="CN16">
        <v>29.269140950000001</v>
      </c>
      <c r="CO16">
        <v>30.016152349999999</v>
      </c>
      <c r="CP16">
        <v>30.76316375</v>
      </c>
      <c r="CQ16">
        <v>31.510175149999998</v>
      </c>
      <c r="CR16">
        <v>32.262996940000001</v>
      </c>
      <c r="CS16">
        <v>32.257186539999999</v>
      </c>
      <c r="CT16">
        <v>32.257186539999999</v>
      </c>
      <c r="CU16">
        <v>32.257186539999999</v>
      </c>
      <c r="CV16">
        <v>32.257186539999999</v>
      </c>
      <c r="CW16">
        <v>32.257186539999999</v>
      </c>
      <c r="CX16">
        <v>32.257186539999999</v>
      </c>
    </row>
    <row r="17" spans="1:102" x14ac:dyDescent="0.3">
      <c r="A17" t="s">
        <v>220</v>
      </c>
      <c r="B17" t="s">
        <v>221</v>
      </c>
      <c r="C17" t="s">
        <v>222</v>
      </c>
      <c r="D17" t="s">
        <v>223</v>
      </c>
      <c r="E17" t="s">
        <v>274</v>
      </c>
      <c r="F17" t="s">
        <v>225</v>
      </c>
      <c r="G17" t="s">
        <v>226</v>
      </c>
      <c r="H17" t="s">
        <v>226</v>
      </c>
      <c r="I17" t="s">
        <v>226</v>
      </c>
      <c r="J17" t="s">
        <v>227</v>
      </c>
      <c r="K17" t="s">
        <v>228</v>
      </c>
      <c r="L17" t="s">
        <v>228</v>
      </c>
      <c r="M17" t="s">
        <v>228</v>
      </c>
      <c r="N17" t="s">
        <v>228</v>
      </c>
      <c r="O17" t="s">
        <v>229</v>
      </c>
      <c r="P17">
        <v>2</v>
      </c>
      <c r="Q17" t="s">
        <v>230</v>
      </c>
      <c r="R17" t="s">
        <v>231</v>
      </c>
      <c r="S17" t="s">
        <v>232</v>
      </c>
      <c r="T17">
        <v>0</v>
      </c>
      <c r="U17" t="s">
        <v>230</v>
      </c>
      <c r="V17" t="s">
        <v>233</v>
      </c>
      <c r="W17" t="s">
        <v>223</v>
      </c>
      <c r="X17" t="s">
        <v>234</v>
      </c>
      <c r="Y17" t="s">
        <v>275</v>
      </c>
      <c r="Z17" t="s">
        <v>232</v>
      </c>
      <c r="AA17" t="s">
        <v>236</v>
      </c>
      <c r="AB17" t="s">
        <v>237</v>
      </c>
      <c r="AC17" t="s">
        <v>236</v>
      </c>
      <c r="AD17" t="s">
        <v>238</v>
      </c>
      <c r="AE17" t="s">
        <v>239</v>
      </c>
      <c r="AF17" t="s">
        <v>239</v>
      </c>
      <c r="AG17" t="s">
        <v>239</v>
      </c>
      <c r="AH17" t="s">
        <v>239</v>
      </c>
      <c r="AI17" t="s">
        <v>240</v>
      </c>
      <c r="AJ17" t="s">
        <v>241</v>
      </c>
      <c r="AK17" t="s">
        <v>242</v>
      </c>
      <c r="AL17" t="s">
        <v>234</v>
      </c>
      <c r="AM17" t="s">
        <v>243</v>
      </c>
      <c r="AN17" t="s">
        <v>244</v>
      </c>
      <c r="AO17" t="s">
        <v>245</v>
      </c>
      <c r="BS17">
        <v>17.27627085</v>
      </c>
      <c r="BT17">
        <v>20.233397440000001</v>
      </c>
      <c r="BU17">
        <v>23.190524029999999</v>
      </c>
      <c r="BV17">
        <v>26.14765062</v>
      </c>
      <c r="BW17">
        <v>25.823014440000001</v>
      </c>
      <c r="BX17">
        <v>24.672579580000001</v>
      </c>
      <c r="BY17">
        <v>23.52214472</v>
      </c>
      <c r="BZ17">
        <v>22.37170987</v>
      </c>
      <c r="CA17">
        <v>21.902820040000002</v>
      </c>
      <c r="CB17">
        <v>21.427902490000001</v>
      </c>
      <c r="CC17">
        <v>20.959012659999999</v>
      </c>
      <c r="CD17">
        <v>20.490122840000002</v>
      </c>
      <c r="CE17">
        <v>20.02123301</v>
      </c>
      <c r="CF17">
        <v>19.552343180000001</v>
      </c>
      <c r="CG17">
        <v>19.08345336</v>
      </c>
      <c r="CH17">
        <v>18.201319760000001</v>
      </c>
      <c r="CI17">
        <v>18.376532050000002</v>
      </c>
      <c r="CJ17">
        <v>18.242493249999999</v>
      </c>
      <c r="CK17">
        <v>18.10845445</v>
      </c>
      <c r="CL17">
        <v>17.974415650000001</v>
      </c>
      <c r="CM17">
        <v>17.840376840000001</v>
      </c>
      <c r="CN17">
        <v>17.706338039999999</v>
      </c>
      <c r="CO17">
        <v>17.57229924</v>
      </c>
      <c r="CP17">
        <v>17.438260440000001</v>
      </c>
      <c r="CQ17">
        <v>17.304221640000002</v>
      </c>
      <c r="CR17">
        <v>17.170182839999999</v>
      </c>
      <c r="CS17">
        <v>12.379887480000001</v>
      </c>
      <c r="CT17">
        <v>12.31571228</v>
      </c>
      <c r="CU17">
        <v>12.31571228</v>
      </c>
      <c r="CV17">
        <v>12.31571228</v>
      </c>
      <c r="CW17">
        <v>12.31571228</v>
      </c>
      <c r="CX17">
        <v>12.31571228</v>
      </c>
    </row>
    <row r="18" spans="1:102" x14ac:dyDescent="0.3">
      <c r="A18" t="s">
        <v>220</v>
      </c>
      <c r="B18" t="s">
        <v>221</v>
      </c>
      <c r="C18" t="s">
        <v>222</v>
      </c>
      <c r="D18" t="s">
        <v>223</v>
      </c>
      <c r="E18" t="s">
        <v>276</v>
      </c>
      <c r="F18" t="s">
        <v>225</v>
      </c>
      <c r="G18" t="s">
        <v>226</v>
      </c>
      <c r="H18" t="s">
        <v>226</v>
      </c>
      <c r="I18" t="s">
        <v>226</v>
      </c>
      <c r="J18" t="s">
        <v>227</v>
      </c>
      <c r="K18" t="s">
        <v>228</v>
      </c>
      <c r="L18" t="s">
        <v>228</v>
      </c>
      <c r="M18" t="s">
        <v>228</v>
      </c>
      <c r="N18" t="s">
        <v>228</v>
      </c>
      <c r="O18" t="s">
        <v>229</v>
      </c>
      <c r="P18">
        <v>2</v>
      </c>
      <c r="Q18" t="s">
        <v>230</v>
      </c>
      <c r="R18" t="s">
        <v>231</v>
      </c>
      <c r="S18" t="s">
        <v>232</v>
      </c>
      <c r="T18">
        <v>0</v>
      </c>
      <c r="U18" t="s">
        <v>230</v>
      </c>
      <c r="V18" t="s">
        <v>233</v>
      </c>
      <c r="W18" t="s">
        <v>223</v>
      </c>
      <c r="X18" t="s">
        <v>234</v>
      </c>
      <c r="Y18" t="s">
        <v>277</v>
      </c>
      <c r="Z18" t="s">
        <v>232</v>
      </c>
      <c r="AA18" t="s">
        <v>236</v>
      </c>
      <c r="AB18" t="s">
        <v>237</v>
      </c>
      <c r="AC18" t="s">
        <v>236</v>
      </c>
      <c r="AD18" t="s">
        <v>238</v>
      </c>
      <c r="AE18" t="s">
        <v>239</v>
      </c>
      <c r="AF18" t="s">
        <v>239</v>
      </c>
      <c r="AG18" t="s">
        <v>239</v>
      </c>
      <c r="AH18" t="s">
        <v>239</v>
      </c>
      <c r="AI18" t="s">
        <v>240</v>
      </c>
      <c r="AJ18" t="s">
        <v>241</v>
      </c>
      <c r="AK18" t="s">
        <v>242</v>
      </c>
      <c r="AL18" t="s">
        <v>234</v>
      </c>
      <c r="AM18" t="s">
        <v>243</v>
      </c>
      <c r="AN18" t="s">
        <v>244</v>
      </c>
      <c r="AO18" t="s">
        <v>245</v>
      </c>
      <c r="BO18">
        <v>0.69898534400000001</v>
      </c>
      <c r="BP18">
        <v>0.73248693300000001</v>
      </c>
      <c r="BQ18">
        <v>0.76598852100000003</v>
      </c>
      <c r="BR18">
        <v>0.79949011000000003</v>
      </c>
      <c r="BS18">
        <v>0.83299169799999995</v>
      </c>
      <c r="BT18">
        <v>0.86649328699999995</v>
      </c>
      <c r="BU18">
        <v>0.89999487600000005</v>
      </c>
      <c r="BV18">
        <v>0.93349646399999997</v>
      </c>
      <c r="BW18">
        <v>0.96699805299999997</v>
      </c>
      <c r="BX18">
        <v>1.000499641</v>
      </c>
      <c r="BY18">
        <v>1.0340012300000001</v>
      </c>
      <c r="BZ18">
        <v>1.067502819</v>
      </c>
      <c r="CA18">
        <v>1.101004407</v>
      </c>
      <c r="CB18">
        <v>1.109499732</v>
      </c>
      <c r="CC18">
        <v>1.117995058</v>
      </c>
      <c r="CD18">
        <v>1.1264903829999999</v>
      </c>
      <c r="CE18">
        <v>1.1349857080000001</v>
      </c>
      <c r="CF18">
        <v>1.1434810339999999</v>
      </c>
      <c r="CG18">
        <v>1.1519763590000001</v>
      </c>
      <c r="CH18">
        <v>1.160471684</v>
      </c>
      <c r="CI18">
        <v>1.1689670089999999</v>
      </c>
      <c r="CJ18">
        <v>1.177001127</v>
      </c>
      <c r="CK18">
        <v>1.177001127</v>
      </c>
      <c r="CL18">
        <v>1.1835549270000001</v>
      </c>
      <c r="CM18">
        <v>1.1901087260000001</v>
      </c>
      <c r="CN18">
        <v>1.196662525</v>
      </c>
      <c r="CO18">
        <v>1.2032163250000001</v>
      </c>
      <c r="CP18">
        <v>1.2097701240000001</v>
      </c>
      <c r="CQ18">
        <v>1.216323923</v>
      </c>
      <c r="CR18">
        <v>1.2228777230000001</v>
      </c>
      <c r="CS18">
        <v>1.2294315220000001</v>
      </c>
      <c r="CT18">
        <v>1.235985321</v>
      </c>
      <c r="CU18">
        <v>1.2425391210000001</v>
      </c>
      <c r="CV18">
        <v>0.20736554300000001</v>
      </c>
      <c r="CW18">
        <v>0.20297958899999999</v>
      </c>
      <c r="CX18">
        <v>0.20297958899999999</v>
      </c>
    </row>
    <row r="19" spans="1:102" x14ac:dyDescent="0.3">
      <c r="A19" t="s">
        <v>220</v>
      </c>
      <c r="B19" t="s">
        <v>221</v>
      </c>
      <c r="C19" t="s">
        <v>222</v>
      </c>
      <c r="D19" t="s">
        <v>223</v>
      </c>
      <c r="E19" t="s">
        <v>278</v>
      </c>
      <c r="F19" t="s">
        <v>225</v>
      </c>
      <c r="G19" t="s">
        <v>226</v>
      </c>
      <c r="H19" t="s">
        <v>226</v>
      </c>
      <c r="I19" t="s">
        <v>226</v>
      </c>
      <c r="J19" t="s">
        <v>227</v>
      </c>
      <c r="K19" t="s">
        <v>228</v>
      </c>
      <c r="L19" t="s">
        <v>228</v>
      </c>
      <c r="M19" t="s">
        <v>228</v>
      </c>
      <c r="N19" t="s">
        <v>228</v>
      </c>
      <c r="O19" t="s">
        <v>229</v>
      </c>
      <c r="P19">
        <v>2</v>
      </c>
      <c r="Q19" t="s">
        <v>230</v>
      </c>
      <c r="R19" t="s">
        <v>231</v>
      </c>
      <c r="S19" t="s">
        <v>232</v>
      </c>
      <c r="T19">
        <v>0</v>
      </c>
      <c r="U19" t="s">
        <v>230</v>
      </c>
      <c r="V19" t="s">
        <v>233</v>
      </c>
      <c r="W19" t="s">
        <v>223</v>
      </c>
      <c r="X19" t="s">
        <v>234</v>
      </c>
      <c r="Y19" t="s">
        <v>279</v>
      </c>
      <c r="Z19" t="s">
        <v>232</v>
      </c>
      <c r="AA19" t="s">
        <v>236</v>
      </c>
      <c r="AB19" t="s">
        <v>237</v>
      </c>
      <c r="AC19" t="s">
        <v>236</v>
      </c>
      <c r="AD19" t="s">
        <v>238</v>
      </c>
      <c r="AE19" t="s">
        <v>239</v>
      </c>
      <c r="AF19" t="s">
        <v>239</v>
      </c>
      <c r="AG19" t="s">
        <v>239</v>
      </c>
      <c r="AH19" t="s">
        <v>239</v>
      </c>
      <c r="AI19" t="s">
        <v>240</v>
      </c>
      <c r="AJ19" t="s">
        <v>241</v>
      </c>
      <c r="AK19" t="s">
        <v>242</v>
      </c>
      <c r="AL19" t="s">
        <v>234</v>
      </c>
      <c r="AM19" t="s">
        <v>243</v>
      </c>
      <c r="AN19" t="s">
        <v>244</v>
      </c>
      <c r="AO19" t="s">
        <v>245</v>
      </c>
      <c r="BO19">
        <v>8.9814815000000006E-2</v>
      </c>
      <c r="BP19">
        <v>0.106481482</v>
      </c>
      <c r="BQ19">
        <v>0.123148148</v>
      </c>
      <c r="BR19">
        <v>0.13981481500000001</v>
      </c>
      <c r="BS19">
        <v>0.15648148200000001</v>
      </c>
      <c r="BT19">
        <v>0.173148148</v>
      </c>
      <c r="BU19">
        <v>0.189814815</v>
      </c>
      <c r="BV19">
        <v>0.20648148199999999</v>
      </c>
      <c r="BW19">
        <v>0.22314814799999999</v>
      </c>
      <c r="BX19">
        <v>0.23981481499999999</v>
      </c>
      <c r="BY19">
        <v>0.25648148199999998</v>
      </c>
      <c r="BZ19">
        <v>0.27314814799999998</v>
      </c>
      <c r="CA19">
        <v>0.289814815</v>
      </c>
      <c r="CB19">
        <v>0.30648148200000003</v>
      </c>
      <c r="CC19">
        <v>0.31231481500000002</v>
      </c>
      <c r="CD19">
        <v>0.31814814800000002</v>
      </c>
      <c r="CE19">
        <v>0.32398148199999999</v>
      </c>
      <c r="CF19">
        <v>0.32981481499999998</v>
      </c>
      <c r="CG19">
        <v>0.33564814799999998</v>
      </c>
      <c r="CH19">
        <v>0.33564814799999998</v>
      </c>
      <c r="CI19">
        <v>0.33564814799999998</v>
      </c>
      <c r="CJ19">
        <v>0.33564814799999998</v>
      </c>
      <c r="CK19">
        <v>0.33564814799999998</v>
      </c>
      <c r="CL19">
        <v>0.33564814799999998</v>
      </c>
      <c r="CM19">
        <v>0.33564814799999998</v>
      </c>
      <c r="CN19">
        <v>0.33564814799999998</v>
      </c>
      <c r="CO19">
        <v>0.33564814799999998</v>
      </c>
      <c r="CP19">
        <v>0.33564814799999998</v>
      </c>
      <c r="CQ19">
        <v>0.33564814799999998</v>
      </c>
      <c r="CR19">
        <v>0.33564814799999998</v>
      </c>
      <c r="CS19">
        <v>0.33564814799999998</v>
      </c>
      <c r="CT19">
        <v>0.33564814799999998</v>
      </c>
      <c r="CU19">
        <v>0.33564814799999998</v>
      </c>
      <c r="CV19">
        <v>0.33564814799999998</v>
      </c>
      <c r="CW19">
        <v>0.33564814799999998</v>
      </c>
      <c r="CX19">
        <v>0.33564814799999998</v>
      </c>
    </row>
    <row r="20" spans="1:102" x14ac:dyDescent="0.3">
      <c r="A20" t="s">
        <v>220</v>
      </c>
      <c r="B20" t="s">
        <v>221</v>
      </c>
      <c r="C20" t="s">
        <v>222</v>
      </c>
      <c r="D20" t="s">
        <v>223</v>
      </c>
      <c r="E20" t="s">
        <v>280</v>
      </c>
      <c r="F20" t="s">
        <v>225</v>
      </c>
      <c r="G20" t="s">
        <v>226</v>
      </c>
      <c r="H20" t="s">
        <v>226</v>
      </c>
      <c r="I20" t="s">
        <v>226</v>
      </c>
      <c r="J20" t="s">
        <v>227</v>
      </c>
      <c r="K20" t="s">
        <v>228</v>
      </c>
      <c r="L20" t="s">
        <v>228</v>
      </c>
      <c r="M20" t="s">
        <v>228</v>
      </c>
      <c r="N20" t="s">
        <v>228</v>
      </c>
      <c r="O20" t="s">
        <v>229</v>
      </c>
      <c r="P20">
        <v>2</v>
      </c>
      <c r="Q20" t="s">
        <v>230</v>
      </c>
      <c r="R20" t="s">
        <v>231</v>
      </c>
      <c r="S20" t="s">
        <v>232</v>
      </c>
      <c r="T20">
        <v>0</v>
      </c>
      <c r="U20" t="s">
        <v>230</v>
      </c>
      <c r="V20" t="s">
        <v>233</v>
      </c>
      <c r="W20" t="s">
        <v>223</v>
      </c>
      <c r="X20" t="s">
        <v>234</v>
      </c>
      <c r="Y20" t="s">
        <v>281</v>
      </c>
      <c r="Z20" t="s">
        <v>232</v>
      </c>
      <c r="AA20" t="s">
        <v>236</v>
      </c>
      <c r="AB20" t="s">
        <v>237</v>
      </c>
      <c r="AC20" t="s">
        <v>236</v>
      </c>
      <c r="AD20" t="s">
        <v>238</v>
      </c>
      <c r="AE20" t="s">
        <v>239</v>
      </c>
      <c r="AF20" t="s">
        <v>239</v>
      </c>
      <c r="AG20" t="s">
        <v>239</v>
      </c>
      <c r="AH20" t="s">
        <v>239</v>
      </c>
      <c r="AI20" t="s">
        <v>240</v>
      </c>
      <c r="AJ20" t="s">
        <v>241</v>
      </c>
      <c r="AK20" t="s">
        <v>242</v>
      </c>
      <c r="AL20" t="s">
        <v>234</v>
      </c>
      <c r="AM20" t="s">
        <v>243</v>
      </c>
      <c r="AN20" t="s">
        <v>244</v>
      </c>
      <c r="AO20" t="s">
        <v>245</v>
      </c>
      <c r="BR20">
        <v>68.506311359999998</v>
      </c>
      <c r="BS20">
        <v>70.779523139999995</v>
      </c>
      <c r="BT20">
        <v>73.052734920000006</v>
      </c>
      <c r="BU20">
        <v>75.325946700000003</v>
      </c>
      <c r="BV20">
        <v>77.599158489999994</v>
      </c>
      <c r="BW20">
        <v>79.872370270000005</v>
      </c>
      <c r="BX20">
        <v>82.145582050000002</v>
      </c>
      <c r="BY20">
        <v>84.418793829999998</v>
      </c>
      <c r="BZ20">
        <v>86.692005609999995</v>
      </c>
      <c r="CA20">
        <v>88.965217390000007</v>
      </c>
      <c r="CB20">
        <v>91.238429170000003</v>
      </c>
      <c r="CC20">
        <v>91.147826089999995</v>
      </c>
      <c r="CD20">
        <v>91.057222999999993</v>
      </c>
      <c r="CE20">
        <v>90.966619919999999</v>
      </c>
      <c r="CF20">
        <v>90.876016829999998</v>
      </c>
      <c r="CG20">
        <v>90.785413739999996</v>
      </c>
      <c r="CH20">
        <v>90.785413739999996</v>
      </c>
      <c r="CI20">
        <v>90.785413739999996</v>
      </c>
      <c r="CJ20">
        <v>90.785413739999996</v>
      </c>
      <c r="CK20">
        <v>90.785413739999996</v>
      </c>
      <c r="CL20">
        <v>90.785413739999996</v>
      </c>
      <c r="CM20">
        <v>90.785413739999996</v>
      </c>
      <c r="CN20">
        <v>90.785413739999996</v>
      </c>
      <c r="CO20">
        <v>90.785413739999996</v>
      </c>
      <c r="CP20">
        <v>90.785413739999996</v>
      </c>
      <c r="CQ20">
        <v>90.785413739999996</v>
      </c>
      <c r="CR20">
        <v>90.785413739999996</v>
      </c>
      <c r="CS20">
        <v>90.785413739999996</v>
      </c>
      <c r="CT20">
        <v>90.785413739999996</v>
      </c>
      <c r="CU20">
        <v>90.785413739999996</v>
      </c>
      <c r="CV20">
        <v>90.785413739999996</v>
      </c>
      <c r="CW20">
        <v>90.785413739999996</v>
      </c>
      <c r="CX20">
        <v>90.785413739999996</v>
      </c>
    </row>
    <row r="21" spans="1:102" x14ac:dyDescent="0.3">
      <c r="A21" t="s">
        <v>220</v>
      </c>
      <c r="B21" t="s">
        <v>221</v>
      </c>
      <c r="C21" t="s">
        <v>222</v>
      </c>
      <c r="D21" t="s">
        <v>223</v>
      </c>
      <c r="E21" t="s">
        <v>282</v>
      </c>
      <c r="F21" t="s">
        <v>225</v>
      </c>
      <c r="G21" t="s">
        <v>226</v>
      </c>
      <c r="H21" t="s">
        <v>226</v>
      </c>
      <c r="I21" t="s">
        <v>226</v>
      </c>
      <c r="J21" t="s">
        <v>227</v>
      </c>
      <c r="K21" t="s">
        <v>228</v>
      </c>
      <c r="L21" t="s">
        <v>228</v>
      </c>
      <c r="M21" t="s">
        <v>228</v>
      </c>
      <c r="N21" t="s">
        <v>228</v>
      </c>
      <c r="O21" t="s">
        <v>229</v>
      </c>
      <c r="P21">
        <v>2</v>
      </c>
      <c r="Q21" t="s">
        <v>230</v>
      </c>
      <c r="R21" t="s">
        <v>231</v>
      </c>
      <c r="S21" t="s">
        <v>232</v>
      </c>
      <c r="T21">
        <v>0</v>
      </c>
      <c r="U21" t="s">
        <v>230</v>
      </c>
      <c r="V21" t="s">
        <v>233</v>
      </c>
      <c r="W21" t="s">
        <v>223</v>
      </c>
      <c r="X21" t="s">
        <v>234</v>
      </c>
      <c r="Y21" t="s">
        <v>283</v>
      </c>
      <c r="Z21" t="s">
        <v>232</v>
      </c>
      <c r="AA21" t="s">
        <v>236</v>
      </c>
      <c r="AB21" t="s">
        <v>237</v>
      </c>
      <c r="AC21" t="s">
        <v>236</v>
      </c>
      <c r="AD21" t="s">
        <v>238</v>
      </c>
      <c r="AE21" t="s">
        <v>239</v>
      </c>
      <c r="AF21" t="s">
        <v>239</v>
      </c>
      <c r="AG21" t="s">
        <v>239</v>
      </c>
      <c r="AH21" t="s">
        <v>239</v>
      </c>
      <c r="AI21" t="s">
        <v>240</v>
      </c>
      <c r="AJ21" t="s">
        <v>241</v>
      </c>
      <c r="AK21" t="s">
        <v>242</v>
      </c>
      <c r="AL21" t="s">
        <v>234</v>
      </c>
      <c r="AM21" t="s">
        <v>243</v>
      </c>
      <c r="AN21" t="s">
        <v>244</v>
      </c>
      <c r="AO21" t="s">
        <v>245</v>
      </c>
      <c r="BH21">
        <v>9.2290688040000006</v>
      </c>
      <c r="BI21">
        <v>9.3600442109999999</v>
      </c>
      <c r="BJ21">
        <v>9.4910196189999994</v>
      </c>
      <c r="BK21">
        <v>9.6219950260000005</v>
      </c>
      <c r="BL21">
        <v>9.7529704339999999</v>
      </c>
      <c r="BM21">
        <v>9.8839458409999992</v>
      </c>
      <c r="BN21">
        <v>10.009947500000001</v>
      </c>
      <c r="BO21">
        <v>10.135949159999999</v>
      </c>
      <c r="BP21">
        <v>10.261950819999999</v>
      </c>
      <c r="BQ21">
        <v>10.38795247</v>
      </c>
      <c r="BR21">
        <v>10.51395413</v>
      </c>
      <c r="BS21">
        <v>10.31610942</v>
      </c>
      <c r="BT21">
        <v>10.11826471</v>
      </c>
      <c r="BU21">
        <v>9.9204200060000005</v>
      </c>
      <c r="BV21">
        <v>9.7225752970000006</v>
      </c>
      <c r="BW21">
        <v>9.5247305890000007</v>
      </c>
      <c r="BX21">
        <v>9.7941420279999996</v>
      </c>
      <c r="BY21">
        <v>10.06355347</v>
      </c>
      <c r="BZ21">
        <v>10.0967118</v>
      </c>
      <c r="CA21">
        <v>10.12987013</v>
      </c>
      <c r="CB21">
        <v>10.0469743</v>
      </c>
      <c r="CC21">
        <v>9.9668416690000008</v>
      </c>
      <c r="CD21">
        <v>9.8839458409999992</v>
      </c>
      <c r="CE21">
        <v>9.8538961040000004</v>
      </c>
      <c r="CF21">
        <v>9.8238463659999997</v>
      </c>
      <c r="CG21">
        <v>9.7937966289999991</v>
      </c>
      <c r="CH21">
        <v>9.7637468910000003</v>
      </c>
      <c r="CI21">
        <v>9.7336971539999997</v>
      </c>
      <c r="CJ21">
        <v>9.7036474160000008</v>
      </c>
      <c r="CK21">
        <v>9.6735976790000002</v>
      </c>
      <c r="CL21">
        <v>9.6435479409999996</v>
      </c>
      <c r="CM21">
        <v>9.5360903869999998</v>
      </c>
      <c r="CN21">
        <v>9.428632833</v>
      </c>
      <c r="CO21">
        <v>9.3211752790000002</v>
      </c>
      <c r="CP21">
        <v>9.2137177240000003</v>
      </c>
      <c r="CQ21">
        <v>9.1062601700000005</v>
      </c>
      <c r="CR21">
        <v>8.9988026160000008</v>
      </c>
      <c r="CS21">
        <v>8.8913450619999992</v>
      </c>
      <c r="CT21">
        <v>8.7838875069999993</v>
      </c>
      <c r="CU21">
        <v>8.6764299529999995</v>
      </c>
      <c r="CV21">
        <v>8.6764299529999995</v>
      </c>
      <c r="CW21">
        <v>8.6764299529999995</v>
      </c>
      <c r="CX21">
        <v>8.6764299529999995</v>
      </c>
    </row>
    <row r="22" spans="1:102" x14ac:dyDescent="0.3">
      <c r="A22" t="s">
        <v>220</v>
      </c>
      <c r="B22" t="s">
        <v>221</v>
      </c>
      <c r="C22" t="s">
        <v>222</v>
      </c>
      <c r="D22" t="s">
        <v>223</v>
      </c>
      <c r="E22" t="s">
        <v>284</v>
      </c>
      <c r="F22" t="s">
        <v>225</v>
      </c>
      <c r="G22" t="s">
        <v>226</v>
      </c>
      <c r="H22" t="s">
        <v>226</v>
      </c>
      <c r="I22" t="s">
        <v>226</v>
      </c>
      <c r="J22" t="s">
        <v>227</v>
      </c>
      <c r="K22" t="s">
        <v>228</v>
      </c>
      <c r="L22" t="s">
        <v>228</v>
      </c>
      <c r="M22" t="s">
        <v>228</v>
      </c>
      <c r="N22" t="s">
        <v>228</v>
      </c>
      <c r="O22" t="s">
        <v>229</v>
      </c>
      <c r="P22">
        <v>2</v>
      </c>
      <c r="Q22" t="s">
        <v>230</v>
      </c>
      <c r="R22" t="s">
        <v>231</v>
      </c>
      <c r="S22" t="s">
        <v>232</v>
      </c>
      <c r="T22">
        <v>0</v>
      </c>
      <c r="U22" t="s">
        <v>230</v>
      </c>
      <c r="V22" t="s">
        <v>233</v>
      </c>
      <c r="W22" t="s">
        <v>223</v>
      </c>
      <c r="X22" t="s">
        <v>234</v>
      </c>
      <c r="Y22" t="s">
        <v>285</v>
      </c>
      <c r="Z22" t="s">
        <v>232</v>
      </c>
      <c r="AA22" t="s">
        <v>236</v>
      </c>
      <c r="AB22" t="s">
        <v>237</v>
      </c>
      <c r="AC22" t="s">
        <v>236</v>
      </c>
      <c r="AD22" t="s">
        <v>238</v>
      </c>
      <c r="AE22" t="s">
        <v>239</v>
      </c>
      <c r="AF22" t="s">
        <v>239</v>
      </c>
      <c r="AG22" t="s">
        <v>239</v>
      </c>
      <c r="AH22" t="s">
        <v>239</v>
      </c>
      <c r="AI22" t="s">
        <v>240</v>
      </c>
      <c r="AJ22" t="s">
        <v>241</v>
      </c>
      <c r="AK22" t="s">
        <v>242</v>
      </c>
      <c r="AL22" t="s">
        <v>234</v>
      </c>
      <c r="AM22" t="s">
        <v>243</v>
      </c>
      <c r="AN22" t="s">
        <v>244</v>
      </c>
      <c r="AO22" t="s">
        <v>245</v>
      </c>
      <c r="BU22">
        <v>8.5697126489999995</v>
      </c>
      <c r="BV22">
        <v>8.8436002689999995</v>
      </c>
      <c r="BW22">
        <v>9.1174878899999996</v>
      </c>
      <c r="BX22">
        <v>9.3913755099999996</v>
      </c>
      <c r="BY22">
        <v>9.6652631299999996</v>
      </c>
      <c r="BZ22">
        <v>9.9391507499999996</v>
      </c>
      <c r="CA22">
        <v>10.21303837</v>
      </c>
      <c r="CB22">
        <v>10.48692599</v>
      </c>
      <c r="CC22">
        <v>10.76081361</v>
      </c>
      <c r="CD22">
        <v>11.03470123</v>
      </c>
      <c r="CE22">
        <v>11.30858885</v>
      </c>
      <c r="CF22">
        <v>11.58247647</v>
      </c>
      <c r="CG22">
        <v>11.85636409</v>
      </c>
      <c r="CH22">
        <v>12.13025171</v>
      </c>
      <c r="CI22">
        <v>12.40413933</v>
      </c>
      <c r="CJ22">
        <v>12.67802695</v>
      </c>
      <c r="CK22">
        <v>12.95191457</v>
      </c>
      <c r="CL22">
        <v>13.22580219</v>
      </c>
      <c r="CM22">
        <v>13.49968981</v>
      </c>
      <c r="CN22">
        <v>13.77357743</v>
      </c>
      <c r="CO22">
        <v>14.04746505</v>
      </c>
      <c r="CP22">
        <v>14.32135267</v>
      </c>
      <c r="CQ22">
        <v>7.6688533679999997</v>
      </c>
      <c r="CR22">
        <v>12.4734362</v>
      </c>
      <c r="CS22">
        <v>12.343960020000001</v>
      </c>
      <c r="CT22">
        <v>12.214483830000001</v>
      </c>
      <c r="CU22">
        <v>12.08500765</v>
      </c>
      <c r="CV22">
        <v>11.04643079</v>
      </c>
      <c r="CW22">
        <v>12.38281888</v>
      </c>
      <c r="CX22">
        <v>12.38281888</v>
      </c>
    </row>
    <row r="23" spans="1:102" x14ac:dyDescent="0.3">
      <c r="A23" t="s">
        <v>220</v>
      </c>
      <c r="B23" t="s">
        <v>221</v>
      </c>
      <c r="C23" t="s">
        <v>222</v>
      </c>
      <c r="D23" t="s">
        <v>223</v>
      </c>
      <c r="E23" t="s">
        <v>286</v>
      </c>
      <c r="F23" t="s">
        <v>225</v>
      </c>
      <c r="G23" t="s">
        <v>226</v>
      </c>
      <c r="H23" t="s">
        <v>226</v>
      </c>
      <c r="I23" t="s">
        <v>226</v>
      </c>
      <c r="J23" t="s">
        <v>227</v>
      </c>
      <c r="K23" t="s">
        <v>228</v>
      </c>
      <c r="L23" t="s">
        <v>228</v>
      </c>
      <c r="M23" t="s">
        <v>228</v>
      </c>
      <c r="N23" t="s">
        <v>228</v>
      </c>
      <c r="O23" t="s">
        <v>229</v>
      </c>
      <c r="P23">
        <v>2</v>
      </c>
      <c r="Q23" t="s">
        <v>230</v>
      </c>
      <c r="R23" t="s">
        <v>231</v>
      </c>
      <c r="S23" t="s">
        <v>232</v>
      </c>
      <c r="T23">
        <v>0</v>
      </c>
      <c r="U23" t="s">
        <v>230</v>
      </c>
      <c r="V23" t="s">
        <v>233</v>
      </c>
      <c r="W23" t="s">
        <v>223</v>
      </c>
      <c r="X23" t="s">
        <v>234</v>
      </c>
      <c r="Y23" t="s">
        <v>287</v>
      </c>
      <c r="Z23" t="s">
        <v>232</v>
      </c>
      <c r="AA23" t="s">
        <v>236</v>
      </c>
      <c r="AB23" t="s">
        <v>237</v>
      </c>
      <c r="AC23" t="s">
        <v>236</v>
      </c>
      <c r="AD23" t="s">
        <v>238</v>
      </c>
      <c r="AE23" t="s">
        <v>239</v>
      </c>
      <c r="AF23" t="s">
        <v>239</v>
      </c>
      <c r="AG23" t="s">
        <v>239</v>
      </c>
      <c r="AH23" t="s">
        <v>239</v>
      </c>
      <c r="AI23" t="s">
        <v>240</v>
      </c>
      <c r="AJ23" t="s">
        <v>241</v>
      </c>
      <c r="AK23" t="s">
        <v>242</v>
      </c>
      <c r="AL23" t="s">
        <v>234</v>
      </c>
      <c r="AM23" t="s">
        <v>243</v>
      </c>
      <c r="AN23" t="s">
        <v>244</v>
      </c>
      <c r="AO23" t="s">
        <v>245</v>
      </c>
      <c r="CE23">
        <v>4.6212687639999999</v>
      </c>
      <c r="CF23">
        <v>4.6212687639999999</v>
      </c>
      <c r="CG23">
        <v>4.6212687639999999</v>
      </c>
      <c r="CH23">
        <v>4.6212687639999999</v>
      </c>
      <c r="CI23">
        <v>4.6212687639999999</v>
      </c>
      <c r="CJ23">
        <v>4.6212687639999999</v>
      </c>
      <c r="CK23">
        <v>4.6212687639999999</v>
      </c>
      <c r="CL23">
        <v>4.6212687639999999</v>
      </c>
      <c r="CM23">
        <v>4.6212687639999999</v>
      </c>
      <c r="CN23">
        <v>4.6212687639999999</v>
      </c>
      <c r="CO23">
        <v>4.6212687639999999</v>
      </c>
      <c r="CP23">
        <v>4.6212687639999999</v>
      </c>
      <c r="CQ23">
        <v>4.6212687639999999</v>
      </c>
      <c r="CR23">
        <v>4.6212687639999999</v>
      </c>
      <c r="CS23">
        <v>4.6212687639999999</v>
      </c>
      <c r="CT23">
        <v>4.6212687639999999</v>
      </c>
      <c r="CU23">
        <v>4.6212687639999999</v>
      </c>
      <c r="CV23">
        <v>4.6212687639999999</v>
      </c>
      <c r="CW23">
        <v>4.6212687639999999</v>
      </c>
      <c r="CX23">
        <v>4.6212687639999999</v>
      </c>
    </row>
    <row r="24" spans="1:102" x14ac:dyDescent="0.3">
      <c r="A24" t="s">
        <v>220</v>
      </c>
      <c r="B24" t="s">
        <v>221</v>
      </c>
      <c r="C24" t="s">
        <v>222</v>
      </c>
      <c r="D24" t="s">
        <v>223</v>
      </c>
      <c r="E24" t="s">
        <v>288</v>
      </c>
      <c r="F24" t="s">
        <v>225</v>
      </c>
      <c r="G24" t="s">
        <v>226</v>
      </c>
      <c r="H24" t="s">
        <v>226</v>
      </c>
      <c r="I24" t="s">
        <v>226</v>
      </c>
      <c r="J24" t="s">
        <v>227</v>
      </c>
      <c r="K24" t="s">
        <v>228</v>
      </c>
      <c r="L24" t="s">
        <v>228</v>
      </c>
      <c r="M24" t="s">
        <v>228</v>
      </c>
      <c r="N24" t="s">
        <v>228</v>
      </c>
      <c r="O24" t="s">
        <v>229</v>
      </c>
      <c r="P24">
        <v>2</v>
      </c>
      <c r="Q24" t="s">
        <v>230</v>
      </c>
      <c r="R24" t="s">
        <v>231</v>
      </c>
      <c r="S24" t="s">
        <v>232</v>
      </c>
      <c r="T24">
        <v>0</v>
      </c>
      <c r="U24" t="s">
        <v>230</v>
      </c>
      <c r="V24" t="s">
        <v>233</v>
      </c>
      <c r="W24" t="s">
        <v>223</v>
      </c>
      <c r="X24" t="s">
        <v>234</v>
      </c>
      <c r="Y24" t="s">
        <v>289</v>
      </c>
      <c r="Z24" t="s">
        <v>232</v>
      </c>
      <c r="AA24" t="s">
        <v>236</v>
      </c>
      <c r="AB24" t="s">
        <v>237</v>
      </c>
      <c r="AC24" t="s">
        <v>236</v>
      </c>
      <c r="AD24" t="s">
        <v>238</v>
      </c>
      <c r="AE24" t="s">
        <v>239</v>
      </c>
      <c r="AF24" t="s">
        <v>239</v>
      </c>
      <c r="AG24" t="s">
        <v>239</v>
      </c>
      <c r="AH24" t="s">
        <v>239</v>
      </c>
      <c r="AI24" t="s">
        <v>240</v>
      </c>
      <c r="AJ24" t="s">
        <v>241</v>
      </c>
      <c r="AK24" t="s">
        <v>242</v>
      </c>
      <c r="AL24" t="s">
        <v>234</v>
      </c>
      <c r="AM24" t="s">
        <v>243</v>
      </c>
      <c r="AN24" t="s">
        <v>244</v>
      </c>
      <c r="AO24" t="s">
        <v>245</v>
      </c>
      <c r="BO24">
        <v>3.639010189</v>
      </c>
      <c r="BP24">
        <v>4.1652670470000004</v>
      </c>
      <c r="BQ24">
        <v>4.6915239059999996</v>
      </c>
      <c r="BR24">
        <v>5.2177807639999996</v>
      </c>
      <c r="BS24">
        <v>5.7440376219999996</v>
      </c>
      <c r="BT24">
        <v>6.2702944799999996</v>
      </c>
      <c r="BU24">
        <v>6.7965513380000004</v>
      </c>
      <c r="BV24">
        <v>7.3228081960000004</v>
      </c>
      <c r="BW24">
        <v>7.8490650540000004</v>
      </c>
      <c r="BX24">
        <v>8.3753219120000004</v>
      </c>
      <c r="BY24">
        <v>8.9015787710000005</v>
      </c>
      <c r="BZ24">
        <v>9.4278356290000005</v>
      </c>
      <c r="CA24">
        <v>9.9540924870000005</v>
      </c>
      <c r="CB24">
        <v>10.480349349999999</v>
      </c>
      <c r="CC24">
        <v>10.42285298</v>
      </c>
      <c r="CD24">
        <v>10.36535662</v>
      </c>
      <c r="CE24">
        <v>10.30786026</v>
      </c>
      <c r="CF24">
        <v>10.2503639</v>
      </c>
      <c r="CG24">
        <v>10.19286754</v>
      </c>
      <c r="CH24">
        <v>10.19286754</v>
      </c>
      <c r="CI24">
        <v>10.19286754</v>
      </c>
      <c r="CJ24">
        <v>10.19286754</v>
      </c>
      <c r="CK24">
        <v>10.19286754</v>
      </c>
      <c r="CL24">
        <v>10.19286754</v>
      </c>
      <c r="CM24">
        <v>10.19286754</v>
      </c>
      <c r="CN24">
        <v>10.19286754</v>
      </c>
      <c r="CO24">
        <v>10.19286754</v>
      </c>
      <c r="CP24">
        <v>10.19286754</v>
      </c>
      <c r="CQ24">
        <v>10.19286754</v>
      </c>
      <c r="CR24">
        <v>10.19286754</v>
      </c>
      <c r="CS24">
        <v>10.19286754</v>
      </c>
      <c r="CT24">
        <v>10.19286754</v>
      </c>
      <c r="CU24">
        <v>10.19286754</v>
      </c>
      <c r="CV24">
        <v>10.19286754</v>
      </c>
      <c r="CW24">
        <v>10.19286754</v>
      </c>
      <c r="CX24">
        <v>10.19286754</v>
      </c>
    </row>
    <row r="25" spans="1:102" x14ac:dyDescent="0.3">
      <c r="A25" t="s">
        <v>220</v>
      </c>
      <c r="B25" t="s">
        <v>221</v>
      </c>
      <c r="C25" t="s">
        <v>222</v>
      </c>
      <c r="D25" t="s">
        <v>223</v>
      </c>
      <c r="E25" t="s">
        <v>290</v>
      </c>
      <c r="F25" t="s">
        <v>225</v>
      </c>
      <c r="G25" t="s">
        <v>226</v>
      </c>
      <c r="H25" t="s">
        <v>226</v>
      </c>
      <c r="I25" t="s">
        <v>226</v>
      </c>
      <c r="J25" t="s">
        <v>227</v>
      </c>
      <c r="K25" t="s">
        <v>228</v>
      </c>
      <c r="L25" t="s">
        <v>228</v>
      </c>
      <c r="M25" t="s">
        <v>228</v>
      </c>
      <c r="N25" t="s">
        <v>228</v>
      </c>
      <c r="O25" t="s">
        <v>229</v>
      </c>
      <c r="P25">
        <v>2</v>
      </c>
      <c r="Q25" t="s">
        <v>230</v>
      </c>
      <c r="R25" t="s">
        <v>231</v>
      </c>
      <c r="S25" t="s">
        <v>232</v>
      </c>
      <c r="T25">
        <v>0</v>
      </c>
      <c r="U25" t="s">
        <v>230</v>
      </c>
      <c r="V25" t="s">
        <v>233</v>
      </c>
      <c r="W25" t="s">
        <v>223</v>
      </c>
      <c r="X25" t="s">
        <v>234</v>
      </c>
      <c r="Y25" t="s">
        <v>291</v>
      </c>
      <c r="Z25" t="s">
        <v>232</v>
      </c>
      <c r="AA25" t="s">
        <v>236</v>
      </c>
      <c r="AB25" t="s">
        <v>237</v>
      </c>
      <c r="AC25" t="s">
        <v>236</v>
      </c>
      <c r="AD25" t="s">
        <v>238</v>
      </c>
      <c r="AE25" t="s">
        <v>239</v>
      </c>
      <c r="AF25" t="s">
        <v>239</v>
      </c>
      <c r="AG25" t="s">
        <v>239</v>
      </c>
      <c r="AH25" t="s">
        <v>239</v>
      </c>
      <c r="AI25" t="s">
        <v>240</v>
      </c>
      <c r="AJ25" t="s">
        <v>241</v>
      </c>
      <c r="AK25" t="s">
        <v>242</v>
      </c>
      <c r="AL25" t="s">
        <v>234</v>
      </c>
      <c r="AM25" t="s">
        <v>243</v>
      </c>
      <c r="AN25" t="s">
        <v>244</v>
      </c>
      <c r="AO25" t="s">
        <v>245</v>
      </c>
      <c r="CL25">
        <v>0.77134781299999999</v>
      </c>
      <c r="CM25">
        <v>0.81543191500000001</v>
      </c>
      <c r="CN25">
        <v>0.85951601700000002</v>
      </c>
      <c r="CO25">
        <v>0.90360011900000003</v>
      </c>
      <c r="CP25">
        <v>0.89340969999999997</v>
      </c>
      <c r="CQ25">
        <v>0.93074977699999994</v>
      </c>
      <c r="CR25">
        <v>0.90107110999999995</v>
      </c>
      <c r="CS25">
        <v>0.90107110999999995</v>
      </c>
      <c r="CT25">
        <v>0.90107110999999995</v>
      </c>
      <c r="CU25">
        <v>0.90107110999999995</v>
      </c>
      <c r="CV25">
        <v>0.90107110999999995</v>
      </c>
      <c r="CW25">
        <v>0.90107110999999995</v>
      </c>
      <c r="CX25">
        <v>0.90107110999999995</v>
      </c>
    </row>
    <row r="26" spans="1:102" x14ac:dyDescent="0.3">
      <c r="A26" t="s">
        <v>220</v>
      </c>
      <c r="B26" t="s">
        <v>221</v>
      </c>
      <c r="C26" t="s">
        <v>222</v>
      </c>
      <c r="D26" t="s">
        <v>223</v>
      </c>
      <c r="E26" t="s">
        <v>292</v>
      </c>
      <c r="F26" t="s">
        <v>225</v>
      </c>
      <c r="G26" t="s">
        <v>226</v>
      </c>
      <c r="H26" t="s">
        <v>226</v>
      </c>
      <c r="I26" t="s">
        <v>226</v>
      </c>
      <c r="J26" t="s">
        <v>227</v>
      </c>
      <c r="K26" t="s">
        <v>228</v>
      </c>
      <c r="L26" t="s">
        <v>228</v>
      </c>
      <c r="M26" t="s">
        <v>228</v>
      </c>
      <c r="N26" t="s">
        <v>228</v>
      </c>
      <c r="O26" t="s">
        <v>229</v>
      </c>
      <c r="P26">
        <v>2</v>
      </c>
      <c r="Q26" t="s">
        <v>230</v>
      </c>
      <c r="R26" t="s">
        <v>231</v>
      </c>
      <c r="S26" t="s">
        <v>232</v>
      </c>
      <c r="T26">
        <v>0</v>
      </c>
      <c r="U26" t="s">
        <v>230</v>
      </c>
      <c r="V26" t="s">
        <v>233</v>
      </c>
      <c r="W26" t="s">
        <v>223</v>
      </c>
      <c r="X26" t="s">
        <v>234</v>
      </c>
      <c r="Y26" t="s">
        <v>293</v>
      </c>
      <c r="Z26" t="s">
        <v>232</v>
      </c>
      <c r="AA26" t="s">
        <v>236</v>
      </c>
      <c r="AB26" t="s">
        <v>237</v>
      </c>
      <c r="AC26" t="s">
        <v>236</v>
      </c>
      <c r="AD26" t="s">
        <v>238</v>
      </c>
      <c r="AE26" t="s">
        <v>239</v>
      </c>
      <c r="AF26" t="s">
        <v>239</v>
      </c>
      <c r="AG26" t="s">
        <v>239</v>
      </c>
      <c r="AH26" t="s">
        <v>239</v>
      </c>
      <c r="AI26" t="s">
        <v>240</v>
      </c>
      <c r="AJ26" t="s">
        <v>241</v>
      </c>
      <c r="AK26" t="s">
        <v>242</v>
      </c>
      <c r="AL26" t="s">
        <v>234</v>
      </c>
      <c r="AM26" t="s">
        <v>243</v>
      </c>
      <c r="AN26" t="s">
        <v>244</v>
      </c>
      <c r="AO26" t="s">
        <v>245</v>
      </c>
      <c r="BS26">
        <v>85.5</v>
      </c>
      <c r="BT26">
        <v>86.473665220000001</v>
      </c>
      <c r="BU26">
        <v>87.447330449999995</v>
      </c>
      <c r="BV26">
        <v>88.420995669999996</v>
      </c>
      <c r="BW26">
        <v>86.96608947</v>
      </c>
      <c r="BX26">
        <v>87.939754690000001</v>
      </c>
      <c r="BY26">
        <v>88.913419910000002</v>
      </c>
      <c r="BZ26">
        <v>89.887085139999996</v>
      </c>
      <c r="CA26">
        <v>90.860750359999997</v>
      </c>
      <c r="CB26">
        <v>92.857142859999996</v>
      </c>
      <c r="CC26">
        <v>90.792207790000006</v>
      </c>
      <c r="CD26">
        <v>89.75</v>
      </c>
      <c r="CE26">
        <v>84.714285709999999</v>
      </c>
      <c r="CF26">
        <v>87.914285710000001</v>
      </c>
      <c r="CG26">
        <v>91.114285710000004</v>
      </c>
      <c r="CH26">
        <v>94.314285709999993</v>
      </c>
      <c r="CI26">
        <v>97.514285709999996</v>
      </c>
      <c r="CJ26">
        <v>100.7142857</v>
      </c>
      <c r="CK26">
        <v>103.91428569999999</v>
      </c>
      <c r="CL26">
        <v>107.1142857</v>
      </c>
      <c r="CM26">
        <v>110.3142857</v>
      </c>
      <c r="CN26">
        <v>113.5142857</v>
      </c>
      <c r="CO26">
        <v>116.7142857</v>
      </c>
      <c r="CP26">
        <v>116.7142857</v>
      </c>
      <c r="CQ26">
        <v>116.7142857</v>
      </c>
      <c r="CR26">
        <v>116.7142857</v>
      </c>
      <c r="CS26">
        <v>116.7142857</v>
      </c>
      <c r="CT26">
        <v>116.7142857</v>
      </c>
      <c r="CU26">
        <v>116.7142857</v>
      </c>
      <c r="CV26">
        <v>116.7142857</v>
      </c>
      <c r="CW26">
        <v>116.7142857</v>
      </c>
      <c r="CX26">
        <v>116.7142857</v>
      </c>
    </row>
    <row r="27" spans="1:102" x14ac:dyDescent="0.3">
      <c r="A27" t="s">
        <v>220</v>
      </c>
      <c r="B27" t="s">
        <v>221</v>
      </c>
      <c r="C27" t="s">
        <v>222</v>
      </c>
      <c r="D27" t="s">
        <v>223</v>
      </c>
      <c r="E27" t="s">
        <v>294</v>
      </c>
      <c r="F27" t="s">
        <v>225</v>
      </c>
      <c r="G27" t="s">
        <v>226</v>
      </c>
      <c r="H27" t="s">
        <v>226</v>
      </c>
      <c r="I27" t="s">
        <v>226</v>
      </c>
      <c r="J27" t="s">
        <v>227</v>
      </c>
      <c r="K27" t="s">
        <v>228</v>
      </c>
      <c r="L27" t="s">
        <v>228</v>
      </c>
      <c r="M27" t="s">
        <v>228</v>
      </c>
      <c r="N27" t="s">
        <v>228</v>
      </c>
      <c r="O27" t="s">
        <v>229</v>
      </c>
      <c r="P27">
        <v>2</v>
      </c>
      <c r="Q27" t="s">
        <v>230</v>
      </c>
      <c r="R27" t="s">
        <v>231</v>
      </c>
      <c r="S27" t="s">
        <v>232</v>
      </c>
      <c r="T27">
        <v>0</v>
      </c>
      <c r="U27" t="s">
        <v>230</v>
      </c>
      <c r="V27" t="s">
        <v>233</v>
      </c>
      <c r="W27" t="s">
        <v>223</v>
      </c>
      <c r="X27" t="s">
        <v>234</v>
      </c>
      <c r="Y27" t="s">
        <v>295</v>
      </c>
      <c r="Z27" t="s">
        <v>232</v>
      </c>
      <c r="AA27" t="s">
        <v>236</v>
      </c>
      <c r="AB27" t="s">
        <v>237</v>
      </c>
      <c r="AC27" t="s">
        <v>236</v>
      </c>
      <c r="AD27" t="s">
        <v>238</v>
      </c>
      <c r="AE27" t="s">
        <v>239</v>
      </c>
      <c r="AF27" t="s">
        <v>239</v>
      </c>
      <c r="AG27" t="s">
        <v>239</v>
      </c>
      <c r="AH27" t="s">
        <v>239</v>
      </c>
      <c r="AI27" t="s">
        <v>240</v>
      </c>
      <c r="AJ27" t="s">
        <v>241</v>
      </c>
      <c r="AK27" t="s">
        <v>242</v>
      </c>
      <c r="AL27" t="s">
        <v>234</v>
      </c>
      <c r="AM27" t="s">
        <v>243</v>
      </c>
      <c r="AN27" t="s">
        <v>244</v>
      </c>
      <c r="AO27" t="s">
        <v>245</v>
      </c>
      <c r="BH27">
        <v>32.405311050000002</v>
      </c>
      <c r="BI27">
        <v>33.017520920000003</v>
      </c>
      <c r="BJ27">
        <v>33.629730799999997</v>
      </c>
      <c r="BK27">
        <v>34.241940669999998</v>
      </c>
      <c r="BL27">
        <v>34.854150539999999</v>
      </c>
      <c r="BM27">
        <v>35.133871839999998</v>
      </c>
      <c r="BN27">
        <v>35.410525700000001</v>
      </c>
      <c r="BO27">
        <v>35.687179559999997</v>
      </c>
      <c r="BP27">
        <v>35.96383342</v>
      </c>
      <c r="BQ27">
        <v>36.240487280000004</v>
      </c>
      <c r="BR27">
        <v>36.51714115</v>
      </c>
      <c r="BS27">
        <v>37.135498069999997</v>
      </c>
      <c r="BT27">
        <v>37.753854990000001</v>
      </c>
      <c r="BU27">
        <v>38.372211919999998</v>
      </c>
      <c r="BV27">
        <v>38.638265369999999</v>
      </c>
      <c r="BW27">
        <v>38.904318830000001</v>
      </c>
      <c r="BX27">
        <v>39.170372290000003</v>
      </c>
      <c r="BY27">
        <v>39.436425739999997</v>
      </c>
      <c r="BZ27">
        <v>39.702479199999999</v>
      </c>
      <c r="CA27">
        <v>39.968532660000001</v>
      </c>
      <c r="CB27">
        <v>40.234586110000002</v>
      </c>
      <c r="CC27">
        <v>40.28132806</v>
      </c>
      <c r="CD27">
        <v>40.328069999999997</v>
      </c>
      <c r="CE27">
        <v>40.374811940000001</v>
      </c>
      <c r="CF27">
        <v>40.421553879999998</v>
      </c>
      <c r="CG27">
        <v>40.468295820000002</v>
      </c>
      <c r="CH27">
        <v>41.483472339999999</v>
      </c>
      <c r="CI27">
        <v>41.53459634</v>
      </c>
      <c r="CJ27">
        <v>42.07505003</v>
      </c>
      <c r="CK27">
        <v>42.593593429999999</v>
      </c>
      <c r="CL27">
        <v>42.858707879999997</v>
      </c>
      <c r="CM27">
        <v>43.455397959999999</v>
      </c>
      <c r="CN27">
        <v>43.73292824</v>
      </c>
      <c r="CO27">
        <v>44.02506537</v>
      </c>
      <c r="CP27">
        <v>43.338543110000003</v>
      </c>
      <c r="CQ27">
        <v>43.221688260000001</v>
      </c>
      <c r="CR27">
        <v>44.114167190000003</v>
      </c>
      <c r="CS27">
        <v>43.544499790000003</v>
      </c>
      <c r="CT27">
        <v>43.302756309999999</v>
      </c>
      <c r="CU27">
        <v>43.212193800000001</v>
      </c>
      <c r="CV27">
        <v>41.518528799999999</v>
      </c>
      <c r="CW27">
        <v>41.518528799999999</v>
      </c>
      <c r="CX27">
        <v>41.518528799999999</v>
      </c>
    </row>
    <row r="28" spans="1:102" x14ac:dyDescent="0.3">
      <c r="A28" t="s">
        <v>220</v>
      </c>
      <c r="B28" t="s">
        <v>221</v>
      </c>
      <c r="C28" t="s">
        <v>222</v>
      </c>
      <c r="D28" t="s">
        <v>223</v>
      </c>
      <c r="E28" t="s">
        <v>296</v>
      </c>
      <c r="F28" t="s">
        <v>225</v>
      </c>
      <c r="G28" t="s">
        <v>226</v>
      </c>
      <c r="H28" t="s">
        <v>226</v>
      </c>
      <c r="I28" t="s">
        <v>226</v>
      </c>
      <c r="J28" t="s">
        <v>227</v>
      </c>
      <c r="K28" t="s">
        <v>228</v>
      </c>
      <c r="L28" t="s">
        <v>228</v>
      </c>
      <c r="M28" t="s">
        <v>228</v>
      </c>
      <c r="N28" t="s">
        <v>228</v>
      </c>
      <c r="O28" t="s">
        <v>229</v>
      </c>
      <c r="P28">
        <v>2</v>
      </c>
      <c r="Q28" t="s">
        <v>230</v>
      </c>
      <c r="R28" t="s">
        <v>231</v>
      </c>
      <c r="S28" t="s">
        <v>232</v>
      </c>
      <c r="T28">
        <v>0</v>
      </c>
      <c r="U28" t="s">
        <v>230</v>
      </c>
      <c r="V28" t="s">
        <v>233</v>
      </c>
      <c r="W28" t="s">
        <v>223</v>
      </c>
      <c r="X28" t="s">
        <v>234</v>
      </c>
      <c r="Y28" t="s">
        <v>297</v>
      </c>
      <c r="Z28" t="s">
        <v>232</v>
      </c>
      <c r="AA28" t="s">
        <v>236</v>
      </c>
      <c r="AB28" t="s">
        <v>237</v>
      </c>
      <c r="AC28" t="s">
        <v>236</v>
      </c>
      <c r="AD28" t="s">
        <v>238</v>
      </c>
      <c r="AE28" t="s">
        <v>239</v>
      </c>
      <c r="AF28" t="s">
        <v>239</v>
      </c>
      <c r="AG28" t="s">
        <v>239</v>
      </c>
      <c r="AH28" t="s">
        <v>239</v>
      </c>
      <c r="AI28" t="s">
        <v>240</v>
      </c>
      <c r="AJ28" t="s">
        <v>241</v>
      </c>
      <c r="AK28" t="s">
        <v>242</v>
      </c>
      <c r="AL28" t="s">
        <v>234</v>
      </c>
      <c r="AM28" t="s">
        <v>243</v>
      </c>
      <c r="AN28" t="s">
        <v>244</v>
      </c>
      <c r="AO28" t="s">
        <v>245</v>
      </c>
      <c r="BW28">
        <v>17.928780320000001</v>
      </c>
      <c r="BX28">
        <v>17.94620991</v>
      </c>
      <c r="BY28">
        <v>17.963639489999998</v>
      </c>
      <c r="BZ28">
        <v>17.981069080000001</v>
      </c>
      <c r="CA28">
        <v>17.998498659999999</v>
      </c>
      <c r="CB28">
        <v>18.015928250000002</v>
      </c>
      <c r="CC28">
        <v>18.031981609999999</v>
      </c>
      <c r="CD28">
        <v>18.049411190000001</v>
      </c>
      <c r="CE28">
        <v>18.06684078</v>
      </c>
      <c r="CF28">
        <v>18.084270369999999</v>
      </c>
      <c r="CG28">
        <v>18.10169995</v>
      </c>
      <c r="CH28">
        <v>18.119129539999999</v>
      </c>
      <c r="CI28">
        <v>16.983657319999999</v>
      </c>
      <c r="CJ28">
        <v>19.741441600000002</v>
      </c>
      <c r="CK28">
        <v>20.83743334</v>
      </c>
      <c r="CL28">
        <v>20.708584210000001</v>
      </c>
      <c r="CM28">
        <v>21.78622627</v>
      </c>
      <c r="CN28">
        <v>22.86386834</v>
      </c>
      <c r="CO28">
        <v>23.939446069999999</v>
      </c>
      <c r="CP28">
        <v>23.939446069999999</v>
      </c>
      <c r="CQ28">
        <v>23.939446069999999</v>
      </c>
      <c r="CR28">
        <v>23.939446069999999</v>
      </c>
      <c r="CS28">
        <v>23.939446069999999</v>
      </c>
      <c r="CT28">
        <v>23.939446069999999</v>
      </c>
      <c r="CU28">
        <v>23.939446069999999</v>
      </c>
      <c r="CV28">
        <v>23.939446069999999</v>
      </c>
      <c r="CW28">
        <v>23.939446069999999</v>
      </c>
      <c r="CX28">
        <v>23.939446069999999</v>
      </c>
    </row>
    <row r="29" spans="1:102" x14ac:dyDescent="0.3">
      <c r="A29" t="s">
        <v>220</v>
      </c>
      <c r="B29" t="s">
        <v>221</v>
      </c>
      <c r="C29" t="s">
        <v>222</v>
      </c>
      <c r="D29" t="s">
        <v>223</v>
      </c>
      <c r="E29" t="s">
        <v>298</v>
      </c>
      <c r="F29" t="s">
        <v>225</v>
      </c>
      <c r="G29" t="s">
        <v>226</v>
      </c>
      <c r="H29" t="s">
        <v>226</v>
      </c>
      <c r="I29" t="s">
        <v>226</v>
      </c>
      <c r="J29" t="s">
        <v>227</v>
      </c>
      <c r="K29" t="s">
        <v>228</v>
      </c>
      <c r="L29" t="s">
        <v>228</v>
      </c>
      <c r="M29" t="s">
        <v>228</v>
      </c>
      <c r="N29" t="s">
        <v>228</v>
      </c>
      <c r="O29" t="s">
        <v>229</v>
      </c>
      <c r="P29">
        <v>2</v>
      </c>
      <c r="Q29" t="s">
        <v>230</v>
      </c>
      <c r="R29" t="s">
        <v>231</v>
      </c>
      <c r="S29" t="s">
        <v>232</v>
      </c>
      <c r="T29">
        <v>0</v>
      </c>
      <c r="U29" t="s">
        <v>230</v>
      </c>
      <c r="V29" t="s">
        <v>233</v>
      </c>
      <c r="W29" t="s">
        <v>223</v>
      </c>
      <c r="X29" t="s">
        <v>234</v>
      </c>
      <c r="Y29" t="s">
        <v>299</v>
      </c>
      <c r="Z29" t="s">
        <v>232</v>
      </c>
      <c r="AA29" t="s">
        <v>236</v>
      </c>
      <c r="AB29" t="s">
        <v>237</v>
      </c>
      <c r="AC29" t="s">
        <v>236</v>
      </c>
      <c r="AD29" t="s">
        <v>238</v>
      </c>
      <c r="AE29" t="s">
        <v>239</v>
      </c>
      <c r="AF29" t="s">
        <v>239</v>
      </c>
      <c r="AG29" t="s">
        <v>239</v>
      </c>
      <c r="AH29" t="s">
        <v>239</v>
      </c>
      <c r="AI29" t="s">
        <v>240</v>
      </c>
      <c r="AJ29" t="s">
        <v>241</v>
      </c>
      <c r="AK29" t="s">
        <v>242</v>
      </c>
      <c r="AL29" t="s">
        <v>234</v>
      </c>
      <c r="AM29" t="s">
        <v>243</v>
      </c>
      <c r="AN29" t="s">
        <v>244</v>
      </c>
      <c r="AO29" t="s">
        <v>245</v>
      </c>
      <c r="BO29">
        <v>0.21660649800000001</v>
      </c>
      <c r="BP29">
        <v>0.233351847</v>
      </c>
      <c r="BQ29">
        <v>0.25009719499999999</v>
      </c>
      <c r="BR29">
        <v>0.26684254400000001</v>
      </c>
      <c r="BS29">
        <v>0.28358789200000001</v>
      </c>
      <c r="BT29">
        <v>0.30033324099999997</v>
      </c>
      <c r="BU29">
        <v>0.31707858900000002</v>
      </c>
      <c r="BV29">
        <v>0.33382393799999999</v>
      </c>
      <c r="BW29">
        <v>0.35056928599999998</v>
      </c>
      <c r="BX29">
        <v>0.367314635</v>
      </c>
      <c r="BY29">
        <v>0.38405998299999999</v>
      </c>
      <c r="BZ29">
        <v>0.40080533200000001</v>
      </c>
      <c r="CA29">
        <v>0.41755068000000001</v>
      </c>
      <c r="CB29">
        <v>0.43429602899999997</v>
      </c>
      <c r="CC29">
        <v>0.44787003600000003</v>
      </c>
      <c r="CD29">
        <v>0.46144404300000003</v>
      </c>
      <c r="CE29">
        <v>0.475018051</v>
      </c>
      <c r="CF29">
        <v>0.488592058</v>
      </c>
      <c r="CG29">
        <v>0.50216606500000005</v>
      </c>
      <c r="CH29">
        <v>0.50216606500000005</v>
      </c>
      <c r="CI29">
        <v>0.50216606500000005</v>
      </c>
      <c r="CJ29">
        <v>0.50216606500000005</v>
      </c>
      <c r="CK29">
        <v>0.50216606500000005</v>
      </c>
      <c r="CL29">
        <v>0.50216606500000005</v>
      </c>
      <c r="CM29">
        <v>0.50216606500000005</v>
      </c>
      <c r="CN29">
        <v>0.50216606500000005</v>
      </c>
      <c r="CO29">
        <v>0.50216606500000005</v>
      </c>
      <c r="CP29">
        <v>0.50216606500000005</v>
      </c>
      <c r="CQ29">
        <v>0.50216606500000005</v>
      </c>
      <c r="CR29">
        <v>0.50216606500000005</v>
      </c>
      <c r="CS29">
        <v>0.50216606500000005</v>
      </c>
      <c r="CT29">
        <v>0.50216606500000005</v>
      </c>
      <c r="CU29">
        <v>0.50216606500000005</v>
      </c>
      <c r="CV29">
        <v>0.50216606500000005</v>
      </c>
      <c r="CW29">
        <v>0.50216606500000005</v>
      </c>
      <c r="CX29">
        <v>0.50216606500000005</v>
      </c>
    </row>
    <row r="30" spans="1:102" x14ac:dyDescent="0.3">
      <c r="A30" t="s">
        <v>220</v>
      </c>
      <c r="B30" t="s">
        <v>221</v>
      </c>
      <c r="C30" t="s">
        <v>222</v>
      </c>
      <c r="D30" t="s">
        <v>223</v>
      </c>
      <c r="E30" t="s">
        <v>300</v>
      </c>
      <c r="F30" t="s">
        <v>225</v>
      </c>
      <c r="G30" t="s">
        <v>226</v>
      </c>
      <c r="H30" t="s">
        <v>226</v>
      </c>
      <c r="I30" t="s">
        <v>226</v>
      </c>
      <c r="J30" t="s">
        <v>227</v>
      </c>
      <c r="K30" t="s">
        <v>228</v>
      </c>
      <c r="L30" t="s">
        <v>228</v>
      </c>
      <c r="M30" t="s">
        <v>228</v>
      </c>
      <c r="N30" t="s">
        <v>228</v>
      </c>
      <c r="O30" t="s">
        <v>229</v>
      </c>
      <c r="P30">
        <v>2</v>
      </c>
      <c r="Q30" t="s">
        <v>230</v>
      </c>
      <c r="R30" t="s">
        <v>231</v>
      </c>
      <c r="S30" t="s">
        <v>232</v>
      </c>
      <c r="T30">
        <v>0</v>
      </c>
      <c r="U30" t="s">
        <v>230</v>
      </c>
      <c r="V30" t="s">
        <v>233</v>
      </c>
      <c r="W30" t="s">
        <v>223</v>
      </c>
      <c r="X30" t="s">
        <v>234</v>
      </c>
      <c r="Y30" t="s">
        <v>301</v>
      </c>
      <c r="Z30" t="s">
        <v>232</v>
      </c>
      <c r="AA30" t="s">
        <v>236</v>
      </c>
      <c r="AB30" t="s">
        <v>237</v>
      </c>
      <c r="AC30" t="s">
        <v>236</v>
      </c>
      <c r="AD30" t="s">
        <v>238</v>
      </c>
      <c r="AE30" t="s">
        <v>239</v>
      </c>
      <c r="AF30" t="s">
        <v>239</v>
      </c>
      <c r="AG30" t="s">
        <v>239</v>
      </c>
      <c r="AH30" t="s">
        <v>239</v>
      </c>
      <c r="AI30" t="s">
        <v>240</v>
      </c>
      <c r="AJ30" t="s">
        <v>241</v>
      </c>
      <c r="AK30" t="s">
        <v>242</v>
      </c>
      <c r="AL30" t="s">
        <v>234</v>
      </c>
      <c r="AM30" t="s">
        <v>243</v>
      </c>
      <c r="AN30" t="s">
        <v>244</v>
      </c>
      <c r="AO30" t="s">
        <v>245</v>
      </c>
      <c r="BC30">
        <v>39.354584809999999</v>
      </c>
      <c r="BD30">
        <v>40.570981580000002</v>
      </c>
      <c r="BE30">
        <v>41.787378349999997</v>
      </c>
      <c r="BF30">
        <v>43.003775130000001</v>
      </c>
      <c r="BG30">
        <v>44.220171899999997</v>
      </c>
      <c r="BH30">
        <v>45.43656867</v>
      </c>
      <c r="BI30">
        <v>46.653839990000002</v>
      </c>
      <c r="BJ30">
        <v>47.87038252</v>
      </c>
      <c r="BK30">
        <v>49.086925049999998</v>
      </c>
      <c r="BL30">
        <v>50.303467580000003</v>
      </c>
      <c r="BM30">
        <v>51.520010110000001</v>
      </c>
      <c r="BN30">
        <v>52.736552639999999</v>
      </c>
      <c r="BO30">
        <v>53.953095169999997</v>
      </c>
      <c r="BP30">
        <v>55.169637690000002</v>
      </c>
      <c r="BQ30">
        <v>56.38618022</v>
      </c>
      <c r="BR30">
        <v>57.602722749999998</v>
      </c>
      <c r="BS30">
        <v>58.816933159999998</v>
      </c>
      <c r="BT30">
        <v>60.033329930000001</v>
      </c>
      <c r="BU30">
        <v>61.249726699999997</v>
      </c>
      <c r="BV30">
        <v>66.917224189999999</v>
      </c>
      <c r="BW30">
        <v>72.584721680000001</v>
      </c>
      <c r="BX30">
        <v>73.546722639999999</v>
      </c>
      <c r="BY30">
        <v>74.508723599999996</v>
      </c>
      <c r="BZ30">
        <v>75.470724559999994</v>
      </c>
      <c r="CA30">
        <v>76.432725520000005</v>
      </c>
      <c r="CB30">
        <v>77.394726489999996</v>
      </c>
      <c r="CC30">
        <v>78.401110669999994</v>
      </c>
      <c r="CD30">
        <v>79.40749486</v>
      </c>
      <c r="CE30">
        <v>80.413879050000006</v>
      </c>
      <c r="CF30">
        <v>81.289081289999999</v>
      </c>
      <c r="CG30">
        <v>81.289081289999999</v>
      </c>
      <c r="CH30">
        <v>81.289081289999999</v>
      </c>
      <c r="CI30">
        <v>81.289081289999999</v>
      </c>
      <c r="CJ30">
        <v>81.289081289999999</v>
      </c>
      <c r="CK30">
        <v>81.289081289999999</v>
      </c>
      <c r="CL30">
        <v>81.289081289999999</v>
      </c>
      <c r="CM30">
        <v>81.289081289999999</v>
      </c>
      <c r="CN30">
        <v>81.289081289999999</v>
      </c>
      <c r="CO30">
        <v>81.289081289999999</v>
      </c>
      <c r="CP30">
        <v>81.289081289999999</v>
      </c>
      <c r="CQ30">
        <v>81.289081289999999</v>
      </c>
      <c r="CR30">
        <v>81.289081289999999</v>
      </c>
      <c r="CS30">
        <v>81.289081289999999</v>
      </c>
      <c r="CT30">
        <v>81.289081289999999</v>
      </c>
      <c r="CU30">
        <v>81.289081289999999</v>
      </c>
      <c r="CV30">
        <v>81.289081289999999</v>
      </c>
      <c r="CW30">
        <v>81.289081289999999</v>
      </c>
      <c r="CX30">
        <v>81.289081289999999</v>
      </c>
    </row>
    <row r="31" spans="1:102" x14ac:dyDescent="0.3">
      <c r="A31" t="s">
        <v>220</v>
      </c>
      <c r="B31" t="s">
        <v>221</v>
      </c>
      <c r="C31" t="s">
        <v>222</v>
      </c>
      <c r="D31" t="s">
        <v>223</v>
      </c>
      <c r="E31" t="s">
        <v>302</v>
      </c>
      <c r="F31" t="s">
        <v>225</v>
      </c>
      <c r="G31" t="s">
        <v>226</v>
      </c>
      <c r="H31" t="s">
        <v>226</v>
      </c>
      <c r="I31" t="s">
        <v>226</v>
      </c>
      <c r="J31" t="s">
        <v>227</v>
      </c>
      <c r="K31" t="s">
        <v>228</v>
      </c>
      <c r="L31" t="s">
        <v>228</v>
      </c>
      <c r="M31" t="s">
        <v>228</v>
      </c>
      <c r="N31" t="s">
        <v>228</v>
      </c>
      <c r="O31" t="s">
        <v>229</v>
      </c>
      <c r="P31">
        <v>2</v>
      </c>
      <c r="Q31" t="s">
        <v>230</v>
      </c>
      <c r="R31" t="s">
        <v>231</v>
      </c>
      <c r="S31" t="s">
        <v>232</v>
      </c>
      <c r="T31">
        <v>0</v>
      </c>
      <c r="U31" t="s">
        <v>230</v>
      </c>
      <c r="V31" t="s">
        <v>233</v>
      </c>
      <c r="W31" t="s">
        <v>223</v>
      </c>
      <c r="X31" t="s">
        <v>234</v>
      </c>
      <c r="Y31" t="s">
        <v>303</v>
      </c>
      <c r="Z31" t="s">
        <v>232</v>
      </c>
      <c r="AA31" t="s">
        <v>236</v>
      </c>
      <c r="AB31" t="s">
        <v>237</v>
      </c>
      <c r="AC31" t="s">
        <v>236</v>
      </c>
      <c r="AD31" t="s">
        <v>238</v>
      </c>
      <c r="AE31" t="s">
        <v>239</v>
      </c>
      <c r="AF31" t="s">
        <v>239</v>
      </c>
      <c r="AG31" t="s">
        <v>239</v>
      </c>
      <c r="AH31" t="s">
        <v>239</v>
      </c>
      <c r="AI31" t="s">
        <v>240</v>
      </c>
      <c r="AJ31" t="s">
        <v>241</v>
      </c>
      <c r="AK31" t="s">
        <v>242</v>
      </c>
      <c r="AL31" t="s">
        <v>234</v>
      </c>
      <c r="AM31" t="s">
        <v>243</v>
      </c>
      <c r="AN31" t="s">
        <v>244</v>
      </c>
      <c r="AO31" t="s">
        <v>245</v>
      </c>
      <c r="BO31">
        <v>4.9329608939999998</v>
      </c>
      <c r="BP31">
        <v>4.9997717020000003</v>
      </c>
      <c r="BQ31">
        <v>5.0665825099999999</v>
      </c>
      <c r="BR31">
        <v>5.1333933180000004</v>
      </c>
      <c r="BS31">
        <v>5.200204126</v>
      </c>
      <c r="BT31">
        <v>5.2670149329999996</v>
      </c>
      <c r="BU31">
        <v>5.3333664589999996</v>
      </c>
      <c r="BV31">
        <v>5.4001007200000002</v>
      </c>
      <c r="BW31">
        <v>5.4674473570000002</v>
      </c>
      <c r="BX31">
        <v>5.5342581649999998</v>
      </c>
      <c r="BY31">
        <v>5.600303502</v>
      </c>
      <c r="BZ31">
        <v>5.6670377629999997</v>
      </c>
      <c r="CA31">
        <v>5.7337720240000003</v>
      </c>
      <c r="CB31">
        <v>5.801501397</v>
      </c>
      <c r="CC31">
        <v>5.801501397</v>
      </c>
      <c r="CD31">
        <v>5.801501397</v>
      </c>
      <c r="CE31">
        <v>5.801501397</v>
      </c>
      <c r="CF31">
        <v>5.801501397</v>
      </c>
      <c r="CG31">
        <v>5.801501397</v>
      </c>
      <c r="CH31">
        <v>5.801501397</v>
      </c>
      <c r="CI31">
        <v>5.801501397</v>
      </c>
      <c r="CJ31">
        <v>5.801501397</v>
      </c>
      <c r="CK31">
        <v>5.801501397</v>
      </c>
      <c r="CL31">
        <v>5.801501397</v>
      </c>
      <c r="CM31">
        <v>5.801501397</v>
      </c>
      <c r="CN31">
        <v>5.801501397</v>
      </c>
      <c r="CO31">
        <v>5.801501397</v>
      </c>
      <c r="CP31">
        <v>5.801501397</v>
      </c>
      <c r="CQ31">
        <v>5.801501397</v>
      </c>
      <c r="CR31">
        <v>5.801501397</v>
      </c>
      <c r="CS31">
        <v>5.801501397</v>
      </c>
      <c r="CT31">
        <v>5.801501397</v>
      </c>
      <c r="CU31">
        <v>5.801501397</v>
      </c>
      <c r="CV31">
        <v>5.801501397</v>
      </c>
      <c r="CW31">
        <v>5.801501397</v>
      </c>
      <c r="CX31">
        <v>5.801501397</v>
      </c>
    </row>
    <row r="32" spans="1:102" x14ac:dyDescent="0.3">
      <c r="A32" t="s">
        <v>220</v>
      </c>
      <c r="B32" t="s">
        <v>221</v>
      </c>
      <c r="C32" t="s">
        <v>222</v>
      </c>
      <c r="D32" t="s">
        <v>223</v>
      </c>
      <c r="E32" t="s">
        <v>304</v>
      </c>
      <c r="F32" t="s">
        <v>225</v>
      </c>
      <c r="G32" t="s">
        <v>226</v>
      </c>
      <c r="H32" t="s">
        <v>226</v>
      </c>
      <c r="I32" t="s">
        <v>226</v>
      </c>
      <c r="J32" t="s">
        <v>227</v>
      </c>
      <c r="K32" t="s">
        <v>228</v>
      </c>
      <c r="L32" t="s">
        <v>228</v>
      </c>
      <c r="M32" t="s">
        <v>228</v>
      </c>
      <c r="N32" t="s">
        <v>228</v>
      </c>
      <c r="O32" t="s">
        <v>229</v>
      </c>
      <c r="P32">
        <v>2</v>
      </c>
      <c r="Q32" t="s">
        <v>230</v>
      </c>
      <c r="R32" t="s">
        <v>231</v>
      </c>
      <c r="S32" t="s">
        <v>232</v>
      </c>
      <c r="T32">
        <v>0</v>
      </c>
      <c r="U32" t="s">
        <v>230</v>
      </c>
      <c r="V32" t="s">
        <v>233</v>
      </c>
      <c r="W32" t="s">
        <v>223</v>
      </c>
      <c r="X32" t="s">
        <v>234</v>
      </c>
      <c r="Y32" t="s">
        <v>305</v>
      </c>
      <c r="Z32" t="s">
        <v>232</v>
      </c>
      <c r="AA32" t="s">
        <v>236</v>
      </c>
      <c r="AB32" t="s">
        <v>237</v>
      </c>
      <c r="AC32" t="s">
        <v>236</v>
      </c>
      <c r="AD32" t="s">
        <v>238</v>
      </c>
      <c r="AE32" t="s">
        <v>239</v>
      </c>
      <c r="AF32" t="s">
        <v>239</v>
      </c>
      <c r="AG32" t="s">
        <v>239</v>
      </c>
      <c r="AH32" t="s">
        <v>239</v>
      </c>
      <c r="AI32" t="s">
        <v>240</v>
      </c>
      <c r="AJ32" t="s">
        <v>241</v>
      </c>
      <c r="AK32" t="s">
        <v>242</v>
      </c>
      <c r="AL32" t="s">
        <v>234</v>
      </c>
      <c r="AM32" t="s">
        <v>243</v>
      </c>
      <c r="AN32" t="s">
        <v>244</v>
      </c>
      <c r="AO32" t="s">
        <v>245</v>
      </c>
      <c r="BH32">
        <v>39.603960399999998</v>
      </c>
      <c r="BI32">
        <v>44.356435640000001</v>
      </c>
      <c r="BJ32">
        <v>49.108910889999997</v>
      </c>
      <c r="BK32">
        <v>53.86138614</v>
      </c>
      <c r="BL32">
        <v>58.613861389999997</v>
      </c>
      <c r="BM32">
        <v>53.267326730000001</v>
      </c>
      <c r="BN32">
        <v>52.554455449999999</v>
      </c>
      <c r="BO32">
        <v>51.841584159999996</v>
      </c>
      <c r="BP32">
        <v>51.128712870000001</v>
      </c>
      <c r="BQ32">
        <v>50.415841579999999</v>
      </c>
      <c r="BR32">
        <v>49.702970299999997</v>
      </c>
      <c r="BS32">
        <v>48.990099010000002</v>
      </c>
      <c r="BT32">
        <v>48.277227719999999</v>
      </c>
      <c r="BU32">
        <v>47.564356439999997</v>
      </c>
      <c r="BV32">
        <v>46.851485150000002</v>
      </c>
      <c r="BW32">
        <v>46.13861386</v>
      </c>
      <c r="BX32">
        <v>49.165487980000002</v>
      </c>
      <c r="BY32">
        <v>52.192362090000003</v>
      </c>
      <c r="BZ32">
        <v>55.219236209999998</v>
      </c>
      <c r="CA32">
        <v>58.24611033</v>
      </c>
      <c r="CB32">
        <v>61.272984440000002</v>
      </c>
      <c r="CC32">
        <v>64.299858560000004</v>
      </c>
      <c r="CD32">
        <v>67.326732669999998</v>
      </c>
      <c r="CE32">
        <v>68.435643560000003</v>
      </c>
      <c r="CF32">
        <v>68.514851489999998</v>
      </c>
      <c r="CG32">
        <v>70.653465350000005</v>
      </c>
      <c r="CH32">
        <v>71.762376239999995</v>
      </c>
      <c r="CI32">
        <v>72.871287129999999</v>
      </c>
      <c r="CJ32">
        <v>70.891089109999996</v>
      </c>
      <c r="CK32">
        <v>62.77227723</v>
      </c>
      <c r="CL32">
        <v>80.990099009999994</v>
      </c>
      <c r="CM32">
        <v>75.445544549999994</v>
      </c>
      <c r="CN32">
        <v>79.40594059</v>
      </c>
      <c r="CO32">
        <v>91.287128710000005</v>
      </c>
      <c r="CP32">
        <v>89.108910890000004</v>
      </c>
      <c r="CQ32">
        <v>82.77227723</v>
      </c>
      <c r="CR32">
        <v>82.970297029999998</v>
      </c>
      <c r="CS32">
        <v>91.089108909999993</v>
      </c>
      <c r="CT32">
        <v>84.623002970000002</v>
      </c>
      <c r="CU32">
        <v>80.660965149999996</v>
      </c>
      <c r="CV32">
        <v>81.777156439999999</v>
      </c>
      <c r="CW32">
        <v>78.467213860000001</v>
      </c>
      <c r="CX32">
        <v>72.600007919999996</v>
      </c>
    </row>
    <row r="33" spans="1:102" x14ac:dyDescent="0.3">
      <c r="A33" t="s">
        <v>220</v>
      </c>
      <c r="B33" t="s">
        <v>221</v>
      </c>
      <c r="C33" t="s">
        <v>222</v>
      </c>
      <c r="D33" t="s">
        <v>223</v>
      </c>
      <c r="E33" t="s">
        <v>306</v>
      </c>
      <c r="F33" t="s">
        <v>225</v>
      </c>
      <c r="G33" t="s">
        <v>226</v>
      </c>
      <c r="H33" t="s">
        <v>226</v>
      </c>
      <c r="I33" t="s">
        <v>226</v>
      </c>
      <c r="J33" t="s">
        <v>227</v>
      </c>
      <c r="K33" t="s">
        <v>228</v>
      </c>
      <c r="L33" t="s">
        <v>228</v>
      </c>
      <c r="M33" t="s">
        <v>228</v>
      </c>
      <c r="N33" t="s">
        <v>228</v>
      </c>
      <c r="O33" t="s">
        <v>229</v>
      </c>
      <c r="P33">
        <v>2</v>
      </c>
      <c r="Q33" t="s">
        <v>230</v>
      </c>
      <c r="R33" t="s">
        <v>231</v>
      </c>
      <c r="S33" t="s">
        <v>232</v>
      </c>
      <c r="T33">
        <v>0</v>
      </c>
      <c r="U33" t="s">
        <v>230</v>
      </c>
      <c r="V33" t="s">
        <v>233</v>
      </c>
      <c r="W33" t="s">
        <v>223</v>
      </c>
      <c r="X33" t="s">
        <v>234</v>
      </c>
      <c r="Y33" t="s">
        <v>307</v>
      </c>
      <c r="Z33" t="s">
        <v>232</v>
      </c>
      <c r="AA33" t="s">
        <v>236</v>
      </c>
      <c r="AB33" t="s">
        <v>237</v>
      </c>
      <c r="AC33" t="s">
        <v>236</v>
      </c>
      <c r="AD33" t="s">
        <v>238</v>
      </c>
      <c r="AE33" t="s">
        <v>239</v>
      </c>
      <c r="AF33" t="s">
        <v>239</v>
      </c>
      <c r="AG33" t="s">
        <v>239</v>
      </c>
      <c r="AH33" t="s">
        <v>239</v>
      </c>
      <c r="AI33" t="s">
        <v>240</v>
      </c>
      <c r="AJ33" t="s">
        <v>241</v>
      </c>
      <c r="AK33" t="s">
        <v>242</v>
      </c>
      <c r="AL33" t="s">
        <v>234</v>
      </c>
      <c r="AM33" t="s">
        <v>243</v>
      </c>
      <c r="AN33" t="s">
        <v>244</v>
      </c>
      <c r="AO33" t="s">
        <v>245</v>
      </c>
      <c r="BR33">
        <v>9.9141389889999996</v>
      </c>
      <c r="BS33">
        <v>10.43359611</v>
      </c>
      <c r="BT33">
        <v>10.953053219999999</v>
      </c>
      <c r="BU33">
        <v>11.472510339999999</v>
      </c>
      <c r="BV33">
        <v>11.991967450000001</v>
      </c>
      <c r="BW33">
        <v>12.511424570000001</v>
      </c>
      <c r="BX33">
        <v>13.030881689999999</v>
      </c>
      <c r="BY33">
        <v>13.5503388</v>
      </c>
      <c r="BZ33">
        <v>14.069795920000001</v>
      </c>
      <c r="CA33">
        <v>14.58925303</v>
      </c>
      <c r="CB33">
        <v>15.10871015</v>
      </c>
      <c r="CC33">
        <v>16.020449849999999</v>
      </c>
      <c r="CD33">
        <v>16.93218954</v>
      </c>
      <c r="CE33">
        <v>17.843929240000001</v>
      </c>
      <c r="CF33">
        <v>18.755668929999999</v>
      </c>
      <c r="CG33">
        <v>19.667408630000001</v>
      </c>
      <c r="CH33">
        <v>20.579148329999999</v>
      </c>
      <c r="CI33">
        <v>21.49088802</v>
      </c>
      <c r="CJ33">
        <v>22.402627720000002</v>
      </c>
      <c r="CK33">
        <v>23.314367409999999</v>
      </c>
      <c r="CL33">
        <v>24.226107110000001</v>
      </c>
      <c r="CM33">
        <v>25.137846809999999</v>
      </c>
      <c r="CN33">
        <v>26.0495865</v>
      </c>
      <c r="CO33">
        <v>26.961326199999998</v>
      </c>
      <c r="CP33">
        <v>27.873065889999999</v>
      </c>
      <c r="CQ33">
        <v>28.784805590000001</v>
      </c>
      <c r="CR33">
        <v>29.696545279999999</v>
      </c>
      <c r="CS33">
        <v>29.696545279999999</v>
      </c>
      <c r="CT33">
        <v>29.696545279999999</v>
      </c>
      <c r="CU33">
        <v>29.696545279999999</v>
      </c>
      <c r="CV33">
        <v>29.696545279999999</v>
      </c>
      <c r="CW33">
        <v>29.696545279999999</v>
      </c>
      <c r="CX33">
        <v>29.696545279999999</v>
      </c>
    </row>
    <row r="34" spans="1:102" x14ac:dyDescent="0.3">
      <c r="A34" t="s">
        <v>220</v>
      </c>
      <c r="B34" t="s">
        <v>221</v>
      </c>
      <c r="C34" t="s">
        <v>222</v>
      </c>
      <c r="D34" t="s">
        <v>223</v>
      </c>
      <c r="E34" t="s">
        <v>308</v>
      </c>
      <c r="F34" t="s">
        <v>225</v>
      </c>
      <c r="G34" t="s">
        <v>226</v>
      </c>
      <c r="H34" t="s">
        <v>226</v>
      </c>
      <c r="I34" t="s">
        <v>226</v>
      </c>
      <c r="J34" t="s">
        <v>227</v>
      </c>
      <c r="K34" t="s">
        <v>228</v>
      </c>
      <c r="L34" t="s">
        <v>228</v>
      </c>
      <c r="M34" t="s">
        <v>228</v>
      </c>
      <c r="N34" t="s">
        <v>228</v>
      </c>
      <c r="O34" t="s">
        <v>229</v>
      </c>
      <c r="P34">
        <v>2</v>
      </c>
      <c r="Q34" t="s">
        <v>230</v>
      </c>
      <c r="R34" t="s">
        <v>231</v>
      </c>
      <c r="S34" t="s">
        <v>232</v>
      </c>
      <c r="T34">
        <v>0</v>
      </c>
      <c r="U34" t="s">
        <v>230</v>
      </c>
      <c r="V34" t="s">
        <v>233</v>
      </c>
      <c r="W34" t="s">
        <v>223</v>
      </c>
      <c r="X34" t="s">
        <v>234</v>
      </c>
      <c r="Y34" t="s">
        <v>309</v>
      </c>
      <c r="Z34" t="s">
        <v>232</v>
      </c>
      <c r="AA34" t="s">
        <v>236</v>
      </c>
      <c r="AB34" t="s">
        <v>237</v>
      </c>
      <c r="AC34" t="s">
        <v>236</v>
      </c>
      <c r="AD34" t="s">
        <v>238</v>
      </c>
      <c r="AE34" t="s">
        <v>239</v>
      </c>
      <c r="AF34" t="s">
        <v>239</v>
      </c>
      <c r="AG34" t="s">
        <v>239</v>
      </c>
      <c r="AH34" t="s">
        <v>239</v>
      </c>
      <c r="AI34" t="s">
        <v>240</v>
      </c>
      <c r="AJ34" t="s">
        <v>241</v>
      </c>
      <c r="AK34" t="s">
        <v>242</v>
      </c>
      <c r="AL34" t="s">
        <v>234</v>
      </c>
      <c r="AM34" t="s">
        <v>243</v>
      </c>
      <c r="AN34" t="s">
        <v>244</v>
      </c>
      <c r="AO34" t="s">
        <v>245</v>
      </c>
      <c r="BH34">
        <v>27.106714520000001</v>
      </c>
      <c r="BI34">
        <v>27.79287403</v>
      </c>
      <c r="BJ34">
        <v>28.479033529999999</v>
      </c>
      <c r="BK34">
        <v>29.165193030000001</v>
      </c>
      <c r="BL34">
        <v>29.85135253</v>
      </c>
      <c r="BM34">
        <v>30.537512039999999</v>
      </c>
      <c r="BN34">
        <v>31.02740086</v>
      </c>
      <c r="BO34">
        <v>31.517289680000001</v>
      </c>
      <c r="BP34">
        <v>32.007178500000002</v>
      </c>
      <c r="BQ34">
        <v>32.497067319999999</v>
      </c>
      <c r="BR34">
        <v>32.986956139999997</v>
      </c>
      <c r="BS34">
        <v>33.660159329999999</v>
      </c>
      <c r="BT34">
        <v>34.333362510000001</v>
      </c>
      <c r="BU34">
        <v>32.777203890000003</v>
      </c>
      <c r="BV34">
        <v>31.22104526</v>
      </c>
      <c r="BW34">
        <v>29.664886630000002</v>
      </c>
      <c r="BX34">
        <v>28.108727999999999</v>
      </c>
      <c r="BY34">
        <v>26.552569380000001</v>
      </c>
      <c r="BZ34">
        <v>27.243572910000001</v>
      </c>
      <c r="CA34">
        <v>27.934576440000001</v>
      </c>
      <c r="CB34">
        <v>28.62557997</v>
      </c>
      <c r="CC34">
        <v>28.474568850000001</v>
      </c>
      <c r="CD34">
        <v>28.323557730000001</v>
      </c>
      <c r="CE34">
        <v>28.642796700000002</v>
      </c>
      <c r="CF34">
        <v>28.962035660000002</v>
      </c>
      <c r="CG34">
        <v>29.281274620000001</v>
      </c>
      <c r="CH34">
        <v>28.20625055</v>
      </c>
      <c r="CI34">
        <v>27.131226470000001</v>
      </c>
      <c r="CJ34">
        <v>25.089731239999999</v>
      </c>
      <c r="CK34">
        <v>24.923662790000002</v>
      </c>
      <c r="CL34">
        <v>25.017946250000001</v>
      </c>
      <c r="CM34">
        <v>26.39061543</v>
      </c>
      <c r="CN34">
        <v>24.56710146</v>
      </c>
      <c r="CO34">
        <v>23.773964809999999</v>
      </c>
      <c r="CP34">
        <v>23.89652456</v>
      </c>
      <c r="CQ34">
        <v>24.61349908</v>
      </c>
      <c r="CR34">
        <v>23.142782109999999</v>
      </c>
      <c r="CS34">
        <v>23.589249760000001</v>
      </c>
      <c r="CT34">
        <v>23.569048680000002</v>
      </c>
      <c r="CU34">
        <v>22.946761909999999</v>
      </c>
      <c r="CV34">
        <v>21.59813707</v>
      </c>
      <c r="CW34">
        <v>21.384627160000001</v>
      </c>
      <c r="CX34">
        <v>21.384627160000001</v>
      </c>
    </row>
    <row r="35" spans="1:102" x14ac:dyDescent="0.3">
      <c r="A35" t="s">
        <v>220</v>
      </c>
      <c r="B35" t="s">
        <v>221</v>
      </c>
      <c r="C35" t="s">
        <v>222</v>
      </c>
      <c r="D35" t="s">
        <v>223</v>
      </c>
      <c r="E35" t="s">
        <v>310</v>
      </c>
      <c r="F35" t="s">
        <v>225</v>
      </c>
      <c r="G35" t="s">
        <v>226</v>
      </c>
      <c r="H35" t="s">
        <v>226</v>
      </c>
      <c r="I35" t="s">
        <v>226</v>
      </c>
      <c r="J35" t="s">
        <v>227</v>
      </c>
      <c r="K35" t="s">
        <v>228</v>
      </c>
      <c r="L35" t="s">
        <v>228</v>
      </c>
      <c r="M35" t="s">
        <v>228</v>
      </c>
      <c r="N35" t="s">
        <v>228</v>
      </c>
      <c r="O35" t="s">
        <v>229</v>
      </c>
      <c r="P35">
        <v>2</v>
      </c>
      <c r="Q35" t="s">
        <v>230</v>
      </c>
      <c r="R35" t="s">
        <v>231</v>
      </c>
      <c r="S35" t="s">
        <v>232</v>
      </c>
      <c r="T35">
        <v>0</v>
      </c>
      <c r="U35" t="s">
        <v>230</v>
      </c>
      <c r="V35" t="s">
        <v>233</v>
      </c>
      <c r="W35" t="s">
        <v>223</v>
      </c>
      <c r="X35" t="s">
        <v>234</v>
      </c>
      <c r="Y35" t="s">
        <v>311</v>
      </c>
      <c r="Z35" t="s">
        <v>232</v>
      </c>
      <c r="AA35" t="s">
        <v>236</v>
      </c>
      <c r="AB35" t="s">
        <v>237</v>
      </c>
      <c r="AC35" t="s">
        <v>236</v>
      </c>
      <c r="AD35" t="s">
        <v>238</v>
      </c>
      <c r="AE35" t="s">
        <v>239</v>
      </c>
      <c r="AF35" t="s">
        <v>239</v>
      </c>
      <c r="AG35" t="s">
        <v>239</v>
      </c>
      <c r="AH35" t="s">
        <v>239</v>
      </c>
      <c r="AI35" t="s">
        <v>240</v>
      </c>
      <c r="AJ35" t="s">
        <v>241</v>
      </c>
      <c r="AK35" t="s">
        <v>242</v>
      </c>
      <c r="AL35" t="s">
        <v>234</v>
      </c>
      <c r="AM35" t="s">
        <v>243</v>
      </c>
      <c r="AN35" t="s">
        <v>244</v>
      </c>
      <c r="AO35" t="s">
        <v>245</v>
      </c>
      <c r="BW35">
        <v>0.15801526699999999</v>
      </c>
      <c r="BX35">
        <v>0.165184202</v>
      </c>
      <c r="BY35">
        <v>0.17235313599999999</v>
      </c>
      <c r="BZ35">
        <v>0.17952207100000001</v>
      </c>
      <c r="CA35">
        <v>0.18669100599999999</v>
      </c>
      <c r="CB35">
        <v>0.19385994000000001</v>
      </c>
      <c r="CC35">
        <v>0.20046465299999999</v>
      </c>
      <c r="CD35">
        <v>0.207069366</v>
      </c>
      <c r="CE35">
        <v>0.21367407899999999</v>
      </c>
      <c r="CF35">
        <v>0.220278792</v>
      </c>
      <c r="CG35">
        <v>0.22688350500000001</v>
      </c>
      <c r="CH35">
        <v>0.22688350500000001</v>
      </c>
      <c r="CI35">
        <v>0.22688350500000001</v>
      </c>
      <c r="CJ35">
        <v>0.22688350500000001</v>
      </c>
      <c r="CK35">
        <v>0.22688350500000001</v>
      </c>
      <c r="CL35">
        <v>0.22688350500000001</v>
      </c>
      <c r="CM35">
        <v>0.22688350500000001</v>
      </c>
      <c r="CN35">
        <v>0.22688350500000001</v>
      </c>
      <c r="CO35">
        <v>0.22688350500000001</v>
      </c>
      <c r="CP35">
        <v>0.22688350500000001</v>
      </c>
      <c r="CQ35">
        <v>0.22688350500000001</v>
      </c>
      <c r="CR35">
        <v>0.22688350500000001</v>
      </c>
      <c r="CS35">
        <v>0.22688350500000001</v>
      </c>
      <c r="CT35">
        <v>0.22688350500000001</v>
      </c>
      <c r="CU35">
        <v>0.22688350500000001</v>
      </c>
      <c r="CV35">
        <v>0.22688350500000001</v>
      </c>
      <c r="CW35">
        <v>0.22688350500000001</v>
      </c>
      <c r="CX35">
        <v>0.22688350500000001</v>
      </c>
    </row>
    <row r="36" spans="1:102" x14ac:dyDescent="0.3">
      <c r="A36" t="s">
        <v>220</v>
      </c>
      <c r="B36" t="s">
        <v>221</v>
      </c>
      <c r="C36" t="s">
        <v>222</v>
      </c>
      <c r="D36" t="s">
        <v>223</v>
      </c>
      <c r="E36" t="s">
        <v>312</v>
      </c>
      <c r="F36" t="s">
        <v>225</v>
      </c>
      <c r="G36" t="s">
        <v>226</v>
      </c>
      <c r="H36" t="s">
        <v>226</v>
      </c>
      <c r="I36" t="s">
        <v>226</v>
      </c>
      <c r="J36" t="s">
        <v>227</v>
      </c>
      <c r="K36" t="s">
        <v>228</v>
      </c>
      <c r="L36" t="s">
        <v>228</v>
      </c>
      <c r="M36" t="s">
        <v>228</v>
      </c>
      <c r="N36" t="s">
        <v>228</v>
      </c>
      <c r="O36" t="s">
        <v>229</v>
      </c>
      <c r="P36">
        <v>2</v>
      </c>
      <c r="Q36" t="s">
        <v>230</v>
      </c>
      <c r="R36" t="s">
        <v>231</v>
      </c>
      <c r="S36" t="s">
        <v>232</v>
      </c>
      <c r="T36">
        <v>0</v>
      </c>
      <c r="U36" t="s">
        <v>230</v>
      </c>
      <c r="V36" t="s">
        <v>233</v>
      </c>
      <c r="W36" t="s">
        <v>223</v>
      </c>
      <c r="X36" t="s">
        <v>234</v>
      </c>
      <c r="Y36" t="s">
        <v>313</v>
      </c>
      <c r="Z36" t="s">
        <v>232</v>
      </c>
      <c r="AA36" t="s">
        <v>236</v>
      </c>
      <c r="AB36" t="s">
        <v>237</v>
      </c>
      <c r="AC36" t="s">
        <v>236</v>
      </c>
      <c r="AD36" t="s">
        <v>238</v>
      </c>
      <c r="AE36" t="s">
        <v>239</v>
      </c>
      <c r="AF36" t="s">
        <v>239</v>
      </c>
      <c r="AG36" t="s">
        <v>239</v>
      </c>
      <c r="AH36" t="s">
        <v>239</v>
      </c>
      <c r="AI36" t="s">
        <v>240</v>
      </c>
      <c r="AJ36" t="s">
        <v>241</v>
      </c>
      <c r="AK36" t="s">
        <v>242</v>
      </c>
      <c r="AL36" t="s">
        <v>234</v>
      </c>
      <c r="AM36" t="s">
        <v>243</v>
      </c>
      <c r="AN36" t="s">
        <v>244</v>
      </c>
      <c r="AO36" t="s">
        <v>245</v>
      </c>
      <c r="BC36">
        <v>21.18644068</v>
      </c>
      <c r="BD36">
        <v>21.787862220000001</v>
      </c>
      <c r="BE36">
        <v>22.389283760000001</v>
      </c>
      <c r="BF36">
        <v>22.990705299999998</v>
      </c>
      <c r="BG36">
        <v>23.59212685</v>
      </c>
      <c r="BH36">
        <v>24.19354839</v>
      </c>
      <c r="BI36">
        <v>24.82230727</v>
      </c>
      <c r="BJ36">
        <v>25.45106616</v>
      </c>
      <c r="BK36">
        <v>26.079825039999999</v>
      </c>
      <c r="BL36">
        <v>26.70858393</v>
      </c>
      <c r="BM36">
        <v>27.337342809999999</v>
      </c>
      <c r="BN36">
        <v>27.966101689999999</v>
      </c>
      <c r="BO36">
        <v>28.758884640000002</v>
      </c>
      <c r="BP36">
        <v>29.469655549999999</v>
      </c>
      <c r="BQ36">
        <v>30.18042646</v>
      </c>
      <c r="BR36">
        <v>30.481137230000002</v>
      </c>
      <c r="BS36">
        <v>29.79770366</v>
      </c>
      <c r="BT36">
        <v>29.114270090000002</v>
      </c>
      <c r="BU36">
        <v>28.43083652</v>
      </c>
      <c r="BV36">
        <v>27.513082870000002</v>
      </c>
      <c r="BW36">
        <v>26.59532922</v>
      </c>
      <c r="BX36">
        <v>25.677575569999998</v>
      </c>
      <c r="BY36">
        <v>24.75982192</v>
      </c>
      <c r="BZ36">
        <v>23.842068269999999</v>
      </c>
      <c r="CA36">
        <v>22.92431461</v>
      </c>
      <c r="CB36">
        <v>22.006560960000002</v>
      </c>
      <c r="CC36">
        <v>20.495196440000001</v>
      </c>
      <c r="CD36">
        <v>23.332422090000001</v>
      </c>
      <c r="CE36">
        <v>23.151995629999998</v>
      </c>
      <c r="CF36">
        <v>22.971569160000001</v>
      </c>
      <c r="CG36">
        <v>22.791142700000002</v>
      </c>
      <c r="CH36">
        <v>22.610716239999999</v>
      </c>
      <c r="CI36">
        <v>22.430289779999999</v>
      </c>
      <c r="CJ36">
        <v>21.938217609999999</v>
      </c>
      <c r="CK36">
        <v>25.191361400000002</v>
      </c>
      <c r="CL36">
        <v>27.460360850000001</v>
      </c>
      <c r="CM36">
        <v>30.18042646</v>
      </c>
      <c r="CN36">
        <v>34.896118100000002</v>
      </c>
      <c r="CO36">
        <v>28.266812470000001</v>
      </c>
      <c r="CP36">
        <v>29.66101695</v>
      </c>
      <c r="CQ36">
        <v>31.711317659999999</v>
      </c>
      <c r="CR36">
        <v>29.79770366</v>
      </c>
      <c r="CS36">
        <v>29.524330240000001</v>
      </c>
      <c r="CT36">
        <v>28.29414981</v>
      </c>
      <c r="CU36">
        <v>27.610716239999999</v>
      </c>
      <c r="CV36">
        <v>31.57463095</v>
      </c>
      <c r="CW36">
        <v>32.121377799999998</v>
      </c>
      <c r="CX36">
        <v>30.481137230000002</v>
      </c>
    </row>
    <row r="37" spans="1:102" x14ac:dyDescent="0.3">
      <c r="A37" t="s">
        <v>220</v>
      </c>
      <c r="B37" t="s">
        <v>221</v>
      </c>
      <c r="C37" t="s">
        <v>222</v>
      </c>
      <c r="D37" t="s">
        <v>223</v>
      </c>
      <c r="E37" t="s">
        <v>314</v>
      </c>
      <c r="F37" t="s">
        <v>225</v>
      </c>
      <c r="G37" t="s">
        <v>226</v>
      </c>
      <c r="H37" t="s">
        <v>226</v>
      </c>
      <c r="I37" t="s">
        <v>226</v>
      </c>
      <c r="J37" t="s">
        <v>227</v>
      </c>
      <c r="K37" t="s">
        <v>228</v>
      </c>
      <c r="L37" t="s">
        <v>228</v>
      </c>
      <c r="M37" t="s">
        <v>228</v>
      </c>
      <c r="N37" t="s">
        <v>228</v>
      </c>
      <c r="O37" t="s">
        <v>229</v>
      </c>
      <c r="P37">
        <v>2</v>
      </c>
      <c r="Q37" t="s">
        <v>230</v>
      </c>
      <c r="R37" t="s">
        <v>231</v>
      </c>
      <c r="S37" t="s">
        <v>232</v>
      </c>
      <c r="T37">
        <v>0</v>
      </c>
      <c r="U37" t="s">
        <v>230</v>
      </c>
      <c r="V37" t="s">
        <v>233</v>
      </c>
      <c r="W37" t="s">
        <v>223</v>
      </c>
      <c r="X37" t="s">
        <v>234</v>
      </c>
      <c r="Y37" t="s">
        <v>315</v>
      </c>
      <c r="Z37" t="s">
        <v>232</v>
      </c>
      <c r="AA37" t="s">
        <v>236</v>
      </c>
      <c r="AB37" t="s">
        <v>237</v>
      </c>
      <c r="AC37" t="s">
        <v>236</v>
      </c>
      <c r="AD37" t="s">
        <v>238</v>
      </c>
      <c r="AE37" t="s">
        <v>239</v>
      </c>
      <c r="AF37" t="s">
        <v>239</v>
      </c>
      <c r="AG37" t="s">
        <v>239</v>
      </c>
      <c r="AH37" t="s">
        <v>239</v>
      </c>
      <c r="AI37" t="s">
        <v>240</v>
      </c>
      <c r="AJ37" t="s">
        <v>241</v>
      </c>
      <c r="AK37" t="s">
        <v>242</v>
      </c>
      <c r="AL37" t="s">
        <v>234</v>
      </c>
      <c r="AM37" t="s">
        <v>243</v>
      </c>
      <c r="AN37" t="s">
        <v>244</v>
      </c>
      <c r="AO37" t="s">
        <v>245</v>
      </c>
      <c r="BR37">
        <v>60.040863979999997</v>
      </c>
      <c r="BS37">
        <v>62.07155367</v>
      </c>
      <c r="BT37">
        <v>64.102243349999995</v>
      </c>
      <c r="BU37">
        <v>66.132933030000004</v>
      </c>
      <c r="BV37">
        <v>68.163622720000006</v>
      </c>
      <c r="BW37">
        <v>70.194312400000001</v>
      </c>
      <c r="BX37">
        <v>72.225002079999996</v>
      </c>
      <c r="BY37">
        <v>74.255691769999999</v>
      </c>
      <c r="BZ37">
        <v>76.431990659999997</v>
      </c>
      <c r="CA37">
        <v>78.608289549999995</v>
      </c>
      <c r="CB37">
        <v>80.784588439999993</v>
      </c>
      <c r="CC37">
        <v>82.960887330000006</v>
      </c>
      <c r="CD37">
        <v>85.137186220000004</v>
      </c>
      <c r="CE37">
        <v>85.165401829999993</v>
      </c>
      <c r="CF37">
        <v>85.193617439999997</v>
      </c>
      <c r="CG37">
        <v>85.221833040000007</v>
      </c>
      <c r="CH37">
        <v>85.221833040000007</v>
      </c>
      <c r="CI37">
        <v>85.221833040000007</v>
      </c>
      <c r="CJ37">
        <v>85.221833040000007</v>
      </c>
      <c r="CK37">
        <v>85.221833040000007</v>
      </c>
      <c r="CL37">
        <v>85.221833040000007</v>
      </c>
      <c r="CM37">
        <v>85.221833040000007</v>
      </c>
      <c r="CN37">
        <v>85.221833040000007</v>
      </c>
      <c r="CO37">
        <v>85.221833040000007</v>
      </c>
      <c r="CP37">
        <v>85.221833040000007</v>
      </c>
      <c r="CQ37">
        <v>85.221833040000007</v>
      </c>
      <c r="CR37">
        <v>85.221833040000007</v>
      </c>
      <c r="CS37">
        <v>85.221833040000007</v>
      </c>
      <c r="CT37">
        <v>85.221833040000007</v>
      </c>
      <c r="CU37">
        <v>85.221833040000007</v>
      </c>
      <c r="CV37">
        <v>85.221833040000007</v>
      </c>
      <c r="CW37">
        <v>85.221833040000007</v>
      </c>
      <c r="CX37">
        <v>85.221833040000007</v>
      </c>
    </row>
    <row r="38" spans="1:102" x14ac:dyDescent="0.3">
      <c r="A38" t="s">
        <v>220</v>
      </c>
      <c r="B38" t="s">
        <v>221</v>
      </c>
      <c r="C38" t="s">
        <v>222</v>
      </c>
      <c r="D38" t="s">
        <v>223</v>
      </c>
      <c r="E38" t="s">
        <v>316</v>
      </c>
      <c r="F38" t="s">
        <v>225</v>
      </c>
      <c r="G38" t="s">
        <v>226</v>
      </c>
      <c r="H38" t="s">
        <v>226</v>
      </c>
      <c r="I38" t="s">
        <v>226</v>
      </c>
      <c r="J38" t="s">
        <v>227</v>
      </c>
      <c r="K38" t="s">
        <v>228</v>
      </c>
      <c r="L38" t="s">
        <v>228</v>
      </c>
      <c r="M38" t="s">
        <v>228</v>
      </c>
      <c r="N38" t="s">
        <v>228</v>
      </c>
      <c r="O38" t="s">
        <v>229</v>
      </c>
      <c r="P38">
        <v>2</v>
      </c>
      <c r="Q38" t="s">
        <v>230</v>
      </c>
      <c r="R38" t="s">
        <v>231</v>
      </c>
      <c r="S38" t="s">
        <v>232</v>
      </c>
      <c r="T38">
        <v>0</v>
      </c>
      <c r="U38" t="s">
        <v>230</v>
      </c>
      <c r="V38" t="s">
        <v>233</v>
      </c>
      <c r="W38" t="s">
        <v>223</v>
      </c>
      <c r="X38" t="s">
        <v>234</v>
      </c>
      <c r="Y38" t="s">
        <v>317</v>
      </c>
      <c r="Z38" t="s">
        <v>232</v>
      </c>
      <c r="AA38" t="s">
        <v>236</v>
      </c>
      <c r="AB38" t="s">
        <v>237</v>
      </c>
      <c r="AC38" t="s">
        <v>236</v>
      </c>
      <c r="AD38" t="s">
        <v>238</v>
      </c>
      <c r="AE38" t="s">
        <v>239</v>
      </c>
      <c r="AF38" t="s">
        <v>239</v>
      </c>
      <c r="AG38" t="s">
        <v>239</v>
      </c>
      <c r="AH38" t="s">
        <v>239</v>
      </c>
      <c r="AI38" t="s">
        <v>240</v>
      </c>
      <c r="AJ38" t="s">
        <v>241</v>
      </c>
      <c r="AK38" t="s">
        <v>242</v>
      </c>
      <c r="AL38" t="s">
        <v>234</v>
      </c>
      <c r="AM38" t="s">
        <v>243</v>
      </c>
      <c r="AN38" t="s">
        <v>244</v>
      </c>
      <c r="AO38" t="s">
        <v>245</v>
      </c>
      <c r="BX38">
        <v>8.3000000000000007</v>
      </c>
      <c r="BY38">
        <v>8.3000000000000007</v>
      </c>
      <c r="BZ38">
        <v>8.3000000000000007</v>
      </c>
      <c r="CA38">
        <v>8.3000000000000007</v>
      </c>
      <c r="CB38">
        <v>8.3000000000000007</v>
      </c>
      <c r="CC38">
        <v>8.3000000000000007</v>
      </c>
      <c r="CD38">
        <v>8.3000000000000007</v>
      </c>
      <c r="CE38">
        <v>8.3000000000000007</v>
      </c>
      <c r="CF38">
        <v>8.3000000000000007</v>
      </c>
      <c r="CG38">
        <v>8.5833333330000006</v>
      </c>
      <c r="CH38">
        <v>8.8666666670000005</v>
      </c>
      <c r="CI38">
        <v>9.15</v>
      </c>
      <c r="CJ38">
        <v>9.4333333330000002</v>
      </c>
      <c r="CK38">
        <v>9.7166666670000001</v>
      </c>
      <c r="CL38">
        <v>10</v>
      </c>
      <c r="CM38">
        <v>10</v>
      </c>
      <c r="CN38">
        <v>10</v>
      </c>
      <c r="CO38">
        <v>10</v>
      </c>
      <c r="CP38">
        <v>10</v>
      </c>
      <c r="CQ38">
        <v>10</v>
      </c>
      <c r="CR38">
        <v>10</v>
      </c>
      <c r="CS38">
        <v>10</v>
      </c>
      <c r="CT38">
        <v>10</v>
      </c>
      <c r="CU38">
        <v>10</v>
      </c>
      <c r="CV38">
        <v>10</v>
      </c>
      <c r="CW38">
        <v>10</v>
      </c>
      <c r="CX38">
        <v>10</v>
      </c>
    </row>
    <row r="39" spans="1:102" x14ac:dyDescent="0.3">
      <c r="A39" t="s">
        <v>220</v>
      </c>
      <c r="B39" t="s">
        <v>221</v>
      </c>
      <c r="C39" t="s">
        <v>222</v>
      </c>
      <c r="D39" t="s">
        <v>223</v>
      </c>
      <c r="E39" t="s">
        <v>318</v>
      </c>
      <c r="F39" t="s">
        <v>225</v>
      </c>
      <c r="G39" t="s">
        <v>226</v>
      </c>
      <c r="H39" t="s">
        <v>226</v>
      </c>
      <c r="I39" t="s">
        <v>226</v>
      </c>
      <c r="J39" t="s">
        <v>227</v>
      </c>
      <c r="K39" t="s">
        <v>228</v>
      </c>
      <c r="L39" t="s">
        <v>228</v>
      </c>
      <c r="M39" t="s">
        <v>228</v>
      </c>
      <c r="N39" t="s">
        <v>228</v>
      </c>
      <c r="O39" t="s">
        <v>229</v>
      </c>
      <c r="P39">
        <v>2</v>
      </c>
      <c r="Q39" t="s">
        <v>230</v>
      </c>
      <c r="R39" t="s">
        <v>231</v>
      </c>
      <c r="S39" t="s">
        <v>232</v>
      </c>
      <c r="T39">
        <v>0</v>
      </c>
      <c r="U39" t="s">
        <v>230</v>
      </c>
      <c r="V39" t="s">
        <v>233</v>
      </c>
      <c r="W39" t="s">
        <v>223</v>
      </c>
      <c r="X39" t="s">
        <v>234</v>
      </c>
      <c r="Y39" t="s">
        <v>319</v>
      </c>
      <c r="Z39" t="s">
        <v>232</v>
      </c>
      <c r="AA39" t="s">
        <v>236</v>
      </c>
      <c r="AB39" t="s">
        <v>237</v>
      </c>
      <c r="AC39" t="s">
        <v>236</v>
      </c>
      <c r="AD39" t="s">
        <v>238</v>
      </c>
      <c r="AE39" t="s">
        <v>239</v>
      </c>
      <c r="AF39" t="s">
        <v>239</v>
      </c>
      <c r="AG39" t="s">
        <v>239</v>
      </c>
      <c r="AH39" t="s">
        <v>239</v>
      </c>
      <c r="AI39" t="s">
        <v>240</v>
      </c>
      <c r="AJ39" t="s">
        <v>241</v>
      </c>
      <c r="AK39" t="s">
        <v>242</v>
      </c>
      <c r="AL39" t="s">
        <v>234</v>
      </c>
      <c r="AM39" t="s">
        <v>243</v>
      </c>
      <c r="AN39" t="s">
        <v>244</v>
      </c>
      <c r="AO39" t="s">
        <v>245</v>
      </c>
      <c r="BO39">
        <v>2.9291154069999998</v>
      </c>
      <c r="BP39">
        <v>2.892088384</v>
      </c>
      <c r="BQ39">
        <v>2.8550613610000002</v>
      </c>
      <c r="BR39">
        <v>2.8180343379999999</v>
      </c>
      <c r="BS39">
        <v>2.7810073150000001</v>
      </c>
      <c r="BT39">
        <v>2.7439802919999998</v>
      </c>
      <c r="BU39">
        <v>2.706953269</v>
      </c>
      <c r="BV39">
        <v>2.6699262460000002</v>
      </c>
      <c r="BW39">
        <v>2.6328992229999999</v>
      </c>
      <c r="BX39">
        <v>2.5958722000000001</v>
      </c>
      <c r="BY39">
        <v>2.5588451779999999</v>
      </c>
      <c r="BZ39">
        <v>2.5218181550000001</v>
      </c>
      <c r="CA39">
        <v>2.4847911319999998</v>
      </c>
      <c r="CB39">
        <v>2.5659050969999999</v>
      </c>
      <c r="CC39">
        <v>2.5659050969999999</v>
      </c>
      <c r="CD39">
        <v>2.5659050969999999</v>
      </c>
      <c r="CE39">
        <v>2.5659050969999999</v>
      </c>
      <c r="CF39">
        <v>2.5659050969999999</v>
      </c>
      <c r="CG39">
        <v>2.5659050969999999</v>
      </c>
      <c r="CH39">
        <v>2.5659050969999999</v>
      </c>
      <c r="CI39">
        <v>2.5659050969999999</v>
      </c>
      <c r="CJ39">
        <v>2.5659050969999999</v>
      </c>
      <c r="CK39">
        <v>2.5659050969999999</v>
      </c>
      <c r="CL39">
        <v>2.5659050969999999</v>
      </c>
      <c r="CM39">
        <v>2.5659050969999999</v>
      </c>
      <c r="CN39">
        <v>2.5659050969999999</v>
      </c>
      <c r="CO39">
        <v>2.5659050969999999</v>
      </c>
      <c r="CP39">
        <v>2.5659050969999999</v>
      </c>
      <c r="CQ39">
        <v>2.5659050969999999</v>
      </c>
      <c r="CR39">
        <v>2.5659050969999999</v>
      </c>
      <c r="CS39">
        <v>2.5659050969999999</v>
      </c>
      <c r="CT39">
        <v>2.5659050969999999</v>
      </c>
      <c r="CU39">
        <v>2.5659050969999999</v>
      </c>
      <c r="CV39">
        <v>2.5659050969999999</v>
      </c>
      <c r="CW39">
        <v>2.5659050969999999</v>
      </c>
      <c r="CX39">
        <v>2.5659050969999999</v>
      </c>
    </row>
    <row r="40" spans="1:102" x14ac:dyDescent="0.3">
      <c r="A40" t="s">
        <v>220</v>
      </c>
      <c r="B40" t="s">
        <v>221</v>
      </c>
      <c r="C40" t="s">
        <v>222</v>
      </c>
      <c r="D40" t="s">
        <v>223</v>
      </c>
      <c r="E40" t="s">
        <v>320</v>
      </c>
      <c r="F40" t="s">
        <v>225</v>
      </c>
      <c r="G40" t="s">
        <v>226</v>
      </c>
      <c r="H40" t="s">
        <v>226</v>
      </c>
      <c r="I40" t="s">
        <v>226</v>
      </c>
      <c r="J40" t="s">
        <v>227</v>
      </c>
      <c r="K40" t="s">
        <v>228</v>
      </c>
      <c r="L40" t="s">
        <v>228</v>
      </c>
      <c r="M40" t="s">
        <v>228</v>
      </c>
      <c r="N40" t="s">
        <v>228</v>
      </c>
      <c r="O40" t="s">
        <v>229</v>
      </c>
      <c r="P40">
        <v>2</v>
      </c>
      <c r="Q40" t="s">
        <v>230</v>
      </c>
      <c r="R40" t="s">
        <v>231</v>
      </c>
      <c r="S40" t="s">
        <v>232</v>
      </c>
      <c r="T40">
        <v>0</v>
      </c>
      <c r="U40" t="s">
        <v>230</v>
      </c>
      <c r="V40" t="s">
        <v>233</v>
      </c>
      <c r="W40" t="s">
        <v>223</v>
      </c>
      <c r="X40" t="s">
        <v>234</v>
      </c>
      <c r="Y40" t="s">
        <v>321</v>
      </c>
      <c r="Z40" t="s">
        <v>232</v>
      </c>
      <c r="AA40" t="s">
        <v>236</v>
      </c>
      <c r="AB40" t="s">
        <v>237</v>
      </c>
      <c r="AC40" t="s">
        <v>236</v>
      </c>
      <c r="AD40" t="s">
        <v>238</v>
      </c>
      <c r="AE40" t="s">
        <v>239</v>
      </c>
      <c r="AF40" t="s">
        <v>239</v>
      </c>
      <c r="AG40" t="s">
        <v>239</v>
      </c>
      <c r="AH40" t="s">
        <v>239</v>
      </c>
      <c r="AI40" t="s">
        <v>240</v>
      </c>
      <c r="AJ40" t="s">
        <v>241</v>
      </c>
      <c r="AK40" t="s">
        <v>242</v>
      </c>
      <c r="AL40" t="s">
        <v>234</v>
      </c>
      <c r="AM40" t="s">
        <v>243</v>
      </c>
      <c r="AN40" t="s">
        <v>244</v>
      </c>
      <c r="AO40" t="s">
        <v>245</v>
      </c>
      <c r="BM40">
        <v>0.825206302</v>
      </c>
      <c r="BN40">
        <v>0.861346587</v>
      </c>
      <c r="BO40">
        <v>0.89748687199999999</v>
      </c>
      <c r="BP40">
        <v>0.93362715699999999</v>
      </c>
      <c r="BQ40">
        <v>0.96976744199999998</v>
      </c>
      <c r="BR40">
        <v>1.0059077270000001</v>
      </c>
      <c r="BS40">
        <v>1.0421980500000001</v>
      </c>
      <c r="BT40">
        <v>1.078488372</v>
      </c>
      <c r="BU40">
        <v>1.114778695</v>
      </c>
      <c r="BV40">
        <v>1.151069017</v>
      </c>
      <c r="BW40">
        <v>1.1259511310000001</v>
      </c>
      <c r="BX40">
        <v>1.1008332439999999</v>
      </c>
      <c r="BY40">
        <v>1.075715357</v>
      </c>
      <c r="BZ40">
        <v>1.0505974709999999</v>
      </c>
      <c r="CA40">
        <v>1.0254795839999999</v>
      </c>
      <c r="CB40">
        <v>1.0003616980000001</v>
      </c>
      <c r="CC40">
        <v>0.97524381100000002</v>
      </c>
      <c r="CD40">
        <v>0.97524381100000002</v>
      </c>
      <c r="CE40">
        <v>0.97524381100000002</v>
      </c>
      <c r="CF40">
        <v>0.97524381100000002</v>
      </c>
      <c r="CG40">
        <v>0.97524381100000002</v>
      </c>
      <c r="CH40">
        <v>0.97524381100000002</v>
      </c>
      <c r="CI40">
        <v>0.97524381100000002</v>
      </c>
      <c r="CJ40">
        <v>0.97524381100000002</v>
      </c>
      <c r="CK40">
        <v>0.97524381100000002</v>
      </c>
      <c r="CL40">
        <v>0.97524381100000002</v>
      </c>
      <c r="CM40">
        <v>0.97524381100000002</v>
      </c>
      <c r="CN40">
        <v>0.97524381100000002</v>
      </c>
      <c r="CO40">
        <v>0.97524381100000002</v>
      </c>
      <c r="CP40">
        <v>0.97524381100000002</v>
      </c>
      <c r="CQ40">
        <v>0.97524381100000002</v>
      </c>
      <c r="CR40">
        <v>0.97524381100000002</v>
      </c>
      <c r="CS40">
        <v>0.97524381100000002</v>
      </c>
      <c r="CT40">
        <v>0.97524381100000002</v>
      </c>
      <c r="CU40">
        <v>0.97524381100000002</v>
      </c>
      <c r="CV40">
        <v>0.97524381100000002</v>
      </c>
      <c r="CW40">
        <v>0.97524381100000002</v>
      </c>
      <c r="CX40">
        <v>0.97524381100000002</v>
      </c>
    </row>
    <row r="41" spans="1:102" x14ac:dyDescent="0.3">
      <c r="A41" t="s">
        <v>220</v>
      </c>
      <c r="B41" t="s">
        <v>221</v>
      </c>
      <c r="C41" t="s">
        <v>222</v>
      </c>
      <c r="D41" t="s">
        <v>223</v>
      </c>
      <c r="E41" t="s">
        <v>322</v>
      </c>
      <c r="F41" t="s">
        <v>225</v>
      </c>
      <c r="G41" t="s">
        <v>226</v>
      </c>
      <c r="H41" t="s">
        <v>226</v>
      </c>
      <c r="I41" t="s">
        <v>226</v>
      </c>
      <c r="J41" t="s">
        <v>227</v>
      </c>
      <c r="K41" t="s">
        <v>228</v>
      </c>
      <c r="L41" t="s">
        <v>228</v>
      </c>
      <c r="M41" t="s">
        <v>228</v>
      </c>
      <c r="N41" t="s">
        <v>228</v>
      </c>
      <c r="O41" t="s">
        <v>229</v>
      </c>
      <c r="P41">
        <v>2</v>
      </c>
      <c r="Q41" t="s">
        <v>230</v>
      </c>
      <c r="R41" t="s">
        <v>231</v>
      </c>
      <c r="S41" t="s">
        <v>232</v>
      </c>
      <c r="T41">
        <v>0</v>
      </c>
      <c r="U41" t="s">
        <v>230</v>
      </c>
      <c r="V41" t="s">
        <v>233</v>
      </c>
      <c r="W41" t="s">
        <v>223</v>
      </c>
      <c r="X41" t="s">
        <v>234</v>
      </c>
      <c r="Y41" t="s">
        <v>323</v>
      </c>
      <c r="Z41" t="s">
        <v>232</v>
      </c>
      <c r="AA41" t="s">
        <v>236</v>
      </c>
      <c r="AB41" t="s">
        <v>237</v>
      </c>
      <c r="AC41" t="s">
        <v>236</v>
      </c>
      <c r="AD41" t="s">
        <v>238</v>
      </c>
      <c r="AE41" t="s">
        <v>239</v>
      </c>
      <c r="AF41" t="s">
        <v>239</v>
      </c>
      <c r="AG41" t="s">
        <v>239</v>
      </c>
      <c r="AH41" t="s">
        <v>239</v>
      </c>
      <c r="AI41" t="s">
        <v>240</v>
      </c>
      <c r="AJ41" t="s">
        <v>241</v>
      </c>
      <c r="AK41" t="s">
        <v>242</v>
      </c>
      <c r="AL41" t="s">
        <v>234</v>
      </c>
      <c r="AM41" t="s">
        <v>243</v>
      </c>
      <c r="AN41" t="s">
        <v>244</v>
      </c>
      <c r="AO41" t="s">
        <v>245</v>
      </c>
      <c r="BO41">
        <v>0.32707081500000001</v>
      </c>
      <c r="BP41">
        <v>0.33058141400000002</v>
      </c>
      <c r="BQ41">
        <v>0.33409201300000002</v>
      </c>
      <c r="BR41">
        <v>0.33760261200000002</v>
      </c>
      <c r="BS41">
        <v>0.34111321100000003</v>
      </c>
      <c r="BT41">
        <v>0.34462380999999997</v>
      </c>
      <c r="BU41">
        <v>0.34813440899999998</v>
      </c>
      <c r="BV41">
        <v>0.35164500799999998</v>
      </c>
      <c r="BW41">
        <v>0.35515560699999998</v>
      </c>
      <c r="BX41">
        <v>0.35866620599999999</v>
      </c>
      <c r="BY41">
        <v>0.36217680600000002</v>
      </c>
      <c r="BZ41">
        <v>0.36568740500000002</v>
      </c>
      <c r="CA41">
        <v>0.36919800400000002</v>
      </c>
      <c r="CB41">
        <v>0.37270860300000003</v>
      </c>
      <c r="CC41">
        <v>0.499722255</v>
      </c>
      <c r="CD41">
        <v>0.62673590700000004</v>
      </c>
      <c r="CE41">
        <v>0.75374955899999996</v>
      </c>
      <c r="CF41">
        <v>0.88076321099999999</v>
      </c>
      <c r="CG41">
        <v>1.007776864</v>
      </c>
      <c r="CH41">
        <v>1.134790516</v>
      </c>
      <c r="CI41">
        <v>1.2618041680000001</v>
      </c>
      <c r="CJ41">
        <v>1.3888178200000001</v>
      </c>
      <c r="CK41">
        <v>1.5049924969999999</v>
      </c>
      <c r="CL41">
        <v>1.6211671750000001</v>
      </c>
      <c r="CM41">
        <v>1.7135087849999999</v>
      </c>
      <c r="CN41">
        <v>1.835399711</v>
      </c>
      <c r="CO41">
        <v>1.835399711</v>
      </c>
      <c r="CP41">
        <v>1.835399711</v>
      </c>
      <c r="CQ41">
        <v>1.835399711</v>
      </c>
      <c r="CR41">
        <v>1.835399711</v>
      </c>
      <c r="CS41">
        <v>1.835399711</v>
      </c>
      <c r="CT41">
        <v>1.835399711</v>
      </c>
      <c r="CU41">
        <v>1.835399711</v>
      </c>
      <c r="CV41">
        <v>1.835399711</v>
      </c>
      <c r="CW41">
        <v>1.835399711</v>
      </c>
      <c r="CX41">
        <v>1.835399711</v>
      </c>
    </row>
    <row r="42" spans="1:102" x14ac:dyDescent="0.3">
      <c r="A42" t="s">
        <v>220</v>
      </c>
      <c r="B42" t="s">
        <v>221</v>
      </c>
      <c r="C42" t="s">
        <v>222</v>
      </c>
      <c r="D42" t="s">
        <v>223</v>
      </c>
      <c r="E42" t="s">
        <v>324</v>
      </c>
      <c r="F42" t="s">
        <v>225</v>
      </c>
      <c r="G42" t="s">
        <v>226</v>
      </c>
      <c r="H42" t="s">
        <v>226</v>
      </c>
      <c r="I42" t="s">
        <v>226</v>
      </c>
      <c r="J42" t="s">
        <v>227</v>
      </c>
      <c r="K42" t="s">
        <v>228</v>
      </c>
      <c r="L42" t="s">
        <v>228</v>
      </c>
      <c r="M42" t="s">
        <v>228</v>
      </c>
      <c r="N42" t="s">
        <v>228</v>
      </c>
      <c r="O42" t="s">
        <v>229</v>
      </c>
      <c r="P42">
        <v>2</v>
      </c>
      <c r="Q42" t="s">
        <v>230</v>
      </c>
      <c r="R42" t="s">
        <v>231</v>
      </c>
      <c r="S42" t="s">
        <v>232</v>
      </c>
      <c r="T42">
        <v>0</v>
      </c>
      <c r="U42" t="s">
        <v>230</v>
      </c>
      <c r="V42" t="s">
        <v>233</v>
      </c>
      <c r="W42" t="s">
        <v>223</v>
      </c>
      <c r="X42" t="s">
        <v>234</v>
      </c>
      <c r="Y42" t="s">
        <v>325</v>
      </c>
      <c r="Z42" t="s">
        <v>232</v>
      </c>
      <c r="AA42" t="s">
        <v>236</v>
      </c>
      <c r="AB42" t="s">
        <v>237</v>
      </c>
      <c r="AC42" t="s">
        <v>236</v>
      </c>
      <c r="AD42" t="s">
        <v>238</v>
      </c>
      <c r="AE42" t="s">
        <v>239</v>
      </c>
      <c r="AF42" t="s">
        <v>239</v>
      </c>
      <c r="AG42" t="s">
        <v>239</v>
      </c>
      <c r="AH42" t="s">
        <v>239</v>
      </c>
      <c r="AI42" t="s">
        <v>240</v>
      </c>
      <c r="AJ42" t="s">
        <v>241</v>
      </c>
      <c r="AK42" t="s">
        <v>242</v>
      </c>
      <c r="AL42" t="s">
        <v>234</v>
      </c>
      <c r="AM42" t="s">
        <v>243</v>
      </c>
      <c r="AN42" t="s">
        <v>244</v>
      </c>
      <c r="AO42" t="s">
        <v>245</v>
      </c>
      <c r="CN42">
        <v>3.9903088740000001</v>
      </c>
      <c r="CO42">
        <v>4.2083976109999996</v>
      </c>
      <c r="CP42">
        <v>4.6820648460000003</v>
      </c>
      <c r="CQ42">
        <v>5.4505426620000001</v>
      </c>
      <c r="CR42">
        <v>4.9875597269999998</v>
      </c>
      <c r="CS42">
        <v>4.1638225259999997</v>
      </c>
      <c r="CT42">
        <v>5.211023891</v>
      </c>
      <c r="CU42">
        <v>5.3551706489999997</v>
      </c>
      <c r="CV42">
        <v>5.3516723549999998</v>
      </c>
      <c r="CW42">
        <v>5.8819624570000002</v>
      </c>
      <c r="CX42">
        <v>5.8819624570000002</v>
      </c>
    </row>
    <row r="43" spans="1:102" x14ac:dyDescent="0.3">
      <c r="A43" t="s">
        <v>220</v>
      </c>
      <c r="B43" t="s">
        <v>221</v>
      </c>
      <c r="C43" t="s">
        <v>222</v>
      </c>
      <c r="D43" t="s">
        <v>223</v>
      </c>
      <c r="E43" t="s">
        <v>326</v>
      </c>
      <c r="F43" t="s">
        <v>225</v>
      </c>
      <c r="G43" t="s">
        <v>226</v>
      </c>
      <c r="H43" t="s">
        <v>226</v>
      </c>
      <c r="I43" t="s">
        <v>226</v>
      </c>
      <c r="J43" t="s">
        <v>227</v>
      </c>
      <c r="K43" t="s">
        <v>228</v>
      </c>
      <c r="L43" t="s">
        <v>228</v>
      </c>
      <c r="M43" t="s">
        <v>228</v>
      </c>
      <c r="N43" t="s">
        <v>228</v>
      </c>
      <c r="O43" t="s">
        <v>229</v>
      </c>
      <c r="P43">
        <v>2</v>
      </c>
      <c r="Q43" t="s">
        <v>230</v>
      </c>
      <c r="R43" t="s">
        <v>231</v>
      </c>
      <c r="S43" t="s">
        <v>232</v>
      </c>
      <c r="T43">
        <v>0</v>
      </c>
      <c r="U43" t="s">
        <v>230</v>
      </c>
      <c r="V43" t="s">
        <v>233</v>
      </c>
      <c r="W43" t="s">
        <v>223</v>
      </c>
      <c r="X43" t="s">
        <v>234</v>
      </c>
      <c r="Y43" t="s">
        <v>327</v>
      </c>
      <c r="Z43" t="s">
        <v>232</v>
      </c>
      <c r="AA43" t="s">
        <v>236</v>
      </c>
      <c r="AB43" t="s">
        <v>237</v>
      </c>
      <c r="AC43" t="s">
        <v>236</v>
      </c>
      <c r="AD43" t="s">
        <v>238</v>
      </c>
      <c r="AE43" t="s">
        <v>239</v>
      </c>
      <c r="AF43" t="s">
        <v>239</v>
      </c>
      <c r="AG43" t="s">
        <v>239</v>
      </c>
      <c r="AH43" t="s">
        <v>239</v>
      </c>
      <c r="AI43" t="s">
        <v>240</v>
      </c>
      <c r="AJ43" t="s">
        <v>241</v>
      </c>
      <c r="AK43" t="s">
        <v>242</v>
      </c>
      <c r="AL43" t="s">
        <v>234</v>
      </c>
      <c r="AM43" t="s">
        <v>243</v>
      </c>
      <c r="AN43" t="s">
        <v>244</v>
      </c>
      <c r="AO43" t="s">
        <v>245</v>
      </c>
      <c r="AX43">
        <v>1.829826167</v>
      </c>
      <c r="AY43">
        <v>1.869350412</v>
      </c>
      <c r="AZ43">
        <v>1.9088746569999999</v>
      </c>
      <c r="BA43">
        <v>1.9483989020000001</v>
      </c>
      <c r="BB43">
        <v>1.9879231470000001</v>
      </c>
      <c r="BC43">
        <v>2.0274473930000001</v>
      </c>
      <c r="BD43">
        <v>2.0669716380000001</v>
      </c>
      <c r="BE43">
        <v>2.106495883</v>
      </c>
      <c r="BF43">
        <v>2.146020128</v>
      </c>
      <c r="BG43">
        <v>2.1855443729999999</v>
      </c>
      <c r="BH43">
        <v>2.225068619</v>
      </c>
      <c r="BI43">
        <v>2.2645928639999999</v>
      </c>
      <c r="BJ43">
        <v>2.3041171089999999</v>
      </c>
      <c r="BK43">
        <v>2.3436413539999998</v>
      </c>
      <c r="BL43">
        <v>2.3831655989999998</v>
      </c>
      <c r="BM43">
        <v>2.4226898449999998</v>
      </c>
      <c r="BN43">
        <v>2.4622140899999998</v>
      </c>
      <c r="BO43">
        <v>2.5017383350000002</v>
      </c>
      <c r="BP43">
        <v>2.5412625800000002</v>
      </c>
      <c r="BQ43">
        <v>2.5807868250000001</v>
      </c>
      <c r="BR43">
        <v>2.6203110700000001</v>
      </c>
      <c r="BS43">
        <v>2.6598353160000001</v>
      </c>
      <c r="BT43">
        <v>2.6993595610000001</v>
      </c>
      <c r="BU43">
        <v>2.738883806</v>
      </c>
      <c r="BV43">
        <v>2.778408051</v>
      </c>
      <c r="BW43">
        <v>2.8179322959999999</v>
      </c>
      <c r="BX43">
        <v>2.857456542</v>
      </c>
      <c r="BY43">
        <v>2.8969807869999999</v>
      </c>
      <c r="BZ43">
        <v>2.9365050319999999</v>
      </c>
      <c r="CA43">
        <v>2.9760292769999999</v>
      </c>
      <c r="CB43">
        <v>3.0155535219999998</v>
      </c>
      <c r="CC43">
        <v>3.161710888</v>
      </c>
      <c r="CD43">
        <v>3.3078682530000001</v>
      </c>
      <c r="CE43">
        <v>3.7278896010000002</v>
      </c>
      <c r="CF43">
        <v>4.1479109489999999</v>
      </c>
      <c r="CG43">
        <v>4.5679322960000004</v>
      </c>
      <c r="CH43">
        <v>4.9879536440000001</v>
      </c>
      <c r="CI43">
        <v>5.4079749919999998</v>
      </c>
      <c r="CJ43">
        <v>5.8279963400000003</v>
      </c>
      <c r="CK43">
        <v>5.8279963400000003</v>
      </c>
      <c r="CL43">
        <v>5.8279963400000003</v>
      </c>
      <c r="CM43">
        <v>5.8279963400000003</v>
      </c>
      <c r="CN43">
        <v>5.8279963400000003</v>
      </c>
      <c r="CO43">
        <v>5.8279963400000003</v>
      </c>
      <c r="CP43">
        <v>5.8279963400000003</v>
      </c>
      <c r="CQ43">
        <v>5.8279963400000003</v>
      </c>
      <c r="CR43">
        <v>5.8279963400000003</v>
      </c>
      <c r="CS43">
        <v>5.8279963400000003</v>
      </c>
      <c r="CT43">
        <v>5.8279963400000003</v>
      </c>
      <c r="CU43">
        <v>5.8279963400000003</v>
      </c>
      <c r="CV43">
        <v>5.8279963400000003</v>
      </c>
      <c r="CW43">
        <v>5.8279963400000003</v>
      </c>
      <c r="CX43">
        <v>5.8279963400000003</v>
      </c>
    </row>
    <row r="44" spans="1:102" x14ac:dyDescent="0.3">
      <c r="A44" t="s">
        <v>220</v>
      </c>
      <c r="B44" t="s">
        <v>221</v>
      </c>
      <c r="C44" t="s">
        <v>222</v>
      </c>
      <c r="D44" t="s">
        <v>223</v>
      </c>
      <c r="E44" t="s">
        <v>328</v>
      </c>
      <c r="F44" t="s">
        <v>225</v>
      </c>
      <c r="G44" t="s">
        <v>226</v>
      </c>
      <c r="H44" t="s">
        <v>226</v>
      </c>
      <c r="I44" t="s">
        <v>226</v>
      </c>
      <c r="J44" t="s">
        <v>227</v>
      </c>
      <c r="K44" t="s">
        <v>228</v>
      </c>
      <c r="L44" t="s">
        <v>228</v>
      </c>
      <c r="M44" t="s">
        <v>228</v>
      </c>
      <c r="N44" t="s">
        <v>228</v>
      </c>
      <c r="O44" t="s">
        <v>229</v>
      </c>
      <c r="P44">
        <v>2</v>
      </c>
      <c r="Q44" t="s">
        <v>230</v>
      </c>
      <c r="R44" t="s">
        <v>231</v>
      </c>
      <c r="S44" t="s">
        <v>232</v>
      </c>
      <c r="T44">
        <v>0</v>
      </c>
      <c r="U44" t="s">
        <v>230</v>
      </c>
      <c r="V44" t="s">
        <v>233</v>
      </c>
      <c r="W44" t="s">
        <v>223</v>
      </c>
      <c r="X44" t="s">
        <v>234</v>
      </c>
      <c r="Y44" t="s">
        <v>329</v>
      </c>
      <c r="Z44" t="s">
        <v>232</v>
      </c>
      <c r="AA44" t="s">
        <v>236</v>
      </c>
      <c r="AB44" t="s">
        <v>237</v>
      </c>
      <c r="AC44" t="s">
        <v>236</v>
      </c>
      <c r="AD44" t="s">
        <v>238</v>
      </c>
      <c r="AE44" t="s">
        <v>239</v>
      </c>
      <c r="AF44" t="s">
        <v>239</v>
      </c>
      <c r="AG44" t="s">
        <v>239</v>
      </c>
      <c r="AH44" t="s">
        <v>239</v>
      </c>
      <c r="AI44" t="s">
        <v>240</v>
      </c>
      <c r="AJ44" t="s">
        <v>241</v>
      </c>
      <c r="AK44" t="s">
        <v>242</v>
      </c>
      <c r="AL44" t="s">
        <v>234</v>
      </c>
      <c r="AM44" t="s">
        <v>243</v>
      </c>
      <c r="AN44" t="s">
        <v>244</v>
      </c>
      <c r="AO44" t="s">
        <v>245</v>
      </c>
      <c r="BC44">
        <v>27.169083109999999</v>
      </c>
      <c r="BD44">
        <v>31.38409974</v>
      </c>
      <c r="BE44">
        <v>35.599116369999997</v>
      </c>
      <c r="BF44">
        <v>39.814132999999998</v>
      </c>
      <c r="BG44">
        <v>44.029149629999999</v>
      </c>
      <c r="BH44">
        <v>48.24416626</v>
      </c>
      <c r="BI44">
        <v>50.275499580000002</v>
      </c>
      <c r="BJ44">
        <v>52.306832900000003</v>
      </c>
      <c r="BK44">
        <v>54.338166209999997</v>
      </c>
      <c r="BL44">
        <v>56.369499529999999</v>
      </c>
      <c r="BM44">
        <v>58.40083285</v>
      </c>
      <c r="BN44">
        <v>62.336541150000002</v>
      </c>
      <c r="BO44">
        <v>66.272249450000004</v>
      </c>
      <c r="BP44">
        <v>70.207957750000006</v>
      </c>
      <c r="BQ44">
        <v>74.143666049999993</v>
      </c>
      <c r="BR44">
        <v>77.876241019999995</v>
      </c>
      <c r="BS44">
        <v>76.769164360000005</v>
      </c>
      <c r="BT44">
        <v>75.662087700000001</v>
      </c>
      <c r="BU44">
        <v>74.555011050000005</v>
      </c>
      <c r="BV44">
        <v>73.44793439</v>
      </c>
      <c r="BW44">
        <v>72.340857729999996</v>
      </c>
      <c r="BX44">
        <v>71.213467739999999</v>
      </c>
      <c r="BY44">
        <v>70.086077750000001</v>
      </c>
      <c r="BZ44">
        <v>68.958687760000004</v>
      </c>
      <c r="CA44">
        <v>67.831297770000006</v>
      </c>
      <c r="CB44">
        <v>66.018332779999994</v>
      </c>
      <c r="CC44">
        <v>71.325191070000002</v>
      </c>
      <c r="CD44">
        <v>71.706066070000006</v>
      </c>
      <c r="CE44">
        <v>72.086941069999995</v>
      </c>
      <c r="CF44">
        <v>72.467816060000004</v>
      </c>
      <c r="CG44">
        <v>72.848691059999993</v>
      </c>
      <c r="CH44">
        <v>73.229566059999996</v>
      </c>
      <c r="CI44">
        <v>73.610441050000006</v>
      </c>
      <c r="CJ44">
        <v>73.991316049999995</v>
      </c>
      <c r="CK44">
        <v>76.555874360000004</v>
      </c>
      <c r="CL44">
        <v>79.12043267</v>
      </c>
      <c r="CM44">
        <v>81.684990990000003</v>
      </c>
      <c r="CN44">
        <v>84.269862630000006</v>
      </c>
      <c r="CO44">
        <v>86.854734280000002</v>
      </c>
      <c r="CP44">
        <v>89.439605920000005</v>
      </c>
      <c r="CQ44">
        <v>92.024477570000002</v>
      </c>
      <c r="CR44">
        <v>94.609349210000005</v>
      </c>
      <c r="CS44">
        <v>89.531015920000002</v>
      </c>
      <c r="CT44">
        <v>95.998781199999996</v>
      </c>
      <c r="CU44">
        <v>96.310590860000005</v>
      </c>
      <c r="CV44">
        <v>98.113399180000002</v>
      </c>
      <c r="CW44">
        <v>98.113399180000002</v>
      </c>
      <c r="CX44">
        <v>98.113399180000002</v>
      </c>
    </row>
    <row r="45" spans="1:102" x14ac:dyDescent="0.3">
      <c r="A45" t="s">
        <v>220</v>
      </c>
      <c r="B45" t="s">
        <v>221</v>
      </c>
      <c r="C45" t="s">
        <v>222</v>
      </c>
      <c r="D45" t="s">
        <v>223</v>
      </c>
      <c r="E45" t="s">
        <v>330</v>
      </c>
      <c r="F45" t="s">
        <v>225</v>
      </c>
      <c r="G45" t="s">
        <v>226</v>
      </c>
      <c r="H45" t="s">
        <v>226</v>
      </c>
      <c r="I45" t="s">
        <v>226</v>
      </c>
      <c r="J45" t="s">
        <v>227</v>
      </c>
      <c r="K45" t="s">
        <v>228</v>
      </c>
      <c r="L45" t="s">
        <v>228</v>
      </c>
      <c r="M45" t="s">
        <v>228</v>
      </c>
      <c r="N45" t="s">
        <v>228</v>
      </c>
      <c r="O45" t="s">
        <v>229</v>
      </c>
      <c r="P45">
        <v>2</v>
      </c>
      <c r="Q45" t="s">
        <v>230</v>
      </c>
      <c r="R45" t="s">
        <v>231</v>
      </c>
      <c r="S45" t="s">
        <v>232</v>
      </c>
      <c r="T45">
        <v>0</v>
      </c>
      <c r="U45" t="s">
        <v>230</v>
      </c>
      <c r="V45" t="s">
        <v>233</v>
      </c>
      <c r="W45" t="s">
        <v>223</v>
      </c>
      <c r="X45" t="s">
        <v>234</v>
      </c>
      <c r="Y45" t="s">
        <v>331</v>
      </c>
      <c r="Z45" t="s">
        <v>232</v>
      </c>
      <c r="AA45" t="s">
        <v>236</v>
      </c>
      <c r="AB45" t="s">
        <v>237</v>
      </c>
      <c r="AC45" t="s">
        <v>236</v>
      </c>
      <c r="AD45" t="s">
        <v>238</v>
      </c>
      <c r="AE45" t="s">
        <v>239</v>
      </c>
      <c r="AF45" t="s">
        <v>239</v>
      </c>
      <c r="AG45" t="s">
        <v>239</v>
      </c>
      <c r="AH45" t="s">
        <v>239</v>
      </c>
      <c r="AI45" t="s">
        <v>240</v>
      </c>
      <c r="AJ45" t="s">
        <v>241</v>
      </c>
      <c r="AK45" t="s">
        <v>242</v>
      </c>
      <c r="AL45" t="s">
        <v>234</v>
      </c>
      <c r="AM45" t="s">
        <v>243</v>
      </c>
      <c r="AN45" t="s">
        <v>244</v>
      </c>
      <c r="AO45" t="s">
        <v>245</v>
      </c>
      <c r="BO45">
        <v>0.88378906300000004</v>
      </c>
      <c r="BP45">
        <v>1.108513622</v>
      </c>
      <c r="BQ45">
        <v>1.333238181</v>
      </c>
      <c r="BR45">
        <v>1.55796274</v>
      </c>
      <c r="BS45">
        <v>1.7826873000000001</v>
      </c>
      <c r="BT45">
        <v>2.0074118589999999</v>
      </c>
      <c r="BU45">
        <v>2.2321364180000001</v>
      </c>
      <c r="BV45">
        <v>2.4568609779999999</v>
      </c>
      <c r="BW45">
        <v>2.6815855370000001</v>
      </c>
      <c r="BX45">
        <v>2.9063100959999999</v>
      </c>
      <c r="BY45">
        <v>3.1310346550000001</v>
      </c>
      <c r="BZ45">
        <v>3.355759215</v>
      </c>
      <c r="CA45">
        <v>3.5804837740000002</v>
      </c>
      <c r="CB45">
        <v>3.8052083329999999</v>
      </c>
      <c r="CC45">
        <v>4.0055338540000003</v>
      </c>
      <c r="CD45">
        <v>4.2058593750000002</v>
      </c>
      <c r="CE45">
        <v>4.2355468749999998</v>
      </c>
      <c r="CF45">
        <v>4.2652343750000004</v>
      </c>
      <c r="CG45">
        <v>4.294921875</v>
      </c>
      <c r="CH45">
        <v>4.294921875</v>
      </c>
      <c r="CI45">
        <v>4.294921875</v>
      </c>
      <c r="CJ45">
        <v>4.294921875</v>
      </c>
      <c r="CK45">
        <v>4.294921875</v>
      </c>
      <c r="CL45">
        <v>4.294921875</v>
      </c>
      <c r="CM45">
        <v>4.294921875</v>
      </c>
      <c r="CN45">
        <v>4.294921875</v>
      </c>
      <c r="CO45">
        <v>4.294921875</v>
      </c>
      <c r="CP45">
        <v>4.294921875</v>
      </c>
      <c r="CQ45">
        <v>4.294921875</v>
      </c>
      <c r="CR45">
        <v>4.294921875</v>
      </c>
      <c r="CS45">
        <v>4.294921875</v>
      </c>
      <c r="CT45">
        <v>4.294921875</v>
      </c>
      <c r="CU45">
        <v>4.294921875</v>
      </c>
      <c r="CV45">
        <v>4.294921875</v>
      </c>
      <c r="CW45">
        <v>4.294921875</v>
      </c>
      <c r="CX45">
        <v>4.294921875</v>
      </c>
    </row>
    <row r="46" spans="1:102" x14ac:dyDescent="0.3">
      <c r="A46" t="s">
        <v>220</v>
      </c>
      <c r="B46" t="s">
        <v>221</v>
      </c>
      <c r="C46" t="s">
        <v>222</v>
      </c>
      <c r="D46" t="s">
        <v>223</v>
      </c>
      <c r="E46" t="s">
        <v>332</v>
      </c>
      <c r="F46" t="s">
        <v>225</v>
      </c>
      <c r="G46" t="s">
        <v>226</v>
      </c>
      <c r="H46" t="s">
        <v>226</v>
      </c>
      <c r="I46" t="s">
        <v>226</v>
      </c>
      <c r="J46" t="s">
        <v>227</v>
      </c>
      <c r="K46" t="s">
        <v>228</v>
      </c>
      <c r="L46" t="s">
        <v>228</v>
      </c>
      <c r="M46" t="s">
        <v>228</v>
      </c>
      <c r="N46" t="s">
        <v>228</v>
      </c>
      <c r="O46" t="s">
        <v>229</v>
      </c>
      <c r="P46">
        <v>2</v>
      </c>
      <c r="Q46" t="s">
        <v>230</v>
      </c>
      <c r="R46" t="s">
        <v>231</v>
      </c>
      <c r="S46" t="s">
        <v>232</v>
      </c>
      <c r="T46">
        <v>0</v>
      </c>
      <c r="U46" t="s">
        <v>230</v>
      </c>
      <c r="V46" t="s">
        <v>233</v>
      </c>
      <c r="W46" t="s">
        <v>223</v>
      </c>
      <c r="X46" t="s">
        <v>234</v>
      </c>
      <c r="Y46" t="s">
        <v>333</v>
      </c>
      <c r="Z46" t="s">
        <v>232</v>
      </c>
      <c r="AA46" t="s">
        <v>236</v>
      </c>
      <c r="AB46" t="s">
        <v>237</v>
      </c>
      <c r="AC46" t="s">
        <v>236</v>
      </c>
      <c r="AD46" t="s">
        <v>238</v>
      </c>
      <c r="AE46" t="s">
        <v>239</v>
      </c>
      <c r="AF46" t="s">
        <v>239</v>
      </c>
      <c r="AG46" t="s">
        <v>239</v>
      </c>
      <c r="AH46" t="s">
        <v>239</v>
      </c>
      <c r="AI46" t="s">
        <v>240</v>
      </c>
      <c r="AJ46" t="s">
        <v>241</v>
      </c>
      <c r="AK46" t="s">
        <v>242</v>
      </c>
      <c r="AL46" t="s">
        <v>234</v>
      </c>
      <c r="AM46" t="s">
        <v>243</v>
      </c>
      <c r="AN46" t="s">
        <v>244</v>
      </c>
      <c r="AO46" t="s">
        <v>245</v>
      </c>
      <c r="CB46">
        <v>26.96187098</v>
      </c>
      <c r="CC46">
        <v>27.611394369999999</v>
      </c>
      <c r="CD46">
        <v>28.260917760000002</v>
      </c>
      <c r="CE46">
        <v>28.91044114</v>
      </c>
      <c r="CF46">
        <v>29.559964529999998</v>
      </c>
      <c r="CG46">
        <v>30.209487920000001</v>
      </c>
      <c r="CH46">
        <v>32.078253160000003</v>
      </c>
      <c r="CI46">
        <v>33.947018399999997</v>
      </c>
      <c r="CJ46">
        <v>35.815783639999999</v>
      </c>
      <c r="CK46">
        <v>37.684548880000001</v>
      </c>
      <c r="CL46">
        <v>39.553314120000003</v>
      </c>
      <c r="CM46">
        <v>39.553314120000003</v>
      </c>
      <c r="CN46">
        <v>39.553314120000003</v>
      </c>
      <c r="CO46">
        <v>39.553314120000003</v>
      </c>
      <c r="CP46">
        <v>39.553314120000003</v>
      </c>
      <c r="CQ46">
        <v>39.553314120000003</v>
      </c>
      <c r="CR46">
        <v>39.553314120000003</v>
      </c>
      <c r="CS46">
        <v>39.553314120000003</v>
      </c>
      <c r="CT46">
        <v>39.553314120000003</v>
      </c>
      <c r="CU46">
        <v>39.553314120000003</v>
      </c>
      <c r="CV46">
        <v>39.553314120000003</v>
      </c>
      <c r="CW46">
        <v>39.553314120000003</v>
      </c>
      <c r="CX46">
        <v>39.553314120000003</v>
      </c>
    </row>
    <row r="47" spans="1:102" x14ac:dyDescent="0.3">
      <c r="A47" t="s">
        <v>220</v>
      </c>
      <c r="B47" t="s">
        <v>221</v>
      </c>
      <c r="C47" t="s">
        <v>222</v>
      </c>
      <c r="D47" t="s">
        <v>223</v>
      </c>
      <c r="E47" t="s">
        <v>334</v>
      </c>
      <c r="F47" t="s">
        <v>225</v>
      </c>
      <c r="G47" t="s">
        <v>226</v>
      </c>
      <c r="H47" t="s">
        <v>226</v>
      </c>
      <c r="I47" t="s">
        <v>226</v>
      </c>
      <c r="J47" t="s">
        <v>227</v>
      </c>
      <c r="K47" t="s">
        <v>228</v>
      </c>
      <c r="L47" t="s">
        <v>228</v>
      </c>
      <c r="M47" t="s">
        <v>228</v>
      </c>
      <c r="N47" t="s">
        <v>228</v>
      </c>
      <c r="O47" t="s">
        <v>229</v>
      </c>
      <c r="P47">
        <v>2</v>
      </c>
      <c r="Q47" t="s">
        <v>230</v>
      </c>
      <c r="R47" t="s">
        <v>231</v>
      </c>
      <c r="S47" t="s">
        <v>232</v>
      </c>
      <c r="T47">
        <v>0</v>
      </c>
      <c r="U47" t="s">
        <v>230</v>
      </c>
      <c r="V47" t="s">
        <v>233</v>
      </c>
      <c r="W47" t="s">
        <v>223</v>
      </c>
      <c r="X47" t="s">
        <v>234</v>
      </c>
      <c r="Y47" t="s">
        <v>335</v>
      </c>
      <c r="Z47" t="s">
        <v>232</v>
      </c>
      <c r="AA47" t="s">
        <v>236</v>
      </c>
      <c r="AB47" t="s">
        <v>237</v>
      </c>
      <c r="AC47" t="s">
        <v>236</v>
      </c>
      <c r="AD47" t="s">
        <v>238</v>
      </c>
      <c r="AE47" t="s">
        <v>239</v>
      </c>
      <c r="AF47" t="s">
        <v>239</v>
      </c>
      <c r="AG47" t="s">
        <v>239</v>
      </c>
      <c r="AH47" t="s">
        <v>239</v>
      </c>
      <c r="AI47" t="s">
        <v>240</v>
      </c>
      <c r="AJ47" t="s">
        <v>241</v>
      </c>
      <c r="AK47" t="s">
        <v>242</v>
      </c>
      <c r="AL47" t="s">
        <v>234</v>
      </c>
      <c r="AM47" t="s">
        <v>243</v>
      </c>
      <c r="AN47" t="s">
        <v>244</v>
      </c>
      <c r="AO47" t="s">
        <v>245</v>
      </c>
      <c r="AX47">
        <v>8.6061096500000005</v>
      </c>
      <c r="AY47">
        <v>8.6149302040000002</v>
      </c>
      <c r="AZ47">
        <v>8.623750759</v>
      </c>
      <c r="BA47">
        <v>8.6325713129999997</v>
      </c>
      <c r="BB47">
        <v>8.6413918669999994</v>
      </c>
      <c r="BC47">
        <v>8.6502124219999992</v>
      </c>
      <c r="BD47">
        <v>8.9553712319999992</v>
      </c>
      <c r="BE47">
        <v>9.2605300429999993</v>
      </c>
      <c r="BF47">
        <v>9.5656888529999993</v>
      </c>
      <c r="BG47">
        <v>9.8708476629999993</v>
      </c>
      <c r="BH47">
        <v>10.176006470000001</v>
      </c>
      <c r="BI47">
        <v>10.36050981</v>
      </c>
      <c r="BJ47">
        <v>10.545013150000001</v>
      </c>
      <c r="BK47">
        <v>10.72951649</v>
      </c>
      <c r="BL47">
        <v>10.914019830000001</v>
      </c>
      <c r="BM47">
        <v>11.098523159999999</v>
      </c>
      <c r="BN47">
        <v>12.05583654</v>
      </c>
      <c r="BO47">
        <v>13.013149909999999</v>
      </c>
      <c r="BP47">
        <v>13.970463280000001</v>
      </c>
      <c r="BQ47">
        <v>14.92777665</v>
      </c>
      <c r="BR47">
        <v>15.885090030000001</v>
      </c>
      <c r="BS47">
        <v>16.073234880000001</v>
      </c>
      <c r="BT47">
        <v>16.261379730000002</v>
      </c>
      <c r="BU47">
        <v>16.092116799999999</v>
      </c>
      <c r="BV47">
        <v>15.922853870000001</v>
      </c>
      <c r="BW47">
        <v>15.75359094</v>
      </c>
      <c r="BX47">
        <v>16.661946189999998</v>
      </c>
      <c r="BY47">
        <v>17.570301440000001</v>
      </c>
      <c r="BZ47">
        <v>17.793242970000001</v>
      </c>
      <c r="CA47">
        <v>18.016184500000001</v>
      </c>
      <c r="CB47">
        <v>18.239126039999999</v>
      </c>
      <c r="CC47">
        <v>18.462067569999999</v>
      </c>
      <c r="CD47">
        <v>18.685009099999998</v>
      </c>
      <c r="CE47">
        <v>18.95980848</v>
      </c>
      <c r="CF47">
        <v>19.234607860000001</v>
      </c>
      <c r="CG47">
        <v>19.509407240000002</v>
      </c>
      <c r="CH47">
        <v>19.485332790000001</v>
      </c>
      <c r="CI47">
        <v>19.461258350000001</v>
      </c>
      <c r="CJ47">
        <v>19.620220509999999</v>
      </c>
      <c r="CK47">
        <v>19.780194210000001</v>
      </c>
      <c r="CL47">
        <v>19.93814485</v>
      </c>
      <c r="CM47">
        <v>20.099130079999998</v>
      </c>
      <c r="CN47">
        <v>20.099130079999998</v>
      </c>
      <c r="CO47">
        <v>20.078899450000002</v>
      </c>
      <c r="CP47">
        <v>20.060691890000001</v>
      </c>
      <c r="CQ47">
        <v>20.044507379999999</v>
      </c>
      <c r="CR47">
        <v>20.50576573</v>
      </c>
      <c r="CS47">
        <v>20.501719600000001</v>
      </c>
      <c r="CT47">
        <v>20.477442849999999</v>
      </c>
      <c r="CU47">
        <v>20.46328141</v>
      </c>
      <c r="CV47">
        <v>20.477442849999999</v>
      </c>
      <c r="CW47">
        <v>20.406635649999998</v>
      </c>
      <c r="CX47">
        <v>20.32571313</v>
      </c>
    </row>
    <row r="48" spans="1:102" x14ac:dyDescent="0.3">
      <c r="A48" t="s">
        <v>220</v>
      </c>
      <c r="B48" t="s">
        <v>221</v>
      </c>
      <c r="C48" t="s">
        <v>222</v>
      </c>
      <c r="D48" t="s">
        <v>223</v>
      </c>
      <c r="E48" t="s">
        <v>336</v>
      </c>
      <c r="F48" t="s">
        <v>225</v>
      </c>
      <c r="G48" t="s">
        <v>226</v>
      </c>
      <c r="H48" t="s">
        <v>226</v>
      </c>
      <c r="I48" t="s">
        <v>226</v>
      </c>
      <c r="J48" t="s">
        <v>227</v>
      </c>
      <c r="K48" t="s">
        <v>228</v>
      </c>
      <c r="L48" t="s">
        <v>228</v>
      </c>
      <c r="M48" t="s">
        <v>228</v>
      </c>
      <c r="N48" t="s">
        <v>228</v>
      </c>
      <c r="O48" t="s">
        <v>229</v>
      </c>
      <c r="P48">
        <v>2</v>
      </c>
      <c r="Q48" t="s">
        <v>230</v>
      </c>
      <c r="R48" t="s">
        <v>231</v>
      </c>
      <c r="S48" t="s">
        <v>232</v>
      </c>
      <c r="T48">
        <v>0</v>
      </c>
      <c r="U48" t="s">
        <v>230</v>
      </c>
      <c r="V48" t="s">
        <v>233</v>
      </c>
      <c r="W48" t="s">
        <v>223</v>
      </c>
      <c r="X48" t="s">
        <v>234</v>
      </c>
      <c r="Y48" t="s">
        <v>337</v>
      </c>
      <c r="Z48" t="s">
        <v>232</v>
      </c>
      <c r="AA48" t="s">
        <v>236</v>
      </c>
      <c r="AB48" t="s">
        <v>237</v>
      </c>
      <c r="AC48" t="s">
        <v>236</v>
      </c>
      <c r="AD48" t="s">
        <v>238</v>
      </c>
      <c r="AE48" t="s">
        <v>239</v>
      </c>
      <c r="AF48" t="s">
        <v>239</v>
      </c>
      <c r="AG48" t="s">
        <v>239</v>
      </c>
      <c r="AH48" t="s">
        <v>239</v>
      </c>
      <c r="AI48" t="s">
        <v>240</v>
      </c>
      <c r="AJ48" t="s">
        <v>241</v>
      </c>
      <c r="AK48" t="s">
        <v>242</v>
      </c>
      <c r="AL48" t="s">
        <v>234</v>
      </c>
      <c r="AM48" t="s">
        <v>243</v>
      </c>
      <c r="AN48" t="s">
        <v>244</v>
      </c>
      <c r="AO48" t="s">
        <v>245</v>
      </c>
      <c r="AX48">
        <v>1.3666666670000001</v>
      </c>
      <c r="AY48">
        <v>1.421765556</v>
      </c>
      <c r="AZ48">
        <v>1.4768644440000001</v>
      </c>
      <c r="BA48">
        <v>1.531963333</v>
      </c>
      <c r="BB48">
        <v>1.5870622219999999</v>
      </c>
      <c r="BC48">
        <v>1.6421611110000001</v>
      </c>
      <c r="BD48">
        <v>1.6976066670000001</v>
      </c>
      <c r="BE48">
        <v>1.7527633330000001</v>
      </c>
      <c r="BF48">
        <v>1.80792</v>
      </c>
      <c r="BG48">
        <v>1.862556667</v>
      </c>
      <c r="BH48">
        <v>1.9176555559999999</v>
      </c>
      <c r="BI48">
        <v>1.972754444</v>
      </c>
      <c r="BJ48">
        <v>2.0285466670000001</v>
      </c>
      <c r="BK48">
        <v>2.0837033329999999</v>
      </c>
      <c r="BL48">
        <v>2.1388600000000002</v>
      </c>
      <c r="BM48">
        <v>2.1940166670000001</v>
      </c>
      <c r="BN48">
        <v>2.2491733329999999</v>
      </c>
      <c r="BO48">
        <v>2.3043300000000002</v>
      </c>
      <c r="BP48">
        <v>2.3594866670000001</v>
      </c>
      <c r="BQ48">
        <v>2.4146433329999999</v>
      </c>
      <c r="BR48">
        <v>2.468066667</v>
      </c>
      <c r="BS48">
        <v>2.5232233329999998</v>
      </c>
      <c r="BT48">
        <v>2.5783800000000001</v>
      </c>
      <c r="BU48">
        <v>2.6339411109999999</v>
      </c>
      <c r="BV48">
        <v>2.6890399999999999</v>
      </c>
      <c r="BW48">
        <v>2.7441388889999998</v>
      </c>
      <c r="BX48">
        <v>2.7992377780000002</v>
      </c>
      <c r="BY48">
        <v>2.8543366670000001</v>
      </c>
      <c r="BZ48">
        <v>2.909435556</v>
      </c>
      <c r="CA48">
        <v>2.964476667</v>
      </c>
      <c r="CB48">
        <v>3.0196333329999998</v>
      </c>
      <c r="CC48">
        <v>3.6811133329999999</v>
      </c>
      <c r="CD48">
        <v>4.3425933329999999</v>
      </c>
      <c r="CE48">
        <v>4.755216978</v>
      </c>
      <c r="CF48">
        <v>5.3838010770000002</v>
      </c>
      <c r="CG48">
        <v>6.0123851760000004</v>
      </c>
      <c r="CH48">
        <v>6.5888818499999999</v>
      </c>
      <c r="CI48">
        <v>7.5403666669999998</v>
      </c>
      <c r="CJ48">
        <v>7.5403666669999998</v>
      </c>
      <c r="CK48">
        <v>7.5403666669999998</v>
      </c>
      <c r="CL48">
        <v>7.5403666669999998</v>
      </c>
      <c r="CM48">
        <v>7.5403666669999998</v>
      </c>
      <c r="CN48">
        <v>7.5403666669999998</v>
      </c>
      <c r="CO48">
        <v>7.5403666669999998</v>
      </c>
      <c r="CP48">
        <v>7.5403666669999998</v>
      </c>
      <c r="CQ48">
        <v>7.5403666669999998</v>
      </c>
      <c r="CR48">
        <v>7.5403666669999998</v>
      </c>
      <c r="CS48">
        <v>7.5403666669999998</v>
      </c>
      <c r="CT48">
        <v>7.5403666669999998</v>
      </c>
      <c r="CU48">
        <v>7.5403666669999998</v>
      </c>
      <c r="CV48">
        <v>7.5403666669999998</v>
      </c>
      <c r="CW48">
        <v>7.5403666669999998</v>
      </c>
      <c r="CX48">
        <v>7.5403666669999998</v>
      </c>
    </row>
    <row r="49" spans="1:102" x14ac:dyDescent="0.3">
      <c r="A49" t="s">
        <v>220</v>
      </c>
      <c r="B49" t="s">
        <v>221</v>
      </c>
      <c r="C49" t="s">
        <v>222</v>
      </c>
      <c r="D49" t="s">
        <v>223</v>
      </c>
      <c r="E49" t="s">
        <v>338</v>
      </c>
      <c r="F49" t="s">
        <v>225</v>
      </c>
      <c r="G49" t="s">
        <v>226</v>
      </c>
      <c r="H49" t="s">
        <v>226</v>
      </c>
      <c r="I49" t="s">
        <v>226</v>
      </c>
      <c r="J49" t="s">
        <v>227</v>
      </c>
      <c r="K49" t="s">
        <v>228</v>
      </c>
      <c r="L49" t="s">
        <v>228</v>
      </c>
      <c r="M49" t="s">
        <v>228</v>
      </c>
      <c r="N49" t="s">
        <v>228</v>
      </c>
      <c r="O49" t="s">
        <v>229</v>
      </c>
      <c r="P49">
        <v>2</v>
      </c>
      <c r="Q49" t="s">
        <v>230</v>
      </c>
      <c r="R49" t="s">
        <v>231</v>
      </c>
      <c r="S49" t="s">
        <v>232</v>
      </c>
      <c r="T49">
        <v>0</v>
      </c>
      <c r="U49" t="s">
        <v>230</v>
      </c>
      <c r="V49" t="s">
        <v>233</v>
      </c>
      <c r="W49" t="s">
        <v>223</v>
      </c>
      <c r="X49" t="s">
        <v>234</v>
      </c>
      <c r="Y49" t="s">
        <v>339</v>
      </c>
      <c r="Z49" t="s">
        <v>232</v>
      </c>
      <c r="AA49" t="s">
        <v>236</v>
      </c>
      <c r="AB49" t="s">
        <v>237</v>
      </c>
      <c r="AC49" t="s">
        <v>236</v>
      </c>
      <c r="AD49" t="s">
        <v>238</v>
      </c>
      <c r="AE49" t="s">
        <v>239</v>
      </c>
      <c r="AF49" t="s">
        <v>239</v>
      </c>
      <c r="AG49" t="s">
        <v>239</v>
      </c>
      <c r="AH49" t="s">
        <v>239</v>
      </c>
      <c r="AI49" t="s">
        <v>240</v>
      </c>
      <c r="AJ49" t="s">
        <v>241</v>
      </c>
      <c r="AK49" t="s">
        <v>242</v>
      </c>
      <c r="AL49" t="s">
        <v>234</v>
      </c>
      <c r="AM49" t="s">
        <v>243</v>
      </c>
      <c r="AN49" t="s">
        <v>244</v>
      </c>
      <c r="AO49" t="s">
        <v>245</v>
      </c>
      <c r="CB49">
        <v>1.1595808379999999</v>
      </c>
      <c r="CC49">
        <v>1.2348802400000001</v>
      </c>
      <c r="CD49">
        <v>1.3100673650000001</v>
      </c>
      <c r="CE49">
        <v>1.3853106289999999</v>
      </c>
      <c r="CF49">
        <v>1.4605538920000001</v>
      </c>
      <c r="CG49">
        <v>1.5357971560000001</v>
      </c>
      <c r="CH49">
        <v>1.6110404190000001</v>
      </c>
      <c r="CI49">
        <v>1.6862836830000001</v>
      </c>
      <c r="CJ49">
        <v>1.761976048</v>
      </c>
      <c r="CK49">
        <v>2.1333398200000002</v>
      </c>
      <c r="CL49">
        <v>2.5057514969999999</v>
      </c>
      <c r="CM49">
        <v>2.6098323350000001</v>
      </c>
      <c r="CN49">
        <v>2.652199102</v>
      </c>
      <c r="CO49">
        <v>2.7751032929999999</v>
      </c>
      <c r="CP49">
        <v>2.8482125749999998</v>
      </c>
      <c r="CQ49">
        <v>2.9570209580000002</v>
      </c>
      <c r="CR49">
        <v>3.0028757490000002</v>
      </c>
      <c r="CS49">
        <v>3.1546137729999999</v>
      </c>
      <c r="CT49">
        <v>3.2048038920000002</v>
      </c>
      <c r="CU49">
        <v>3.2720733530000001</v>
      </c>
      <c r="CV49">
        <v>3.392555389</v>
      </c>
      <c r="CW49">
        <v>3.5242649699999999</v>
      </c>
      <c r="CX49">
        <v>3.6322814370000001</v>
      </c>
    </row>
    <row r="50" spans="1:102" x14ac:dyDescent="0.3">
      <c r="A50" t="s">
        <v>220</v>
      </c>
      <c r="B50" t="s">
        <v>221</v>
      </c>
      <c r="C50" t="s">
        <v>222</v>
      </c>
      <c r="D50" t="s">
        <v>223</v>
      </c>
      <c r="E50" t="s">
        <v>340</v>
      </c>
      <c r="F50" t="s">
        <v>225</v>
      </c>
      <c r="G50" t="s">
        <v>226</v>
      </c>
      <c r="H50" t="s">
        <v>226</v>
      </c>
      <c r="I50" t="s">
        <v>226</v>
      </c>
      <c r="J50" t="s">
        <v>227</v>
      </c>
      <c r="K50" t="s">
        <v>228</v>
      </c>
      <c r="L50" t="s">
        <v>228</v>
      </c>
      <c r="M50" t="s">
        <v>228</v>
      </c>
      <c r="N50" t="s">
        <v>228</v>
      </c>
      <c r="O50" t="s">
        <v>229</v>
      </c>
      <c r="P50">
        <v>2</v>
      </c>
      <c r="Q50" t="s">
        <v>230</v>
      </c>
      <c r="R50" t="s">
        <v>231</v>
      </c>
      <c r="S50" t="s">
        <v>232</v>
      </c>
      <c r="T50">
        <v>0</v>
      </c>
      <c r="U50" t="s">
        <v>230</v>
      </c>
      <c r="V50" t="s">
        <v>233</v>
      </c>
      <c r="W50" t="s">
        <v>223</v>
      </c>
      <c r="X50" t="s">
        <v>234</v>
      </c>
      <c r="Y50" t="s">
        <v>341</v>
      </c>
      <c r="Z50" t="s">
        <v>232</v>
      </c>
      <c r="AA50" t="s">
        <v>236</v>
      </c>
      <c r="AB50" t="s">
        <v>237</v>
      </c>
      <c r="AC50" t="s">
        <v>236</v>
      </c>
      <c r="AD50" t="s">
        <v>238</v>
      </c>
      <c r="AE50" t="s">
        <v>239</v>
      </c>
      <c r="AF50" t="s">
        <v>239</v>
      </c>
      <c r="AG50" t="s">
        <v>239</v>
      </c>
      <c r="AH50" t="s">
        <v>239</v>
      </c>
      <c r="AI50" t="s">
        <v>240</v>
      </c>
      <c r="AJ50" t="s">
        <v>241</v>
      </c>
      <c r="AK50" t="s">
        <v>242</v>
      </c>
      <c r="AL50" t="s">
        <v>234</v>
      </c>
      <c r="AM50" t="s">
        <v>243</v>
      </c>
      <c r="AN50" t="s">
        <v>244</v>
      </c>
      <c r="AO50" t="s">
        <v>245</v>
      </c>
      <c r="BX50">
        <v>37.633107449999997</v>
      </c>
      <c r="BY50">
        <v>32.411665050000003</v>
      </c>
      <c r="BZ50">
        <v>27.190222649999999</v>
      </c>
      <c r="CA50">
        <v>21.968780249999998</v>
      </c>
      <c r="CB50">
        <v>16.747337850000001</v>
      </c>
      <c r="CC50">
        <v>16.03581801</v>
      </c>
      <c r="CD50">
        <v>15.32429816</v>
      </c>
      <c r="CE50">
        <v>19.54824137</v>
      </c>
      <c r="CF50">
        <v>23.772184580000001</v>
      </c>
      <c r="CG50">
        <v>27.996127779999998</v>
      </c>
      <c r="CH50">
        <v>20.66795741</v>
      </c>
      <c r="CI50">
        <v>13.33978703</v>
      </c>
      <c r="CJ50">
        <v>19.34051307</v>
      </c>
      <c r="CK50">
        <v>25.34123911</v>
      </c>
      <c r="CL50">
        <v>21.999031949999999</v>
      </c>
      <c r="CM50">
        <v>18.656824780000001</v>
      </c>
      <c r="CN50">
        <v>15.31461762</v>
      </c>
      <c r="CO50">
        <v>11.972410460000001</v>
      </c>
      <c r="CP50">
        <v>16.402258790000001</v>
      </c>
      <c r="CQ50">
        <v>20.832107130000001</v>
      </c>
      <c r="CR50">
        <v>25.26195547</v>
      </c>
      <c r="CS50">
        <v>38.692328170000003</v>
      </c>
      <c r="CT50">
        <v>52.122700870000003</v>
      </c>
      <c r="CU50">
        <v>38.702323329999999</v>
      </c>
      <c r="CV50">
        <v>34.84632139</v>
      </c>
      <c r="CW50">
        <v>37.932962250000003</v>
      </c>
      <c r="CX50">
        <v>52.55324298</v>
      </c>
    </row>
    <row r="51" spans="1:102" x14ac:dyDescent="0.3">
      <c r="A51" t="s">
        <v>220</v>
      </c>
      <c r="B51" t="s">
        <v>221</v>
      </c>
      <c r="C51" t="s">
        <v>222</v>
      </c>
      <c r="D51" t="s">
        <v>223</v>
      </c>
      <c r="E51" t="s">
        <v>342</v>
      </c>
      <c r="F51" t="s">
        <v>225</v>
      </c>
      <c r="G51" t="s">
        <v>226</v>
      </c>
      <c r="H51" t="s">
        <v>226</v>
      </c>
      <c r="I51" t="s">
        <v>226</v>
      </c>
      <c r="J51" t="s">
        <v>227</v>
      </c>
      <c r="K51" t="s">
        <v>228</v>
      </c>
      <c r="L51" t="s">
        <v>228</v>
      </c>
      <c r="M51" t="s">
        <v>228</v>
      </c>
      <c r="N51" t="s">
        <v>228</v>
      </c>
      <c r="O51" t="s">
        <v>229</v>
      </c>
      <c r="P51">
        <v>2</v>
      </c>
      <c r="Q51" t="s">
        <v>230</v>
      </c>
      <c r="R51" t="s">
        <v>231</v>
      </c>
      <c r="S51" t="s">
        <v>232</v>
      </c>
      <c r="T51">
        <v>0</v>
      </c>
      <c r="U51" t="s">
        <v>230</v>
      </c>
      <c r="V51" t="s">
        <v>233</v>
      </c>
      <c r="W51" t="s">
        <v>223</v>
      </c>
      <c r="X51" t="s">
        <v>234</v>
      </c>
      <c r="Y51" t="s">
        <v>343</v>
      </c>
      <c r="Z51" t="s">
        <v>232</v>
      </c>
      <c r="AA51" t="s">
        <v>236</v>
      </c>
      <c r="AB51" t="s">
        <v>237</v>
      </c>
      <c r="AC51" t="s">
        <v>236</v>
      </c>
      <c r="AD51" t="s">
        <v>238</v>
      </c>
      <c r="AE51" t="s">
        <v>239</v>
      </c>
      <c r="AF51" t="s">
        <v>239</v>
      </c>
      <c r="AG51" t="s">
        <v>239</v>
      </c>
      <c r="AH51" t="s">
        <v>239</v>
      </c>
      <c r="AI51" t="s">
        <v>240</v>
      </c>
      <c r="AJ51" t="s">
        <v>241</v>
      </c>
      <c r="AK51" t="s">
        <v>242</v>
      </c>
      <c r="AL51" t="s">
        <v>234</v>
      </c>
      <c r="AM51" t="s">
        <v>243</v>
      </c>
      <c r="AN51" t="s">
        <v>244</v>
      </c>
      <c r="AO51" t="s">
        <v>245</v>
      </c>
      <c r="BO51">
        <v>1.2732095489999999</v>
      </c>
      <c r="BP51">
        <v>1.3059375639999999</v>
      </c>
      <c r="BQ51">
        <v>1.3386655789999999</v>
      </c>
      <c r="BR51">
        <v>1.3713935930000001</v>
      </c>
      <c r="BS51">
        <v>1.4041216080000001</v>
      </c>
      <c r="BT51">
        <v>1.4368496230000001</v>
      </c>
      <c r="BU51">
        <v>1.469577637</v>
      </c>
      <c r="BV51">
        <v>1.502305652</v>
      </c>
      <c r="BW51">
        <v>1.535033667</v>
      </c>
      <c r="BX51">
        <v>1.5677616809999999</v>
      </c>
      <c r="BY51">
        <v>1.6004896959999999</v>
      </c>
      <c r="BZ51">
        <v>1.6332177109999999</v>
      </c>
      <c r="CA51">
        <v>1.665945725</v>
      </c>
      <c r="CB51">
        <v>1.69867374</v>
      </c>
      <c r="CC51">
        <v>1.73331565</v>
      </c>
      <c r="CD51">
        <v>1.7679575599999999</v>
      </c>
      <c r="CE51">
        <v>1.8025994700000001</v>
      </c>
      <c r="CF51">
        <v>1.837241379</v>
      </c>
      <c r="CG51">
        <v>1.8718832889999999</v>
      </c>
      <c r="CH51">
        <v>1.8718832889999999</v>
      </c>
      <c r="CI51">
        <v>1.8718832889999999</v>
      </c>
      <c r="CJ51">
        <v>1.8718832889999999</v>
      </c>
      <c r="CK51">
        <v>1.8718832889999999</v>
      </c>
      <c r="CL51">
        <v>1.8718832889999999</v>
      </c>
      <c r="CM51">
        <v>1.8718832889999999</v>
      </c>
      <c r="CN51">
        <v>1.8718832889999999</v>
      </c>
      <c r="CO51">
        <v>1.8718832889999999</v>
      </c>
      <c r="CP51">
        <v>1.8718832889999999</v>
      </c>
      <c r="CQ51">
        <v>1.8718832889999999</v>
      </c>
      <c r="CR51">
        <v>1.8718832889999999</v>
      </c>
      <c r="CS51">
        <v>1.8718832889999999</v>
      </c>
      <c r="CT51">
        <v>1.8718832889999999</v>
      </c>
      <c r="CU51">
        <v>1.8718832889999999</v>
      </c>
      <c r="CV51">
        <v>1.8718832889999999</v>
      </c>
      <c r="CW51">
        <v>1.8718832889999999</v>
      </c>
      <c r="CX51">
        <v>1.8718832889999999</v>
      </c>
    </row>
    <row r="52" spans="1:102" x14ac:dyDescent="0.3">
      <c r="A52" t="s">
        <v>220</v>
      </c>
      <c r="B52" t="s">
        <v>221</v>
      </c>
      <c r="C52" t="s">
        <v>222</v>
      </c>
      <c r="D52" t="s">
        <v>223</v>
      </c>
      <c r="E52" t="s">
        <v>344</v>
      </c>
      <c r="F52" t="s">
        <v>225</v>
      </c>
      <c r="G52" t="s">
        <v>226</v>
      </c>
      <c r="H52" t="s">
        <v>226</v>
      </c>
      <c r="I52" t="s">
        <v>226</v>
      </c>
      <c r="J52" t="s">
        <v>227</v>
      </c>
      <c r="K52" t="s">
        <v>228</v>
      </c>
      <c r="L52" t="s">
        <v>228</v>
      </c>
      <c r="M52" t="s">
        <v>228</v>
      </c>
      <c r="N52" t="s">
        <v>228</v>
      </c>
      <c r="O52" t="s">
        <v>229</v>
      </c>
      <c r="P52">
        <v>2</v>
      </c>
      <c r="Q52" t="s">
        <v>230</v>
      </c>
      <c r="R52" t="s">
        <v>231</v>
      </c>
      <c r="S52" t="s">
        <v>232</v>
      </c>
      <c r="T52">
        <v>0</v>
      </c>
      <c r="U52" t="s">
        <v>230</v>
      </c>
      <c r="V52" t="s">
        <v>233</v>
      </c>
      <c r="W52" t="s">
        <v>223</v>
      </c>
      <c r="X52" t="s">
        <v>234</v>
      </c>
      <c r="Y52" t="s">
        <v>345</v>
      </c>
      <c r="Z52" t="s">
        <v>232</v>
      </c>
      <c r="AA52" t="s">
        <v>236</v>
      </c>
      <c r="AB52" t="s">
        <v>237</v>
      </c>
      <c r="AC52" t="s">
        <v>236</v>
      </c>
      <c r="AD52" t="s">
        <v>238</v>
      </c>
      <c r="AE52" t="s">
        <v>239</v>
      </c>
      <c r="AF52" t="s">
        <v>239</v>
      </c>
      <c r="AG52" t="s">
        <v>239</v>
      </c>
      <c r="AH52" t="s">
        <v>239</v>
      </c>
      <c r="AI52" t="s">
        <v>240</v>
      </c>
      <c r="AJ52" t="s">
        <v>241</v>
      </c>
      <c r="AK52" t="s">
        <v>242</v>
      </c>
      <c r="AL52" t="s">
        <v>234</v>
      </c>
      <c r="AM52" t="s">
        <v>243</v>
      </c>
      <c r="AN52" t="s">
        <v>244</v>
      </c>
      <c r="AO52" t="s">
        <v>245</v>
      </c>
      <c r="BW52">
        <v>2.393557258</v>
      </c>
      <c r="BX52">
        <v>2.2573561190000002</v>
      </c>
      <c r="BY52">
        <v>2.1211549789999999</v>
      </c>
      <c r="BZ52">
        <v>1.98495384</v>
      </c>
      <c r="CA52">
        <v>1.848752701</v>
      </c>
      <c r="CB52">
        <v>1.712551562</v>
      </c>
      <c r="CC52">
        <v>1.576350422</v>
      </c>
      <c r="CD52">
        <v>1.440777843</v>
      </c>
      <c r="CE52">
        <v>1.396110784</v>
      </c>
      <c r="CF52">
        <v>1.3514437239999999</v>
      </c>
      <c r="CG52">
        <v>1.3067766649999999</v>
      </c>
      <c r="CH52">
        <v>1.262109605</v>
      </c>
      <c r="CI52">
        <v>1.217442546</v>
      </c>
      <c r="CJ52">
        <v>1.3482616380000001</v>
      </c>
      <c r="CK52">
        <v>2.327047731</v>
      </c>
      <c r="CL52">
        <v>1.621685327</v>
      </c>
      <c r="CM52">
        <v>2.1750147320000002</v>
      </c>
      <c r="CN52">
        <v>1.462581025</v>
      </c>
      <c r="CO52">
        <v>1.3906894519999999</v>
      </c>
      <c r="CP52">
        <v>0.99292869800000005</v>
      </c>
      <c r="CQ52">
        <v>1.0412492630000001</v>
      </c>
      <c r="CR52">
        <v>1.095214302</v>
      </c>
      <c r="CS52">
        <v>1.0672808540000001</v>
      </c>
      <c r="CT52">
        <v>1.0804301709999999</v>
      </c>
      <c r="CU52">
        <v>1.0526163820000001</v>
      </c>
      <c r="CV52">
        <v>1.067831467</v>
      </c>
      <c r="CW52">
        <v>1.086918091</v>
      </c>
      <c r="CX52">
        <v>1.015521509</v>
      </c>
    </row>
    <row r="53" spans="1:102" x14ac:dyDescent="0.3">
      <c r="A53" t="s">
        <v>220</v>
      </c>
      <c r="B53" t="s">
        <v>221</v>
      </c>
      <c r="C53" t="s">
        <v>222</v>
      </c>
      <c r="D53" t="s">
        <v>223</v>
      </c>
      <c r="E53" t="s">
        <v>346</v>
      </c>
      <c r="F53" t="s">
        <v>225</v>
      </c>
      <c r="G53" t="s">
        <v>226</v>
      </c>
      <c r="H53" t="s">
        <v>226</v>
      </c>
      <c r="I53" t="s">
        <v>226</v>
      </c>
      <c r="J53" t="s">
        <v>227</v>
      </c>
      <c r="K53" t="s">
        <v>228</v>
      </c>
      <c r="L53" t="s">
        <v>228</v>
      </c>
      <c r="M53" t="s">
        <v>228</v>
      </c>
      <c r="N53" t="s">
        <v>228</v>
      </c>
      <c r="O53" t="s">
        <v>229</v>
      </c>
      <c r="P53">
        <v>2</v>
      </c>
      <c r="Q53" t="s">
        <v>230</v>
      </c>
      <c r="R53" t="s">
        <v>231</v>
      </c>
      <c r="S53" t="s">
        <v>232</v>
      </c>
      <c r="T53">
        <v>0</v>
      </c>
      <c r="U53" t="s">
        <v>230</v>
      </c>
      <c r="V53" t="s">
        <v>233</v>
      </c>
      <c r="W53" t="s">
        <v>223</v>
      </c>
      <c r="X53" t="s">
        <v>234</v>
      </c>
      <c r="Y53" t="s">
        <v>347</v>
      </c>
      <c r="Z53" t="s">
        <v>232</v>
      </c>
      <c r="AA53" t="s">
        <v>236</v>
      </c>
      <c r="AB53" t="s">
        <v>237</v>
      </c>
      <c r="AC53" t="s">
        <v>236</v>
      </c>
      <c r="AD53" t="s">
        <v>238</v>
      </c>
      <c r="AE53" t="s">
        <v>239</v>
      </c>
      <c r="AF53" t="s">
        <v>239</v>
      </c>
      <c r="AG53" t="s">
        <v>239</v>
      </c>
      <c r="AH53" t="s">
        <v>239</v>
      </c>
      <c r="AI53" t="s">
        <v>240</v>
      </c>
      <c r="AJ53" t="s">
        <v>241</v>
      </c>
      <c r="AK53" t="s">
        <v>242</v>
      </c>
      <c r="AL53" t="s">
        <v>234</v>
      </c>
      <c r="AM53" t="s">
        <v>243</v>
      </c>
      <c r="AN53" t="s">
        <v>244</v>
      </c>
      <c r="AO53" t="s">
        <v>245</v>
      </c>
      <c r="BR53">
        <v>16.892003299999999</v>
      </c>
      <c r="BS53">
        <v>16.48880715</v>
      </c>
      <c r="BT53">
        <v>16.085611010000001</v>
      </c>
      <c r="BU53">
        <v>15.68241486</v>
      </c>
      <c r="BV53">
        <v>15.279218719999999</v>
      </c>
      <c r="BW53">
        <v>14.876022580000001</v>
      </c>
      <c r="BX53">
        <v>14.47282643</v>
      </c>
      <c r="BY53">
        <v>14.069630289999999</v>
      </c>
      <c r="BZ53">
        <v>13.66643414</v>
      </c>
      <c r="CA53">
        <v>13.263237999999999</v>
      </c>
      <c r="CB53">
        <v>12.86004185</v>
      </c>
      <c r="CC53">
        <v>14.94873909</v>
      </c>
      <c r="CD53">
        <v>17.037436320000001</v>
      </c>
      <c r="CE53">
        <v>19.126133549999999</v>
      </c>
      <c r="CF53">
        <v>20.18372394</v>
      </c>
      <c r="CG53">
        <v>21.241314330000002</v>
      </c>
      <c r="CH53">
        <v>22.298904719999999</v>
      </c>
      <c r="CI53">
        <v>23.356495110000001</v>
      </c>
      <c r="CJ53">
        <v>24.414085499999999</v>
      </c>
      <c r="CK53">
        <v>25.47167589</v>
      </c>
      <c r="CL53">
        <v>26.529266280000002</v>
      </c>
      <c r="CM53">
        <v>26.532563889999999</v>
      </c>
      <c r="CN53">
        <v>26.535861499999999</v>
      </c>
      <c r="CO53">
        <v>26.53915911</v>
      </c>
      <c r="CP53">
        <v>26.542456720000001</v>
      </c>
      <c r="CQ53">
        <v>26.545754330000001</v>
      </c>
      <c r="CR53">
        <v>33.239901070000002</v>
      </c>
      <c r="CS53">
        <v>33.239901070000002</v>
      </c>
      <c r="CT53">
        <v>33.239901070000002</v>
      </c>
      <c r="CU53">
        <v>33.239901070000002</v>
      </c>
      <c r="CV53">
        <v>33.239901070000002</v>
      </c>
      <c r="CW53">
        <v>33.239901070000002</v>
      </c>
      <c r="CX53">
        <v>33.239901070000002</v>
      </c>
    </row>
    <row r="54" spans="1:102" x14ac:dyDescent="0.3">
      <c r="A54" t="s">
        <v>220</v>
      </c>
      <c r="B54" t="s">
        <v>221</v>
      </c>
      <c r="C54" t="s">
        <v>222</v>
      </c>
      <c r="D54" t="s">
        <v>223</v>
      </c>
      <c r="E54" t="s">
        <v>348</v>
      </c>
      <c r="F54" t="s">
        <v>225</v>
      </c>
      <c r="G54" t="s">
        <v>226</v>
      </c>
      <c r="H54" t="s">
        <v>226</v>
      </c>
      <c r="I54" t="s">
        <v>226</v>
      </c>
      <c r="J54" t="s">
        <v>227</v>
      </c>
      <c r="K54" t="s">
        <v>228</v>
      </c>
      <c r="L54" t="s">
        <v>228</v>
      </c>
      <c r="M54" t="s">
        <v>228</v>
      </c>
      <c r="N54" t="s">
        <v>228</v>
      </c>
      <c r="O54" t="s">
        <v>229</v>
      </c>
      <c r="P54">
        <v>2</v>
      </c>
      <c r="Q54" t="s">
        <v>230</v>
      </c>
      <c r="R54" t="s">
        <v>231</v>
      </c>
      <c r="S54" t="s">
        <v>232</v>
      </c>
      <c r="T54">
        <v>0</v>
      </c>
      <c r="U54" t="s">
        <v>230</v>
      </c>
      <c r="V54" t="s">
        <v>233</v>
      </c>
      <c r="W54" t="s">
        <v>223</v>
      </c>
      <c r="X54" t="s">
        <v>234</v>
      </c>
      <c r="Y54" t="s">
        <v>349</v>
      </c>
      <c r="Z54" t="s">
        <v>232</v>
      </c>
      <c r="AA54" t="s">
        <v>236</v>
      </c>
      <c r="AB54" t="s">
        <v>237</v>
      </c>
      <c r="AC54" t="s">
        <v>236</v>
      </c>
      <c r="AD54" t="s">
        <v>238</v>
      </c>
      <c r="AE54" t="s">
        <v>239</v>
      </c>
      <c r="AF54" t="s">
        <v>239</v>
      </c>
      <c r="AG54" t="s">
        <v>239</v>
      </c>
      <c r="AH54" t="s">
        <v>239</v>
      </c>
      <c r="AI54" t="s">
        <v>240</v>
      </c>
      <c r="AJ54" t="s">
        <v>241</v>
      </c>
      <c r="AK54" t="s">
        <v>242</v>
      </c>
      <c r="AL54" t="s">
        <v>234</v>
      </c>
      <c r="AM54" t="s">
        <v>243</v>
      </c>
      <c r="AN54" t="s">
        <v>244</v>
      </c>
      <c r="AO54" t="s">
        <v>245</v>
      </c>
      <c r="CB54">
        <v>40.075120049399999</v>
      </c>
      <c r="CC54">
        <v>38.575096277299998</v>
      </c>
      <c r="CD54">
        <v>46.160794941299997</v>
      </c>
      <c r="CE54">
        <v>48.625968715799999</v>
      </c>
      <c r="CF54">
        <v>54.314648409599997</v>
      </c>
      <c r="CG54">
        <v>58.194266153199997</v>
      </c>
      <c r="CH54">
        <v>56.266818808499998</v>
      </c>
      <c r="CI54">
        <v>53.856796462699997</v>
      </c>
      <c r="CJ54">
        <v>51.446774116900002</v>
      </c>
      <c r="CK54">
        <v>49.036751770999999</v>
      </c>
      <c r="CL54">
        <v>38.625017829100003</v>
      </c>
      <c r="CM54">
        <v>38.0687491085</v>
      </c>
      <c r="CN54">
        <v>41.734417344199997</v>
      </c>
      <c r="CO54">
        <v>43.132220795899997</v>
      </c>
      <c r="CP54">
        <v>39.152759948700002</v>
      </c>
      <c r="CQ54">
        <v>41.534731136799998</v>
      </c>
      <c r="CR54">
        <v>40.022821280800002</v>
      </c>
      <c r="CS54">
        <v>41.078305519899999</v>
      </c>
      <c r="CT54">
        <v>42.747111681600003</v>
      </c>
      <c r="CU54">
        <v>47.011838539400003</v>
      </c>
      <c r="CV54">
        <v>50.263871059800003</v>
      </c>
      <c r="CW54">
        <v>47.753530166899999</v>
      </c>
      <c r="CX54">
        <f>CW54</f>
        <v>47.753530166899999</v>
      </c>
    </row>
    <row r="55" spans="1:102" x14ac:dyDescent="0.3">
      <c r="A55" t="s">
        <v>220</v>
      </c>
      <c r="B55" t="s">
        <v>221</v>
      </c>
      <c r="C55" t="s">
        <v>222</v>
      </c>
      <c r="D55" t="s">
        <v>223</v>
      </c>
      <c r="E55" t="s">
        <v>350</v>
      </c>
      <c r="F55" t="s">
        <v>225</v>
      </c>
      <c r="G55" t="s">
        <v>226</v>
      </c>
      <c r="H55" t="s">
        <v>226</v>
      </c>
      <c r="I55" t="s">
        <v>226</v>
      </c>
      <c r="J55" t="s">
        <v>227</v>
      </c>
      <c r="K55" t="s">
        <v>228</v>
      </c>
      <c r="L55" t="s">
        <v>228</v>
      </c>
      <c r="M55" t="s">
        <v>228</v>
      </c>
      <c r="N55" t="s">
        <v>228</v>
      </c>
      <c r="O55" t="s">
        <v>229</v>
      </c>
      <c r="P55">
        <v>2</v>
      </c>
      <c r="Q55" t="s">
        <v>230</v>
      </c>
      <c r="R55" t="s">
        <v>231</v>
      </c>
      <c r="S55" t="s">
        <v>232</v>
      </c>
      <c r="T55">
        <v>0</v>
      </c>
      <c r="U55" t="s">
        <v>230</v>
      </c>
      <c r="V55" t="s">
        <v>233</v>
      </c>
      <c r="W55" t="s">
        <v>223</v>
      </c>
      <c r="X55" t="s">
        <v>234</v>
      </c>
      <c r="Y55" t="s">
        <v>351</v>
      </c>
      <c r="Z55" t="s">
        <v>232</v>
      </c>
      <c r="AA55" t="s">
        <v>236</v>
      </c>
      <c r="AB55" t="s">
        <v>237</v>
      </c>
      <c r="AC55" t="s">
        <v>236</v>
      </c>
      <c r="AD55" t="s">
        <v>238</v>
      </c>
      <c r="AE55" t="s">
        <v>239</v>
      </c>
      <c r="AF55" t="s">
        <v>239</v>
      </c>
      <c r="AG55" t="s">
        <v>239</v>
      </c>
      <c r="AH55" t="s">
        <v>239</v>
      </c>
      <c r="AI55" t="s">
        <v>240</v>
      </c>
      <c r="AJ55" t="s">
        <v>241</v>
      </c>
      <c r="AK55" t="s">
        <v>242</v>
      </c>
      <c r="AL55" t="s">
        <v>234</v>
      </c>
      <c r="AM55" t="s">
        <v>243</v>
      </c>
      <c r="AN55" t="s">
        <v>244</v>
      </c>
      <c r="AO55" t="s">
        <v>245</v>
      </c>
      <c r="BT55">
        <v>4.5470991889999999</v>
      </c>
      <c r="BU55">
        <v>5.0515439799999999</v>
      </c>
      <c r="BV55">
        <v>5.555988771</v>
      </c>
      <c r="BW55">
        <v>6.0604335620000001</v>
      </c>
      <c r="BX55">
        <v>6.5648783530000001</v>
      </c>
      <c r="BY55">
        <v>7.0693231440000002</v>
      </c>
      <c r="BZ55">
        <v>7.5737679350000002</v>
      </c>
      <c r="CA55">
        <v>8.0782127260000003</v>
      </c>
      <c r="CB55">
        <v>8.5826575169999995</v>
      </c>
      <c r="CC55">
        <v>9.5086712410000001</v>
      </c>
      <c r="CD55">
        <v>10.434684969999999</v>
      </c>
      <c r="CE55">
        <v>11.36069869</v>
      </c>
      <c r="CF55">
        <v>12.286213350000001</v>
      </c>
      <c r="CG55">
        <v>13.212726139999999</v>
      </c>
      <c r="CH55">
        <v>13.146865310000001</v>
      </c>
      <c r="CI55">
        <v>13.081004480000001</v>
      </c>
      <c r="CJ55">
        <v>13.015143650000001</v>
      </c>
      <c r="CK55">
        <v>12.949282820000001</v>
      </c>
      <c r="CL55">
        <v>12.88342198</v>
      </c>
      <c r="CM55">
        <v>12.81756115</v>
      </c>
      <c r="CN55">
        <v>12.751700319999999</v>
      </c>
      <c r="CO55">
        <v>12.685839489999999</v>
      </c>
      <c r="CP55">
        <v>12.619978659999999</v>
      </c>
      <c r="CQ55">
        <v>12.554117829999999</v>
      </c>
      <c r="CR55">
        <v>12.488257000000001</v>
      </c>
      <c r="CS55">
        <v>12.422396170000001</v>
      </c>
      <c r="CT55">
        <v>12.356535340000001</v>
      </c>
      <c r="CU55">
        <v>12.290674510000001</v>
      </c>
      <c r="CV55">
        <v>12.22481368</v>
      </c>
      <c r="CW55">
        <v>12.15895285</v>
      </c>
      <c r="CX55">
        <v>12.09309202</v>
      </c>
    </row>
    <row r="56" spans="1:102" x14ac:dyDescent="0.3">
      <c r="A56" t="s">
        <v>220</v>
      </c>
      <c r="B56" t="s">
        <v>221</v>
      </c>
      <c r="C56" t="s">
        <v>222</v>
      </c>
      <c r="D56" t="s">
        <v>223</v>
      </c>
      <c r="E56" t="s">
        <v>352</v>
      </c>
      <c r="F56" t="s">
        <v>225</v>
      </c>
      <c r="G56" t="s">
        <v>226</v>
      </c>
      <c r="H56" t="s">
        <v>226</v>
      </c>
      <c r="I56" t="s">
        <v>226</v>
      </c>
      <c r="J56" t="s">
        <v>227</v>
      </c>
      <c r="K56" t="s">
        <v>228</v>
      </c>
      <c r="L56" t="s">
        <v>228</v>
      </c>
      <c r="M56" t="s">
        <v>228</v>
      </c>
      <c r="N56" t="s">
        <v>228</v>
      </c>
      <c r="O56" t="s">
        <v>229</v>
      </c>
      <c r="P56">
        <v>2</v>
      </c>
      <c r="Q56" t="s">
        <v>230</v>
      </c>
      <c r="R56" t="s">
        <v>231</v>
      </c>
      <c r="S56" t="s">
        <v>232</v>
      </c>
      <c r="T56">
        <v>0</v>
      </c>
      <c r="U56" t="s">
        <v>230</v>
      </c>
      <c r="V56" t="s">
        <v>233</v>
      </c>
      <c r="W56" t="s">
        <v>223</v>
      </c>
      <c r="X56" t="s">
        <v>234</v>
      </c>
      <c r="Y56" t="s">
        <v>353</v>
      </c>
      <c r="Z56" t="s">
        <v>232</v>
      </c>
      <c r="AA56" t="s">
        <v>236</v>
      </c>
      <c r="AB56" t="s">
        <v>237</v>
      </c>
      <c r="AC56" t="s">
        <v>236</v>
      </c>
      <c r="AD56" t="s">
        <v>238</v>
      </c>
      <c r="AE56" t="s">
        <v>239</v>
      </c>
      <c r="AF56" t="s">
        <v>239</v>
      </c>
      <c r="AG56" t="s">
        <v>239</v>
      </c>
      <c r="AH56" t="s">
        <v>239</v>
      </c>
      <c r="AI56" t="s">
        <v>240</v>
      </c>
      <c r="AJ56" t="s">
        <v>241</v>
      </c>
      <c r="AK56" t="s">
        <v>242</v>
      </c>
      <c r="AL56" t="s">
        <v>234</v>
      </c>
      <c r="AM56" t="s">
        <v>243</v>
      </c>
      <c r="AN56" t="s">
        <v>244</v>
      </c>
      <c r="AO56" t="s">
        <v>245</v>
      </c>
      <c r="AX56">
        <v>5.8773448769999996</v>
      </c>
      <c r="AY56">
        <v>5.8952380949999998</v>
      </c>
      <c r="AZ56">
        <v>5.9131313130000001</v>
      </c>
      <c r="BA56">
        <v>5.9310245310000003</v>
      </c>
      <c r="BB56">
        <v>5.9489177489999996</v>
      </c>
      <c r="BC56">
        <v>5.9668109669999998</v>
      </c>
      <c r="BD56">
        <v>5.9584415579999996</v>
      </c>
      <c r="BE56">
        <v>5.9500721499999996</v>
      </c>
      <c r="BF56">
        <v>5.9417027420000004</v>
      </c>
      <c r="BG56">
        <v>5.9333333330000002</v>
      </c>
      <c r="BH56">
        <v>5.9249639250000001</v>
      </c>
      <c r="BI56">
        <v>5.5971139970000001</v>
      </c>
      <c r="BJ56">
        <v>5.2692640690000001</v>
      </c>
      <c r="BK56">
        <v>4.9414141410000001</v>
      </c>
      <c r="BL56">
        <v>4.6135642140000002</v>
      </c>
      <c r="BM56">
        <v>4.2857142860000002</v>
      </c>
      <c r="BN56">
        <v>4.2867965369999999</v>
      </c>
      <c r="BO56">
        <v>4.2878787880000004</v>
      </c>
      <c r="BP56">
        <v>4.2889610390000001</v>
      </c>
      <c r="BQ56">
        <v>4.2900432899999998</v>
      </c>
      <c r="BR56">
        <v>4.2828282829999997</v>
      </c>
      <c r="BS56">
        <v>4.2864357860000002</v>
      </c>
      <c r="BT56">
        <v>4.2900432899999998</v>
      </c>
      <c r="BU56">
        <v>4.1707551709999997</v>
      </c>
      <c r="BV56">
        <v>4.0514670519999996</v>
      </c>
      <c r="BW56">
        <v>3.9321789319999998</v>
      </c>
      <c r="BX56">
        <v>3.9220779220000002</v>
      </c>
      <c r="BY56">
        <v>3.9119769120000001</v>
      </c>
      <c r="BZ56">
        <v>3.900913901</v>
      </c>
      <c r="CA56">
        <v>3.8898508899999999</v>
      </c>
      <c r="CB56">
        <v>3.8787878789999999</v>
      </c>
      <c r="CC56">
        <v>3.8614718620000001</v>
      </c>
      <c r="CD56">
        <v>3.8614718620000001</v>
      </c>
      <c r="CE56">
        <v>3.8398268400000002</v>
      </c>
      <c r="CF56">
        <v>3.8181818179999998</v>
      </c>
      <c r="CG56">
        <v>3.7965367969999999</v>
      </c>
      <c r="CH56">
        <v>3.7958152959999998</v>
      </c>
      <c r="CI56">
        <v>3.7950937950000001</v>
      </c>
      <c r="CJ56">
        <v>3.823472824</v>
      </c>
      <c r="CK56">
        <v>3.8518518519999998</v>
      </c>
      <c r="CL56">
        <v>3.88023088</v>
      </c>
      <c r="CM56">
        <v>3.78961039</v>
      </c>
      <c r="CN56">
        <v>3.6989898989999999</v>
      </c>
      <c r="CO56">
        <v>3.6083694080000002</v>
      </c>
      <c r="CP56">
        <v>3.5177489180000001</v>
      </c>
      <c r="CQ56">
        <v>3.427128427</v>
      </c>
      <c r="CR56">
        <v>3.458297258</v>
      </c>
      <c r="CS56">
        <v>3.4894660900000001</v>
      </c>
      <c r="CT56">
        <v>3.5206349210000001</v>
      </c>
      <c r="CU56">
        <v>3.5518037520000001</v>
      </c>
      <c r="CV56">
        <v>3.5829725830000001</v>
      </c>
      <c r="CW56">
        <v>3.5829725830000001</v>
      </c>
      <c r="CX56">
        <v>3.5829725830000001</v>
      </c>
    </row>
    <row r="57" spans="1:102" x14ac:dyDescent="0.3">
      <c r="A57" t="s">
        <v>220</v>
      </c>
      <c r="B57" t="s">
        <v>221</v>
      </c>
      <c r="C57" t="s">
        <v>222</v>
      </c>
      <c r="D57" t="s">
        <v>223</v>
      </c>
      <c r="E57" t="s">
        <v>354</v>
      </c>
      <c r="F57" t="s">
        <v>225</v>
      </c>
      <c r="G57" t="s">
        <v>226</v>
      </c>
      <c r="H57" t="s">
        <v>226</v>
      </c>
      <c r="I57" t="s">
        <v>226</v>
      </c>
      <c r="J57" t="s">
        <v>227</v>
      </c>
      <c r="K57" t="s">
        <v>228</v>
      </c>
      <c r="L57" t="s">
        <v>228</v>
      </c>
      <c r="M57" t="s">
        <v>228</v>
      </c>
      <c r="N57" t="s">
        <v>228</v>
      </c>
      <c r="O57" t="s">
        <v>229</v>
      </c>
      <c r="P57">
        <v>2</v>
      </c>
      <c r="Q57" t="s">
        <v>230</v>
      </c>
      <c r="R57" t="s">
        <v>231</v>
      </c>
      <c r="S57" t="s">
        <v>232</v>
      </c>
      <c r="T57">
        <v>0</v>
      </c>
      <c r="U57" t="s">
        <v>230</v>
      </c>
      <c r="V57" t="s">
        <v>233</v>
      </c>
      <c r="W57" t="s">
        <v>223</v>
      </c>
      <c r="X57" t="s">
        <v>234</v>
      </c>
      <c r="Y57" t="s">
        <v>355</v>
      </c>
      <c r="Z57" t="s">
        <v>232</v>
      </c>
      <c r="AA57" t="s">
        <v>236</v>
      </c>
      <c r="AB57" t="s">
        <v>237</v>
      </c>
      <c r="AC57" t="s">
        <v>236</v>
      </c>
      <c r="AD57" t="s">
        <v>238</v>
      </c>
      <c r="AE57" t="s">
        <v>239</v>
      </c>
      <c r="AF57" t="s">
        <v>239</v>
      </c>
      <c r="AG57" t="s">
        <v>239</v>
      </c>
      <c r="AH57" t="s">
        <v>239</v>
      </c>
      <c r="AI57" t="s">
        <v>240</v>
      </c>
      <c r="AJ57" t="s">
        <v>241</v>
      </c>
      <c r="AK57" t="s">
        <v>242</v>
      </c>
      <c r="AL57" t="s">
        <v>234</v>
      </c>
      <c r="AM57" t="s">
        <v>243</v>
      </c>
      <c r="AN57" t="s">
        <v>244</v>
      </c>
      <c r="AO57" t="s">
        <v>245</v>
      </c>
      <c r="BC57">
        <v>94.085025459999997</v>
      </c>
      <c r="BD57">
        <v>94.170603029999995</v>
      </c>
      <c r="BE57">
        <v>94.256180599999993</v>
      </c>
      <c r="BF57">
        <v>94.341758170000006</v>
      </c>
      <c r="BG57">
        <v>94.427335749999997</v>
      </c>
      <c r="BH57">
        <v>94.512913319999996</v>
      </c>
      <c r="BI57">
        <v>94.598490889999994</v>
      </c>
      <c r="BJ57">
        <v>94.684068460000006</v>
      </c>
      <c r="BK57">
        <v>94.769646030000004</v>
      </c>
      <c r="BL57">
        <v>94.855223609999996</v>
      </c>
      <c r="BM57">
        <v>94.940801179999994</v>
      </c>
      <c r="BN57">
        <v>95.026378750000006</v>
      </c>
      <c r="BO57">
        <v>95.111956320000004</v>
      </c>
      <c r="BP57">
        <v>95.197533890000003</v>
      </c>
      <c r="BQ57">
        <v>95.283111469999994</v>
      </c>
      <c r="BR57">
        <v>95.368689040000007</v>
      </c>
      <c r="BS57">
        <v>95.454266610000005</v>
      </c>
      <c r="BT57">
        <v>96.610296570000003</v>
      </c>
      <c r="BU57">
        <v>97.766326539999994</v>
      </c>
      <c r="BV57">
        <v>98.922356500000006</v>
      </c>
      <c r="BW57">
        <v>100.07838649999999</v>
      </c>
      <c r="BX57">
        <v>101.2344164</v>
      </c>
      <c r="BY57">
        <v>102.3904464</v>
      </c>
      <c r="BZ57">
        <v>103.5464764</v>
      </c>
      <c r="CA57">
        <v>104.7025063</v>
      </c>
      <c r="CB57">
        <v>105.8585363</v>
      </c>
      <c r="CC57">
        <v>106.64115700000001</v>
      </c>
      <c r="CD57">
        <v>107.4237777</v>
      </c>
      <c r="CE57">
        <v>108.2063984</v>
      </c>
      <c r="CF57">
        <v>108.98901909999999</v>
      </c>
      <c r="CG57">
        <v>109.7716398</v>
      </c>
      <c r="CH57">
        <v>110.69412920000001</v>
      </c>
      <c r="CI57">
        <v>111.6166186</v>
      </c>
      <c r="CJ57">
        <v>112.56978100000001</v>
      </c>
      <c r="CK57">
        <v>112.31826270000001</v>
      </c>
      <c r="CL57">
        <v>113.6617385</v>
      </c>
      <c r="CM57">
        <v>110.10367460000001</v>
      </c>
      <c r="CN57">
        <v>115.2567327</v>
      </c>
      <c r="CO57">
        <v>112.56978100000001</v>
      </c>
      <c r="CP57">
        <v>119.54481319999999</v>
      </c>
      <c r="CQ57">
        <v>120.7962702</v>
      </c>
      <c r="CR57">
        <v>122.5507638</v>
      </c>
      <c r="CS57">
        <v>122.6734556</v>
      </c>
      <c r="CT57">
        <v>118.23814489999999</v>
      </c>
      <c r="CU57">
        <v>108.6497761</v>
      </c>
      <c r="CV57">
        <v>116.3057481</v>
      </c>
      <c r="CW57">
        <v>112.9746641</v>
      </c>
      <c r="CX57">
        <v>109.9932519</v>
      </c>
    </row>
    <row r="58" spans="1:102" x14ac:dyDescent="0.3">
      <c r="A58" t="s">
        <v>220</v>
      </c>
      <c r="B58" t="s">
        <v>221</v>
      </c>
      <c r="C58" t="s">
        <v>222</v>
      </c>
      <c r="D58" t="s">
        <v>223</v>
      </c>
      <c r="E58" t="s">
        <v>356</v>
      </c>
      <c r="F58" t="s">
        <v>225</v>
      </c>
      <c r="G58" t="s">
        <v>226</v>
      </c>
      <c r="H58" t="s">
        <v>226</v>
      </c>
      <c r="I58" t="s">
        <v>226</v>
      </c>
      <c r="J58" t="s">
        <v>227</v>
      </c>
      <c r="K58" t="s">
        <v>228</v>
      </c>
      <c r="L58" t="s">
        <v>228</v>
      </c>
      <c r="M58" t="s">
        <v>228</v>
      </c>
      <c r="N58" t="s">
        <v>228</v>
      </c>
      <c r="O58" t="s">
        <v>229</v>
      </c>
      <c r="P58">
        <v>2</v>
      </c>
      <c r="Q58" t="s">
        <v>230</v>
      </c>
      <c r="R58" t="s">
        <v>231</v>
      </c>
      <c r="S58" t="s">
        <v>232</v>
      </c>
      <c r="T58">
        <v>0</v>
      </c>
      <c r="U58" t="s">
        <v>230</v>
      </c>
      <c r="V58" t="s">
        <v>233</v>
      </c>
      <c r="W58" t="s">
        <v>223</v>
      </c>
      <c r="X58" t="s">
        <v>234</v>
      </c>
      <c r="Y58" t="s">
        <v>357</v>
      </c>
      <c r="Z58" t="s">
        <v>232</v>
      </c>
      <c r="AA58" t="s">
        <v>236</v>
      </c>
      <c r="AB58" t="s">
        <v>237</v>
      </c>
      <c r="AC58" t="s">
        <v>236</v>
      </c>
      <c r="AD58" t="s">
        <v>238</v>
      </c>
      <c r="AE58" t="s">
        <v>239</v>
      </c>
      <c r="AF58" t="s">
        <v>239</v>
      </c>
      <c r="AG58" t="s">
        <v>239</v>
      </c>
      <c r="AH58" t="s">
        <v>239</v>
      </c>
      <c r="AI58" t="s">
        <v>240</v>
      </c>
      <c r="AJ58" t="s">
        <v>241</v>
      </c>
      <c r="AK58" t="s">
        <v>242</v>
      </c>
      <c r="AL58" t="s">
        <v>234</v>
      </c>
      <c r="AM58" t="s">
        <v>243</v>
      </c>
      <c r="AN58" t="s">
        <v>244</v>
      </c>
      <c r="AO58" t="s">
        <v>245</v>
      </c>
      <c r="BR58">
        <v>17.805313689999998</v>
      </c>
      <c r="BS58">
        <v>17.93681625</v>
      </c>
      <c r="BT58">
        <v>18.068318819999998</v>
      </c>
      <c r="BU58">
        <v>18.19982139</v>
      </c>
      <c r="BV58">
        <v>18.331323959999999</v>
      </c>
      <c r="BW58">
        <v>18.46282652</v>
      </c>
      <c r="BX58">
        <v>18.594329089999999</v>
      </c>
      <c r="BY58">
        <v>18.725831660000001</v>
      </c>
      <c r="BZ58">
        <v>18.857334229999999</v>
      </c>
      <c r="CA58">
        <v>18.988836790000001</v>
      </c>
      <c r="CB58">
        <v>19.120339359999999</v>
      </c>
      <c r="CC58">
        <v>19.754409469999999</v>
      </c>
      <c r="CD58">
        <v>20.388479570000001</v>
      </c>
      <c r="CE58">
        <v>21.022549680000001</v>
      </c>
      <c r="CF58">
        <v>21.65661978</v>
      </c>
      <c r="CG58">
        <v>22.290689889999999</v>
      </c>
      <c r="CH58">
        <v>22.373744139999999</v>
      </c>
      <c r="CI58">
        <v>22.456798389999999</v>
      </c>
      <c r="CJ58">
        <v>22.535833889999999</v>
      </c>
      <c r="CK58">
        <v>22.6229069</v>
      </c>
      <c r="CL58">
        <v>22.70596115</v>
      </c>
      <c r="CM58">
        <v>22.066532710000001</v>
      </c>
      <c r="CN58">
        <v>21.437820940000002</v>
      </c>
      <c r="CO58">
        <v>20.803750839999999</v>
      </c>
      <c r="CP58">
        <v>20.16968073</v>
      </c>
      <c r="CQ58">
        <v>19.535610630000001</v>
      </c>
      <c r="CR58">
        <v>19.535610630000001</v>
      </c>
      <c r="CS58">
        <v>19.535610630000001</v>
      </c>
      <c r="CT58">
        <v>19.535610630000001</v>
      </c>
      <c r="CU58">
        <v>19.535610630000001</v>
      </c>
      <c r="CV58">
        <v>19.535610630000001</v>
      </c>
      <c r="CW58">
        <v>19.535610630000001</v>
      </c>
      <c r="CX58">
        <v>19.535610630000001</v>
      </c>
    </row>
    <row r="59" spans="1:102" x14ac:dyDescent="0.3">
      <c r="A59" t="s">
        <v>220</v>
      </c>
      <c r="B59" t="s">
        <v>221</v>
      </c>
      <c r="C59" t="s">
        <v>222</v>
      </c>
      <c r="D59" t="s">
        <v>223</v>
      </c>
      <c r="E59" t="s">
        <v>358</v>
      </c>
      <c r="F59" t="s">
        <v>225</v>
      </c>
      <c r="G59" t="s">
        <v>226</v>
      </c>
      <c r="H59" t="s">
        <v>226</v>
      </c>
      <c r="I59" t="s">
        <v>226</v>
      </c>
      <c r="J59" t="s">
        <v>227</v>
      </c>
      <c r="K59" t="s">
        <v>228</v>
      </c>
      <c r="L59" t="s">
        <v>228</v>
      </c>
      <c r="M59" t="s">
        <v>228</v>
      </c>
      <c r="N59" t="s">
        <v>228</v>
      </c>
      <c r="O59" t="s">
        <v>229</v>
      </c>
      <c r="P59">
        <v>2</v>
      </c>
      <c r="Q59" t="s">
        <v>230</v>
      </c>
      <c r="R59" t="s">
        <v>231</v>
      </c>
      <c r="S59" t="s">
        <v>232</v>
      </c>
      <c r="T59">
        <v>0</v>
      </c>
      <c r="U59" t="s">
        <v>230</v>
      </c>
      <c r="V59" t="s">
        <v>233</v>
      </c>
      <c r="W59" t="s">
        <v>223</v>
      </c>
      <c r="X59" t="s">
        <v>234</v>
      </c>
      <c r="Y59" t="s">
        <v>359</v>
      </c>
      <c r="Z59" t="s">
        <v>232</v>
      </c>
      <c r="AA59" t="s">
        <v>236</v>
      </c>
      <c r="AB59" t="s">
        <v>237</v>
      </c>
      <c r="AC59" t="s">
        <v>236</v>
      </c>
      <c r="AD59" t="s">
        <v>238</v>
      </c>
      <c r="AE59" t="s">
        <v>239</v>
      </c>
      <c r="AF59" t="s">
        <v>239</v>
      </c>
      <c r="AG59" t="s">
        <v>239</v>
      </c>
      <c r="AH59" t="s">
        <v>239</v>
      </c>
      <c r="AI59" t="s">
        <v>240</v>
      </c>
      <c r="AJ59" t="s">
        <v>241</v>
      </c>
      <c r="AK59" t="s">
        <v>242</v>
      </c>
      <c r="AL59" t="s">
        <v>234</v>
      </c>
      <c r="AM59" t="s">
        <v>243</v>
      </c>
      <c r="AN59" t="s">
        <v>244</v>
      </c>
      <c r="AO59" t="s">
        <v>245</v>
      </c>
      <c r="BO59">
        <v>11.33333333</v>
      </c>
      <c r="BP59">
        <v>11.730158729999999</v>
      </c>
      <c r="BQ59">
        <v>11.74603175</v>
      </c>
      <c r="BR59">
        <v>11.95238095</v>
      </c>
      <c r="BS59">
        <v>11.587301589999999</v>
      </c>
      <c r="BT59">
        <v>12.36507937</v>
      </c>
      <c r="BU59">
        <v>12.57142857</v>
      </c>
      <c r="BV59">
        <v>12.777777779999999</v>
      </c>
      <c r="BW59">
        <v>15.320512819999999</v>
      </c>
      <c r="BX59">
        <v>15.881410259999999</v>
      </c>
      <c r="BY59">
        <v>16.44230769</v>
      </c>
      <c r="BZ59">
        <v>17.003205130000001</v>
      </c>
      <c r="CA59">
        <v>17.564102559999998</v>
      </c>
      <c r="CB59">
        <v>17.666666670000001</v>
      </c>
      <c r="CC59">
        <v>17.125</v>
      </c>
      <c r="CD59">
        <v>16.916666670000001</v>
      </c>
      <c r="CE59">
        <v>16.708333329999999</v>
      </c>
      <c r="CF59">
        <v>16.5</v>
      </c>
      <c r="CG59">
        <v>14.47619048</v>
      </c>
      <c r="CH59">
        <v>14.87301587</v>
      </c>
      <c r="CI59">
        <v>15.460317460000001</v>
      </c>
      <c r="CJ59">
        <v>15.66666667</v>
      </c>
      <c r="CK59">
        <v>9.5238095240000007</v>
      </c>
      <c r="CL59">
        <v>3.3809523810000002</v>
      </c>
      <c r="CM59">
        <v>15.66666667</v>
      </c>
      <c r="CN59">
        <v>15.66666667</v>
      </c>
      <c r="CO59">
        <v>15.66666667</v>
      </c>
      <c r="CP59">
        <v>15.66666667</v>
      </c>
      <c r="CQ59">
        <v>15.66666667</v>
      </c>
      <c r="CR59">
        <v>15.66666667</v>
      </c>
      <c r="CS59">
        <v>15.66666667</v>
      </c>
      <c r="CT59">
        <v>15.66666667</v>
      </c>
      <c r="CU59">
        <v>15.66666667</v>
      </c>
      <c r="CV59">
        <v>15.66666667</v>
      </c>
      <c r="CW59">
        <v>15.66666667</v>
      </c>
      <c r="CX59">
        <v>15.66666667</v>
      </c>
    </row>
    <row r="60" spans="1:102" x14ac:dyDescent="0.3">
      <c r="A60" t="s">
        <v>220</v>
      </c>
      <c r="B60" t="s">
        <v>221</v>
      </c>
      <c r="C60" t="s">
        <v>222</v>
      </c>
      <c r="D60" t="s">
        <v>223</v>
      </c>
      <c r="E60" t="s">
        <v>360</v>
      </c>
      <c r="F60" t="s">
        <v>225</v>
      </c>
      <c r="G60" t="s">
        <v>226</v>
      </c>
      <c r="H60" t="s">
        <v>226</v>
      </c>
      <c r="I60" t="s">
        <v>226</v>
      </c>
      <c r="J60" t="s">
        <v>227</v>
      </c>
      <c r="K60" t="s">
        <v>228</v>
      </c>
      <c r="L60" t="s">
        <v>228</v>
      </c>
      <c r="M60" t="s">
        <v>228</v>
      </c>
      <c r="N60" t="s">
        <v>228</v>
      </c>
      <c r="O60" t="s">
        <v>229</v>
      </c>
      <c r="P60">
        <v>2</v>
      </c>
      <c r="Q60" t="s">
        <v>230</v>
      </c>
      <c r="R60" t="s">
        <v>231</v>
      </c>
      <c r="S60" t="s">
        <v>232</v>
      </c>
      <c r="T60">
        <v>0</v>
      </c>
      <c r="U60" t="s">
        <v>230</v>
      </c>
      <c r="V60" t="s">
        <v>233</v>
      </c>
      <c r="W60" t="s">
        <v>223</v>
      </c>
      <c r="X60" t="s">
        <v>234</v>
      </c>
      <c r="Y60" t="s">
        <v>361</v>
      </c>
      <c r="Z60" t="s">
        <v>232</v>
      </c>
      <c r="AA60" t="s">
        <v>236</v>
      </c>
      <c r="AB60" t="s">
        <v>237</v>
      </c>
      <c r="AC60" t="s">
        <v>236</v>
      </c>
      <c r="AD60" t="s">
        <v>238</v>
      </c>
      <c r="AE60" t="s">
        <v>239</v>
      </c>
      <c r="AF60" t="s">
        <v>239</v>
      </c>
      <c r="AG60" t="s">
        <v>239</v>
      </c>
      <c r="AH60" t="s">
        <v>239</v>
      </c>
      <c r="AI60" t="s">
        <v>240</v>
      </c>
      <c r="AJ60" t="s">
        <v>241</v>
      </c>
      <c r="AK60" t="s">
        <v>242</v>
      </c>
      <c r="AL60" t="s">
        <v>234</v>
      </c>
      <c r="AM60" t="s">
        <v>243</v>
      </c>
      <c r="AN60" t="s">
        <v>244</v>
      </c>
      <c r="AO60" t="s">
        <v>245</v>
      </c>
      <c r="AX60">
        <v>8.9785600599999995</v>
      </c>
      <c r="AY60">
        <v>9.8792247920000005</v>
      </c>
      <c r="AZ60">
        <v>10.779889519999999</v>
      </c>
      <c r="BA60">
        <v>11.680554259999999</v>
      </c>
      <c r="BB60">
        <v>12.58121899</v>
      </c>
      <c r="BC60">
        <v>13.481883720000001</v>
      </c>
      <c r="BD60">
        <v>14.305776610000001</v>
      </c>
      <c r="BE60">
        <v>15.129669509999999</v>
      </c>
      <c r="BF60">
        <v>15.953562399999999</v>
      </c>
      <c r="BG60">
        <v>16.777455289999999</v>
      </c>
      <c r="BH60">
        <v>17.60134819</v>
      </c>
      <c r="BI60">
        <v>17.919670440000001</v>
      </c>
      <c r="BJ60">
        <v>18.2379927</v>
      </c>
      <c r="BK60">
        <v>18.556314950000001</v>
      </c>
      <c r="BL60">
        <v>18.874637209999999</v>
      </c>
      <c r="BM60">
        <v>19.192959460000001</v>
      </c>
      <c r="BN60">
        <v>19.17610711</v>
      </c>
      <c r="BO60">
        <v>19.159254749999999</v>
      </c>
      <c r="BP60">
        <v>19.142402400000002</v>
      </c>
      <c r="BQ60">
        <v>19.12555004</v>
      </c>
      <c r="BR60">
        <v>19.10869769</v>
      </c>
      <c r="BS60">
        <v>18.962019789999999</v>
      </c>
      <c r="BT60">
        <v>18.815341879999998</v>
      </c>
      <c r="BU60">
        <v>18.668663980000002</v>
      </c>
      <c r="BV60">
        <v>16.824267389999999</v>
      </c>
      <c r="BW60">
        <v>14.9798708</v>
      </c>
      <c r="BX60">
        <v>13.32272259</v>
      </c>
      <c r="BY60">
        <v>11.665574380000001</v>
      </c>
      <c r="BZ60">
        <v>11.946446959999999</v>
      </c>
      <c r="CA60">
        <v>11.843460350000001</v>
      </c>
      <c r="CB60">
        <v>9.0347345749999999</v>
      </c>
      <c r="CC60">
        <v>8.480479356</v>
      </c>
      <c r="CD60">
        <v>8.634023032</v>
      </c>
      <c r="CE60">
        <v>7.9655462970000004</v>
      </c>
      <c r="CF60">
        <v>6.6697874730000004</v>
      </c>
      <c r="CG60">
        <v>5.7204381609999997</v>
      </c>
      <c r="CH60">
        <v>4.9901694599999997</v>
      </c>
      <c r="CI60">
        <v>6.4450894109999997</v>
      </c>
      <c r="CJ60">
        <v>6.7596666980000002</v>
      </c>
      <c r="CK60">
        <v>6.4375994759999999</v>
      </c>
      <c r="CL60">
        <v>5.8224885310000003</v>
      </c>
      <c r="CM60">
        <v>6.171706769</v>
      </c>
      <c r="CN60">
        <v>6.0687201569999996</v>
      </c>
      <c r="CO60">
        <v>6.0088006739999997</v>
      </c>
      <c r="CP60">
        <v>5.8814717720000003</v>
      </c>
      <c r="CQ60">
        <v>6.0528040450000002</v>
      </c>
      <c r="CR60">
        <v>5.9676060289999997</v>
      </c>
      <c r="CS60">
        <v>6.3411665570000002</v>
      </c>
      <c r="CT60">
        <v>6.00692819</v>
      </c>
      <c r="CU60">
        <v>6.5471397810000003</v>
      </c>
      <c r="CV60">
        <v>6.9244452770000002</v>
      </c>
      <c r="CW60">
        <v>7.3626064979999999</v>
      </c>
      <c r="CX60">
        <v>7.6313079300000002</v>
      </c>
    </row>
    <row r="61" spans="1:102" x14ac:dyDescent="0.3">
      <c r="A61" t="s">
        <v>220</v>
      </c>
      <c r="B61" t="s">
        <v>221</v>
      </c>
      <c r="C61" t="s">
        <v>222</v>
      </c>
      <c r="D61" t="s">
        <v>223</v>
      </c>
      <c r="E61" t="s">
        <v>362</v>
      </c>
      <c r="F61" t="s">
        <v>225</v>
      </c>
      <c r="G61" t="s">
        <v>226</v>
      </c>
      <c r="H61" t="s">
        <v>226</v>
      </c>
      <c r="I61" t="s">
        <v>226</v>
      </c>
      <c r="J61" t="s">
        <v>227</v>
      </c>
      <c r="K61" t="s">
        <v>228</v>
      </c>
      <c r="L61" t="s">
        <v>228</v>
      </c>
      <c r="M61" t="s">
        <v>228</v>
      </c>
      <c r="N61" t="s">
        <v>228</v>
      </c>
      <c r="O61" t="s">
        <v>229</v>
      </c>
      <c r="P61">
        <v>2</v>
      </c>
      <c r="Q61" t="s">
        <v>230</v>
      </c>
      <c r="R61" t="s">
        <v>231</v>
      </c>
      <c r="S61" t="s">
        <v>232</v>
      </c>
      <c r="T61">
        <v>0</v>
      </c>
      <c r="U61" t="s">
        <v>230</v>
      </c>
      <c r="V61" t="s">
        <v>233</v>
      </c>
      <c r="W61" t="s">
        <v>223</v>
      </c>
      <c r="X61" t="s">
        <v>234</v>
      </c>
      <c r="Y61" t="s">
        <v>363</v>
      </c>
      <c r="Z61" t="s">
        <v>232</v>
      </c>
      <c r="AA61" t="s">
        <v>236</v>
      </c>
      <c r="AB61" t="s">
        <v>237</v>
      </c>
      <c r="AC61" t="s">
        <v>236</v>
      </c>
      <c r="AD61" t="s">
        <v>238</v>
      </c>
      <c r="AE61" t="s">
        <v>239</v>
      </c>
      <c r="AF61" t="s">
        <v>239</v>
      </c>
      <c r="AG61" t="s">
        <v>239</v>
      </c>
      <c r="AH61" t="s">
        <v>239</v>
      </c>
      <c r="AI61" t="s">
        <v>240</v>
      </c>
      <c r="AJ61" t="s">
        <v>241</v>
      </c>
      <c r="AK61" t="s">
        <v>242</v>
      </c>
      <c r="AL61" t="s">
        <v>234</v>
      </c>
      <c r="AM61" t="s">
        <v>243</v>
      </c>
      <c r="AN61" t="s">
        <v>244</v>
      </c>
      <c r="AO61" t="s">
        <v>245</v>
      </c>
      <c r="BU61">
        <v>3.1424375919999998</v>
      </c>
      <c r="BV61">
        <v>3.2056929850000002</v>
      </c>
      <c r="BW61">
        <v>3.2689483789999998</v>
      </c>
      <c r="BX61">
        <v>3.3322037729999998</v>
      </c>
      <c r="BY61">
        <v>3.3954591660000002</v>
      </c>
      <c r="BZ61">
        <v>3.4587145600000002</v>
      </c>
      <c r="CA61">
        <v>3.5219699539999998</v>
      </c>
      <c r="CB61">
        <v>3.5852253470000002</v>
      </c>
      <c r="CC61">
        <v>3.6484807410000002</v>
      </c>
      <c r="CD61">
        <v>3.7117361350000002</v>
      </c>
      <c r="CE61">
        <v>3.7749915280000002</v>
      </c>
      <c r="CF61">
        <v>3.8382469220000002</v>
      </c>
      <c r="CG61">
        <v>3.7533039650000002</v>
      </c>
      <c r="CH61">
        <v>3.9647577090000001</v>
      </c>
      <c r="CI61">
        <v>3.991678904</v>
      </c>
      <c r="CJ61">
        <v>4.0186000980000003</v>
      </c>
      <c r="CK61">
        <v>4.0455212920000001</v>
      </c>
      <c r="CL61">
        <v>3.8969652469999998</v>
      </c>
      <c r="CM61">
        <v>3.7484092019999999</v>
      </c>
      <c r="CN61">
        <v>3.5998531570000001</v>
      </c>
      <c r="CO61">
        <v>3.4512971119999998</v>
      </c>
      <c r="CP61">
        <v>3.3027410669999999</v>
      </c>
      <c r="CQ61">
        <v>3.1541850220000001</v>
      </c>
      <c r="CR61">
        <v>3.395007342</v>
      </c>
      <c r="CS61">
        <v>3.395007342</v>
      </c>
      <c r="CT61">
        <v>3.395007342</v>
      </c>
      <c r="CU61">
        <v>3.395007342</v>
      </c>
      <c r="CV61">
        <v>3.395007342</v>
      </c>
      <c r="CW61">
        <v>3.395007342</v>
      </c>
      <c r="CX61">
        <v>3.395007342</v>
      </c>
    </row>
    <row r="62" spans="1:102" x14ac:dyDescent="0.3">
      <c r="A62" t="s">
        <v>220</v>
      </c>
      <c r="B62" t="s">
        <v>221</v>
      </c>
      <c r="C62" t="s">
        <v>222</v>
      </c>
      <c r="D62" t="s">
        <v>223</v>
      </c>
      <c r="E62" t="s">
        <v>364</v>
      </c>
      <c r="F62" t="s">
        <v>225</v>
      </c>
      <c r="G62" t="s">
        <v>226</v>
      </c>
      <c r="H62" t="s">
        <v>226</v>
      </c>
      <c r="I62" t="s">
        <v>226</v>
      </c>
      <c r="J62" t="s">
        <v>227</v>
      </c>
      <c r="K62" t="s">
        <v>228</v>
      </c>
      <c r="L62" t="s">
        <v>228</v>
      </c>
      <c r="M62" t="s">
        <v>228</v>
      </c>
      <c r="N62" t="s">
        <v>228</v>
      </c>
      <c r="O62" t="s">
        <v>229</v>
      </c>
      <c r="P62">
        <v>2</v>
      </c>
      <c r="Q62" t="s">
        <v>230</v>
      </c>
      <c r="R62" t="s">
        <v>231</v>
      </c>
      <c r="S62" t="s">
        <v>232</v>
      </c>
      <c r="T62">
        <v>0</v>
      </c>
      <c r="U62" t="s">
        <v>230</v>
      </c>
      <c r="V62" t="s">
        <v>233</v>
      </c>
      <c r="W62" t="s">
        <v>223</v>
      </c>
      <c r="X62" t="s">
        <v>234</v>
      </c>
      <c r="Y62" t="s">
        <v>365</v>
      </c>
      <c r="Z62" t="s">
        <v>232</v>
      </c>
      <c r="AA62" t="s">
        <v>236</v>
      </c>
      <c r="AB62" t="s">
        <v>237</v>
      </c>
      <c r="AC62" t="s">
        <v>236</v>
      </c>
      <c r="AD62" t="s">
        <v>238</v>
      </c>
      <c r="AE62" t="s">
        <v>239</v>
      </c>
      <c r="AF62" t="s">
        <v>239</v>
      </c>
      <c r="AG62" t="s">
        <v>239</v>
      </c>
      <c r="AH62" t="s">
        <v>239</v>
      </c>
      <c r="AI62" t="s">
        <v>240</v>
      </c>
      <c r="AJ62" t="s">
        <v>241</v>
      </c>
      <c r="AK62" t="s">
        <v>242</v>
      </c>
      <c r="AL62" t="s">
        <v>234</v>
      </c>
      <c r="AM62" t="s">
        <v>243</v>
      </c>
      <c r="AN62" t="s">
        <v>244</v>
      </c>
      <c r="AO62" t="s">
        <v>245</v>
      </c>
      <c r="BW62">
        <v>31.342465749999999</v>
      </c>
      <c r="BX62">
        <v>29.44484499</v>
      </c>
      <c r="BY62">
        <v>27.54722422</v>
      </c>
      <c r="BZ62">
        <v>25.649603460000002</v>
      </c>
      <c r="CA62">
        <v>23.751982699999999</v>
      </c>
      <c r="CB62">
        <v>21.85436193</v>
      </c>
      <c r="CC62">
        <v>19.956741170000001</v>
      </c>
      <c r="CD62">
        <v>19.222062000000001</v>
      </c>
      <c r="CE62">
        <v>18.487382839999999</v>
      </c>
      <c r="CF62">
        <v>17.75270368</v>
      </c>
      <c r="CG62">
        <v>17.01802451</v>
      </c>
      <c r="CH62">
        <v>16.670511900000001</v>
      </c>
      <c r="CI62">
        <v>16.322999280000001</v>
      </c>
      <c r="CJ62">
        <v>13.371304970000001</v>
      </c>
      <c r="CK62">
        <v>10.419610670000001</v>
      </c>
      <c r="CL62">
        <v>7.4679163659999999</v>
      </c>
      <c r="CM62">
        <v>4.5162220619999998</v>
      </c>
      <c r="CN62">
        <v>3.8702235040000001</v>
      </c>
      <c r="CO62">
        <v>3.2242249460000001</v>
      </c>
      <c r="CP62">
        <v>2.578226388</v>
      </c>
      <c r="CQ62">
        <v>2.752703677</v>
      </c>
      <c r="CR62">
        <v>2.2198990630000002</v>
      </c>
      <c r="CS62">
        <v>1.8673395820000001</v>
      </c>
      <c r="CT62">
        <v>1.8341023789999999</v>
      </c>
      <c r="CU62">
        <v>2.3632660419999998</v>
      </c>
      <c r="CV62">
        <v>2.892429704</v>
      </c>
      <c r="CW62">
        <v>2.5582552270000001</v>
      </c>
      <c r="CX62">
        <v>2.1655371309999998</v>
      </c>
    </row>
    <row r="63" spans="1:102" x14ac:dyDescent="0.3">
      <c r="A63" t="s">
        <v>220</v>
      </c>
      <c r="B63" t="s">
        <v>221</v>
      </c>
      <c r="C63" t="s">
        <v>222</v>
      </c>
      <c r="D63" t="s">
        <v>223</v>
      </c>
      <c r="E63" t="s">
        <v>366</v>
      </c>
      <c r="F63" t="s">
        <v>225</v>
      </c>
      <c r="G63" t="s">
        <v>226</v>
      </c>
      <c r="H63" t="s">
        <v>226</v>
      </c>
      <c r="I63" t="s">
        <v>226</v>
      </c>
      <c r="J63" t="s">
        <v>227</v>
      </c>
      <c r="K63" t="s">
        <v>228</v>
      </c>
      <c r="L63" t="s">
        <v>228</v>
      </c>
      <c r="M63" t="s">
        <v>228</v>
      </c>
      <c r="N63" t="s">
        <v>228</v>
      </c>
      <c r="O63" t="s">
        <v>229</v>
      </c>
      <c r="P63">
        <v>2</v>
      </c>
      <c r="Q63" t="s">
        <v>230</v>
      </c>
      <c r="R63" t="s">
        <v>231</v>
      </c>
      <c r="S63" t="s">
        <v>232</v>
      </c>
      <c r="T63">
        <v>0</v>
      </c>
      <c r="U63" t="s">
        <v>230</v>
      </c>
      <c r="V63" t="s">
        <v>233</v>
      </c>
      <c r="W63" t="s">
        <v>223</v>
      </c>
      <c r="X63" t="s">
        <v>234</v>
      </c>
      <c r="Y63" t="s">
        <v>367</v>
      </c>
      <c r="Z63" t="s">
        <v>232</v>
      </c>
      <c r="AA63" t="s">
        <v>236</v>
      </c>
      <c r="AB63" t="s">
        <v>237</v>
      </c>
      <c r="AC63" t="s">
        <v>236</v>
      </c>
      <c r="AD63" t="s">
        <v>238</v>
      </c>
      <c r="AE63" t="s">
        <v>239</v>
      </c>
      <c r="AF63" t="s">
        <v>239</v>
      </c>
      <c r="AG63" t="s">
        <v>239</v>
      </c>
      <c r="AH63" t="s">
        <v>239</v>
      </c>
      <c r="AI63" t="s">
        <v>240</v>
      </c>
      <c r="AJ63" t="s">
        <v>241</v>
      </c>
      <c r="AK63" t="s">
        <v>242</v>
      </c>
      <c r="AL63" t="s">
        <v>234</v>
      </c>
      <c r="AM63" t="s">
        <v>243</v>
      </c>
      <c r="AN63" t="s">
        <v>244</v>
      </c>
      <c r="AO63" t="s">
        <v>245</v>
      </c>
      <c r="BC63">
        <v>31.666666670000001</v>
      </c>
      <c r="BD63">
        <v>43.003749999999997</v>
      </c>
      <c r="BE63">
        <v>54.340833330000002</v>
      </c>
      <c r="BF63">
        <v>65.677916670000002</v>
      </c>
      <c r="BG63">
        <v>77.015000000000001</v>
      </c>
      <c r="BH63">
        <v>88.352083329999999</v>
      </c>
      <c r="BI63">
        <v>99.689166670000006</v>
      </c>
      <c r="BJ63">
        <v>111.02625</v>
      </c>
      <c r="BK63">
        <v>122.36333329999999</v>
      </c>
      <c r="BL63">
        <v>133.70041670000001</v>
      </c>
      <c r="BM63">
        <v>145.03749999999999</v>
      </c>
      <c r="BN63">
        <v>156.37458330000001</v>
      </c>
      <c r="BO63">
        <v>167.71166669999999</v>
      </c>
      <c r="BP63">
        <v>179.04875000000001</v>
      </c>
      <c r="BQ63">
        <v>190.3858333</v>
      </c>
      <c r="BR63">
        <v>200.5229167</v>
      </c>
      <c r="BS63">
        <v>211.86</v>
      </c>
      <c r="BT63">
        <v>223.1970833</v>
      </c>
      <c r="BU63">
        <v>234.53416669999999</v>
      </c>
      <c r="BV63">
        <v>245.87125</v>
      </c>
      <c r="BW63">
        <v>257.20833329999999</v>
      </c>
      <c r="BX63">
        <v>268.54541669999998</v>
      </c>
      <c r="BY63">
        <v>279.88249999999999</v>
      </c>
      <c r="BZ63">
        <v>291.21958330000001</v>
      </c>
      <c r="CA63">
        <v>302.55666669999999</v>
      </c>
      <c r="CB63">
        <v>313.89375000000001</v>
      </c>
      <c r="CC63">
        <v>328.23616670000001</v>
      </c>
      <c r="CD63">
        <v>338.24525</v>
      </c>
      <c r="CE63">
        <v>352.52100000000002</v>
      </c>
      <c r="CF63">
        <v>366.79674999999997</v>
      </c>
      <c r="CG63">
        <v>377.5169444</v>
      </c>
      <c r="CH63">
        <v>346.28913890000001</v>
      </c>
      <c r="CI63">
        <v>315.0613333</v>
      </c>
      <c r="CJ63">
        <v>284.45575000000002</v>
      </c>
      <c r="CK63">
        <v>252.18350000000001</v>
      </c>
      <c r="CL63">
        <v>219.91125</v>
      </c>
      <c r="CM63">
        <v>187.63900000000001</v>
      </c>
      <c r="CN63">
        <v>160.0334167</v>
      </c>
      <c r="CO63">
        <v>132.4278333</v>
      </c>
      <c r="CP63">
        <v>108.5055833</v>
      </c>
      <c r="CQ63">
        <v>84.583333330000002</v>
      </c>
      <c r="CR63">
        <v>84.966666669999995</v>
      </c>
      <c r="CS63">
        <v>83.216666669999995</v>
      </c>
      <c r="CT63">
        <v>81.383333329999999</v>
      </c>
      <c r="CU63">
        <v>82.166666669999998</v>
      </c>
      <c r="CV63">
        <v>83.116666670000001</v>
      </c>
      <c r="CW63">
        <v>58.185944669999998</v>
      </c>
      <c r="CX63">
        <v>33.255222670000002</v>
      </c>
    </row>
    <row r="64" spans="1:102" x14ac:dyDescent="0.3">
      <c r="A64" t="s">
        <v>220</v>
      </c>
      <c r="B64" t="s">
        <v>221</v>
      </c>
      <c r="C64" t="s">
        <v>222</v>
      </c>
      <c r="D64" t="s">
        <v>223</v>
      </c>
      <c r="E64" t="s">
        <v>368</v>
      </c>
      <c r="F64" t="s">
        <v>225</v>
      </c>
      <c r="G64" t="s">
        <v>226</v>
      </c>
      <c r="H64" t="s">
        <v>226</v>
      </c>
      <c r="I64" t="s">
        <v>226</v>
      </c>
      <c r="J64" t="s">
        <v>227</v>
      </c>
      <c r="K64" t="s">
        <v>228</v>
      </c>
      <c r="L64" t="s">
        <v>228</v>
      </c>
      <c r="M64" t="s">
        <v>228</v>
      </c>
      <c r="N64" t="s">
        <v>228</v>
      </c>
      <c r="O64" t="s">
        <v>229</v>
      </c>
      <c r="P64">
        <v>2</v>
      </c>
      <c r="Q64" t="s">
        <v>230</v>
      </c>
      <c r="R64" t="s">
        <v>231</v>
      </c>
      <c r="S64" t="s">
        <v>232</v>
      </c>
      <c r="T64">
        <v>0</v>
      </c>
      <c r="U64" t="s">
        <v>230</v>
      </c>
      <c r="V64" t="s">
        <v>233</v>
      </c>
      <c r="W64" t="s">
        <v>223</v>
      </c>
      <c r="X64" t="s">
        <v>234</v>
      </c>
      <c r="Y64" t="s">
        <v>369</v>
      </c>
      <c r="Z64" t="s">
        <v>232</v>
      </c>
      <c r="AA64" t="s">
        <v>236</v>
      </c>
      <c r="AB64" t="s">
        <v>237</v>
      </c>
      <c r="AC64" t="s">
        <v>236</v>
      </c>
      <c r="AD64" t="s">
        <v>238</v>
      </c>
      <c r="AE64" t="s">
        <v>239</v>
      </c>
      <c r="AF64" t="s">
        <v>239</v>
      </c>
      <c r="AG64" t="s">
        <v>239</v>
      </c>
      <c r="AH64" t="s">
        <v>239</v>
      </c>
      <c r="AI64" t="s">
        <v>240</v>
      </c>
      <c r="AJ64" t="s">
        <v>241</v>
      </c>
      <c r="AK64" t="s">
        <v>242</v>
      </c>
      <c r="AL64" t="s">
        <v>234</v>
      </c>
      <c r="AM64" t="s">
        <v>243</v>
      </c>
      <c r="AN64" t="s">
        <v>244</v>
      </c>
      <c r="AO64" t="s">
        <v>245</v>
      </c>
      <c r="BW64">
        <v>10</v>
      </c>
      <c r="BX64">
        <v>9.9499999999999993</v>
      </c>
      <c r="BY64">
        <v>9.9</v>
      </c>
      <c r="BZ64">
        <v>9.85</v>
      </c>
      <c r="CA64">
        <v>9.8000000000000007</v>
      </c>
      <c r="CB64">
        <v>9.75</v>
      </c>
      <c r="CC64">
        <v>9.6999999999999993</v>
      </c>
      <c r="CD64">
        <v>9.4174444439999991</v>
      </c>
      <c r="CE64">
        <v>9.3342222219999993</v>
      </c>
      <c r="CF64">
        <v>9.2509999999999994</v>
      </c>
      <c r="CG64">
        <v>9.5</v>
      </c>
      <c r="CH64">
        <v>9.3000000000000007</v>
      </c>
      <c r="CI64">
        <v>9.1</v>
      </c>
      <c r="CJ64">
        <v>8.9</v>
      </c>
      <c r="CK64">
        <v>8.6999999999999993</v>
      </c>
      <c r="CL64">
        <v>8.5</v>
      </c>
      <c r="CM64">
        <v>8.3000000000000007</v>
      </c>
      <c r="CN64">
        <v>8.1</v>
      </c>
      <c r="CO64">
        <v>7.9</v>
      </c>
      <c r="CP64">
        <v>7.9</v>
      </c>
      <c r="CQ64">
        <v>7.9</v>
      </c>
      <c r="CR64">
        <v>7.9</v>
      </c>
      <c r="CS64">
        <v>7.9</v>
      </c>
      <c r="CT64">
        <v>7.9</v>
      </c>
      <c r="CU64">
        <v>7.9</v>
      </c>
      <c r="CV64">
        <v>7.9</v>
      </c>
      <c r="CW64">
        <v>7.9</v>
      </c>
      <c r="CX64">
        <v>7.9</v>
      </c>
    </row>
    <row r="65" spans="1:102" x14ac:dyDescent="0.3">
      <c r="A65" t="s">
        <v>220</v>
      </c>
      <c r="B65" t="s">
        <v>221</v>
      </c>
      <c r="C65" t="s">
        <v>222</v>
      </c>
      <c r="D65" t="s">
        <v>223</v>
      </c>
      <c r="E65" t="s">
        <v>370</v>
      </c>
      <c r="F65" t="s">
        <v>225</v>
      </c>
      <c r="G65" t="s">
        <v>226</v>
      </c>
      <c r="H65" t="s">
        <v>226</v>
      </c>
      <c r="I65" t="s">
        <v>226</v>
      </c>
      <c r="J65" t="s">
        <v>227</v>
      </c>
      <c r="K65" t="s">
        <v>228</v>
      </c>
      <c r="L65" t="s">
        <v>228</v>
      </c>
      <c r="M65" t="s">
        <v>228</v>
      </c>
      <c r="N65" t="s">
        <v>228</v>
      </c>
      <c r="O65" t="s">
        <v>229</v>
      </c>
      <c r="P65">
        <v>2</v>
      </c>
      <c r="Q65" t="s">
        <v>230</v>
      </c>
      <c r="R65" t="s">
        <v>231</v>
      </c>
      <c r="S65" t="s">
        <v>232</v>
      </c>
      <c r="T65">
        <v>0</v>
      </c>
      <c r="U65" t="s">
        <v>230</v>
      </c>
      <c r="V65" t="s">
        <v>233</v>
      </c>
      <c r="W65" t="s">
        <v>223</v>
      </c>
      <c r="X65" t="s">
        <v>234</v>
      </c>
      <c r="Y65" t="s">
        <v>371</v>
      </c>
      <c r="Z65" t="s">
        <v>232</v>
      </c>
      <c r="AA65" t="s">
        <v>236</v>
      </c>
      <c r="AB65" t="s">
        <v>237</v>
      </c>
      <c r="AC65" t="s">
        <v>236</v>
      </c>
      <c r="AD65" t="s">
        <v>238</v>
      </c>
      <c r="AE65" t="s">
        <v>239</v>
      </c>
      <c r="AF65" t="s">
        <v>239</v>
      </c>
      <c r="AG65" t="s">
        <v>239</v>
      </c>
      <c r="AH65" t="s">
        <v>239</v>
      </c>
      <c r="AI65" t="s">
        <v>240</v>
      </c>
      <c r="AJ65" t="s">
        <v>241</v>
      </c>
      <c r="AK65" t="s">
        <v>242</v>
      </c>
      <c r="AL65" t="s">
        <v>234</v>
      </c>
      <c r="AM65" t="s">
        <v>243</v>
      </c>
      <c r="AN65" t="s">
        <v>244</v>
      </c>
      <c r="AO65" t="s">
        <v>245</v>
      </c>
      <c r="CH65">
        <v>24.118006730000001</v>
      </c>
      <c r="CI65">
        <v>24.91470498</v>
      </c>
      <c r="CJ65">
        <v>25.218281869999998</v>
      </c>
      <c r="CK65">
        <v>24.933047999999999</v>
      </c>
      <c r="CL65">
        <v>25.457963929999998</v>
      </c>
      <c r="CM65">
        <v>25.69825741</v>
      </c>
      <c r="CN65">
        <v>25.75603791</v>
      </c>
      <c r="CO65">
        <v>25.816875570000001</v>
      </c>
      <c r="CP65">
        <v>25.81228982</v>
      </c>
      <c r="CQ65">
        <v>26.413023540000001</v>
      </c>
      <c r="CR65">
        <v>26.632528279999999</v>
      </c>
      <c r="CS65">
        <v>28.062146129999999</v>
      </c>
      <c r="CT65">
        <v>28.17420079</v>
      </c>
      <c r="CU65">
        <v>26.289976759999998</v>
      </c>
      <c r="CV65">
        <v>26.743280089999999</v>
      </c>
      <c r="CW65">
        <v>27.208915780000002</v>
      </c>
      <c r="CX65">
        <v>27.83151711</v>
      </c>
    </row>
    <row r="66" spans="1:102" x14ac:dyDescent="0.3">
      <c r="A66" t="s">
        <v>220</v>
      </c>
      <c r="B66" t="s">
        <v>221</v>
      </c>
      <c r="C66" t="s">
        <v>222</v>
      </c>
      <c r="D66" t="s">
        <v>223</v>
      </c>
      <c r="E66" t="s">
        <v>372</v>
      </c>
      <c r="F66" t="s">
        <v>225</v>
      </c>
      <c r="G66" t="s">
        <v>226</v>
      </c>
      <c r="H66" t="s">
        <v>226</v>
      </c>
      <c r="I66" t="s">
        <v>226</v>
      </c>
      <c r="J66" t="s">
        <v>227</v>
      </c>
      <c r="K66" t="s">
        <v>228</v>
      </c>
      <c r="L66" t="s">
        <v>228</v>
      </c>
      <c r="M66" t="s">
        <v>228</v>
      </c>
      <c r="N66" t="s">
        <v>228</v>
      </c>
      <c r="O66" t="s">
        <v>229</v>
      </c>
      <c r="P66">
        <v>2</v>
      </c>
      <c r="Q66" t="s">
        <v>230</v>
      </c>
      <c r="R66" t="s">
        <v>231</v>
      </c>
      <c r="S66" t="s">
        <v>232</v>
      </c>
      <c r="T66">
        <v>0</v>
      </c>
      <c r="U66" t="s">
        <v>230</v>
      </c>
      <c r="V66" t="s">
        <v>233</v>
      </c>
      <c r="W66" t="s">
        <v>223</v>
      </c>
      <c r="X66" t="s">
        <v>234</v>
      </c>
      <c r="Y66" t="s">
        <v>373</v>
      </c>
      <c r="Z66" t="s">
        <v>232</v>
      </c>
      <c r="AA66" t="s">
        <v>236</v>
      </c>
      <c r="AB66" t="s">
        <v>237</v>
      </c>
      <c r="AC66" t="s">
        <v>236</v>
      </c>
      <c r="AD66" t="s">
        <v>238</v>
      </c>
      <c r="AE66" t="s">
        <v>239</v>
      </c>
      <c r="AF66" t="s">
        <v>239</v>
      </c>
      <c r="AG66" t="s">
        <v>239</v>
      </c>
      <c r="AH66" t="s">
        <v>239</v>
      </c>
      <c r="AI66" t="s">
        <v>240</v>
      </c>
      <c r="AJ66" t="s">
        <v>241</v>
      </c>
      <c r="AK66" t="s">
        <v>242</v>
      </c>
      <c r="AL66" t="s">
        <v>234</v>
      </c>
      <c r="AM66" t="s">
        <v>243</v>
      </c>
      <c r="AN66" t="s">
        <v>244</v>
      </c>
      <c r="AO66" t="s">
        <v>245</v>
      </c>
      <c r="BR66">
        <v>42.558437400000003</v>
      </c>
      <c r="BS66">
        <v>42.297790589999998</v>
      </c>
      <c r="BT66">
        <v>42.03714377</v>
      </c>
      <c r="BU66">
        <v>41.776496960000003</v>
      </c>
      <c r="BV66">
        <v>41.515850139999998</v>
      </c>
      <c r="BW66">
        <v>41.255203330000001</v>
      </c>
      <c r="BX66">
        <v>41.184758250000002</v>
      </c>
      <c r="BY66">
        <v>41.114313160000002</v>
      </c>
      <c r="BZ66">
        <v>41.043868080000003</v>
      </c>
      <c r="CA66">
        <v>40.973422990000003</v>
      </c>
      <c r="CB66">
        <v>40.771693880000001</v>
      </c>
      <c r="CC66">
        <v>41.45323776</v>
      </c>
      <c r="CD66">
        <v>42.13478164</v>
      </c>
      <c r="CE66">
        <v>42.81632553</v>
      </c>
      <c r="CF66">
        <v>43.49786941</v>
      </c>
      <c r="CG66">
        <v>44.179413289999999</v>
      </c>
      <c r="CH66">
        <v>44.860957169999999</v>
      </c>
      <c r="CI66">
        <v>45.542501049999998</v>
      </c>
      <c r="CJ66">
        <v>46.224044929999998</v>
      </c>
      <c r="CK66">
        <v>46.905588809999998</v>
      </c>
      <c r="CL66">
        <v>47.587132689999997</v>
      </c>
      <c r="CM66">
        <v>48.268676569999997</v>
      </c>
      <c r="CN66">
        <v>48.950220450000003</v>
      </c>
      <c r="CO66">
        <v>45.744476460000001</v>
      </c>
      <c r="CP66">
        <v>52.747358310000003</v>
      </c>
      <c r="CQ66">
        <v>59.750240150000003</v>
      </c>
      <c r="CR66">
        <v>60.967018889999999</v>
      </c>
      <c r="CS66">
        <v>62.055715659999997</v>
      </c>
      <c r="CT66">
        <v>62.888248480000001</v>
      </c>
      <c r="CU66">
        <v>64.040986230000001</v>
      </c>
      <c r="CV66">
        <v>65.033621519999997</v>
      </c>
      <c r="CW66">
        <v>66.890810119999998</v>
      </c>
      <c r="CX66">
        <v>67.595260969999998</v>
      </c>
    </row>
    <row r="67" spans="1:102" x14ac:dyDescent="0.3">
      <c r="A67" t="s">
        <v>220</v>
      </c>
      <c r="B67" t="s">
        <v>221</v>
      </c>
      <c r="C67" t="s">
        <v>222</v>
      </c>
      <c r="D67" t="s">
        <v>223</v>
      </c>
      <c r="E67" t="s">
        <v>374</v>
      </c>
      <c r="F67" t="s">
        <v>225</v>
      </c>
      <c r="G67" t="s">
        <v>226</v>
      </c>
      <c r="H67" t="s">
        <v>226</v>
      </c>
      <c r="I67" t="s">
        <v>226</v>
      </c>
      <c r="J67" t="s">
        <v>227</v>
      </c>
      <c r="K67" t="s">
        <v>228</v>
      </c>
      <c r="L67" t="s">
        <v>228</v>
      </c>
      <c r="M67" t="s">
        <v>228</v>
      </c>
      <c r="N67" t="s">
        <v>228</v>
      </c>
      <c r="O67" t="s">
        <v>229</v>
      </c>
      <c r="P67">
        <v>2</v>
      </c>
      <c r="Q67" t="s">
        <v>230</v>
      </c>
      <c r="R67" t="s">
        <v>231</v>
      </c>
      <c r="S67" t="s">
        <v>232</v>
      </c>
      <c r="T67">
        <v>0</v>
      </c>
      <c r="U67" t="s">
        <v>230</v>
      </c>
      <c r="V67" t="s">
        <v>233</v>
      </c>
      <c r="W67" t="s">
        <v>223</v>
      </c>
      <c r="X67" t="s">
        <v>234</v>
      </c>
      <c r="Y67" t="s">
        <v>375</v>
      </c>
      <c r="Z67" t="s">
        <v>232</v>
      </c>
      <c r="AA67" t="s">
        <v>236</v>
      </c>
      <c r="AB67" t="s">
        <v>237</v>
      </c>
      <c r="AC67" t="s">
        <v>236</v>
      </c>
      <c r="AD67" t="s">
        <v>238</v>
      </c>
      <c r="AE67" t="s">
        <v>239</v>
      </c>
      <c r="AF67" t="s">
        <v>239</v>
      </c>
      <c r="AG67" t="s">
        <v>239</v>
      </c>
      <c r="AH67" t="s">
        <v>239</v>
      </c>
      <c r="AI67" t="s">
        <v>240</v>
      </c>
      <c r="AJ67" t="s">
        <v>241</v>
      </c>
      <c r="AK67" t="s">
        <v>242</v>
      </c>
      <c r="AL67" t="s">
        <v>234</v>
      </c>
      <c r="AM67" t="s">
        <v>243</v>
      </c>
      <c r="AN67" t="s">
        <v>244</v>
      </c>
      <c r="AO67" t="s">
        <v>245</v>
      </c>
      <c r="CN67">
        <v>50.833333330000002</v>
      </c>
      <c r="CO67">
        <v>50.833333330000002</v>
      </c>
      <c r="CP67">
        <v>50.833333330000002</v>
      </c>
      <c r="CQ67">
        <v>50.833333330000002</v>
      </c>
      <c r="CR67">
        <v>50.833333330000002</v>
      </c>
      <c r="CS67">
        <v>50.833333330000002</v>
      </c>
      <c r="CT67">
        <v>50.833333330000002</v>
      </c>
      <c r="CU67">
        <v>50.833333330000002</v>
      </c>
      <c r="CV67">
        <v>50.833333330000002</v>
      </c>
      <c r="CW67">
        <v>50.833333330000002</v>
      </c>
      <c r="CX67">
        <v>50.833333330000002</v>
      </c>
    </row>
    <row r="68" spans="1:102" x14ac:dyDescent="0.3">
      <c r="A68" t="s">
        <v>220</v>
      </c>
      <c r="B68" t="s">
        <v>221</v>
      </c>
      <c r="C68" t="s">
        <v>222</v>
      </c>
      <c r="D68" t="s">
        <v>223</v>
      </c>
      <c r="E68" t="s">
        <v>376</v>
      </c>
      <c r="F68" t="s">
        <v>225</v>
      </c>
      <c r="G68" t="s">
        <v>226</v>
      </c>
      <c r="H68" t="s">
        <v>226</v>
      </c>
      <c r="I68" t="s">
        <v>226</v>
      </c>
      <c r="J68" t="s">
        <v>227</v>
      </c>
      <c r="K68" t="s">
        <v>228</v>
      </c>
      <c r="L68" t="s">
        <v>228</v>
      </c>
      <c r="M68" t="s">
        <v>228</v>
      </c>
      <c r="N68" t="s">
        <v>228</v>
      </c>
      <c r="O68" t="s">
        <v>229</v>
      </c>
      <c r="P68">
        <v>2</v>
      </c>
      <c r="Q68" t="s">
        <v>230</v>
      </c>
      <c r="R68" t="s">
        <v>231</v>
      </c>
      <c r="S68" t="s">
        <v>232</v>
      </c>
      <c r="T68">
        <v>0</v>
      </c>
      <c r="U68" t="s">
        <v>230</v>
      </c>
      <c r="V68" t="s">
        <v>233</v>
      </c>
      <c r="W68" t="s">
        <v>223</v>
      </c>
      <c r="X68" t="s">
        <v>234</v>
      </c>
      <c r="Y68" t="s">
        <v>377</v>
      </c>
      <c r="Z68" t="s">
        <v>232</v>
      </c>
      <c r="AA68" t="s">
        <v>236</v>
      </c>
      <c r="AB68" t="s">
        <v>237</v>
      </c>
      <c r="AC68" t="s">
        <v>236</v>
      </c>
      <c r="AD68" t="s">
        <v>238</v>
      </c>
      <c r="AE68" t="s">
        <v>239</v>
      </c>
      <c r="AF68" t="s">
        <v>239</v>
      </c>
      <c r="AG68" t="s">
        <v>239</v>
      </c>
      <c r="AH68" t="s">
        <v>239</v>
      </c>
      <c r="AI68" t="s">
        <v>240</v>
      </c>
      <c r="AJ68" t="s">
        <v>241</v>
      </c>
      <c r="AK68" t="s">
        <v>242</v>
      </c>
      <c r="AL68" t="s">
        <v>234</v>
      </c>
      <c r="AM68" t="s">
        <v>243</v>
      </c>
      <c r="AN68" t="s">
        <v>244</v>
      </c>
      <c r="AO68" t="s">
        <v>245</v>
      </c>
      <c r="BC68">
        <v>49.950160590000003</v>
      </c>
      <c r="BD68">
        <v>51.810831759999999</v>
      </c>
      <c r="BE68">
        <v>53.671502940000003</v>
      </c>
      <c r="BF68">
        <v>55.53217411</v>
      </c>
      <c r="BG68">
        <v>57.392845280000003</v>
      </c>
      <c r="BH68">
        <v>59.253516449999999</v>
      </c>
      <c r="BI68">
        <v>61.114187620000003</v>
      </c>
      <c r="BJ68">
        <v>62.974858789999999</v>
      </c>
      <c r="BK68">
        <v>64.835529960000002</v>
      </c>
      <c r="BL68">
        <v>66.696201130000006</v>
      </c>
      <c r="BM68">
        <v>68.556872299999995</v>
      </c>
      <c r="BN68">
        <v>74.382545129999997</v>
      </c>
      <c r="BO68">
        <v>80.208217959999999</v>
      </c>
      <c r="BP68">
        <v>86.033890799999995</v>
      </c>
      <c r="BQ68">
        <v>91.859563629999997</v>
      </c>
      <c r="BR68">
        <v>92.479787349999995</v>
      </c>
      <c r="BS68">
        <v>98.080787299999997</v>
      </c>
      <c r="BT68">
        <v>103.6817873</v>
      </c>
      <c r="BU68">
        <v>101.100818</v>
      </c>
      <c r="BV68">
        <v>98.669366960000005</v>
      </c>
      <c r="BW68">
        <v>96.237915920000006</v>
      </c>
      <c r="BX68">
        <v>93.806464879999993</v>
      </c>
      <c r="BY68">
        <v>91.375013839999994</v>
      </c>
      <c r="BZ68">
        <v>88.957802639999997</v>
      </c>
      <c r="CA68">
        <v>85.765311769999997</v>
      </c>
      <c r="CB68">
        <v>82.572820910000004</v>
      </c>
      <c r="CC68">
        <v>77.318323500000005</v>
      </c>
      <c r="CD68">
        <v>81.810198880000002</v>
      </c>
      <c r="CE68">
        <v>82.314921760000004</v>
      </c>
      <c r="CF68">
        <v>88.911127640000004</v>
      </c>
      <c r="CG68">
        <v>95.935319530000001</v>
      </c>
      <c r="CH68">
        <v>101.5616347</v>
      </c>
      <c r="CI68">
        <v>103.2229483</v>
      </c>
      <c r="CJ68">
        <v>102.7799313</v>
      </c>
      <c r="CK68">
        <v>95.580905970000003</v>
      </c>
      <c r="CL68">
        <v>98.903533060000001</v>
      </c>
      <c r="CM68">
        <v>88.160372129999999</v>
      </c>
      <c r="CN68">
        <v>94.030346660000006</v>
      </c>
      <c r="CO68">
        <v>99.789566949999994</v>
      </c>
      <c r="CP68">
        <v>107.40945840000001</v>
      </c>
      <c r="CQ68">
        <v>96.156828000000004</v>
      </c>
      <c r="CR68">
        <v>100.077528</v>
      </c>
      <c r="CS68">
        <v>100.4430169</v>
      </c>
      <c r="CT68">
        <v>102.2261602</v>
      </c>
      <c r="CU68">
        <v>104.31277</v>
      </c>
      <c r="CV68">
        <v>106.04939640000001</v>
      </c>
      <c r="CW68">
        <v>102.5163362</v>
      </c>
      <c r="CX68">
        <v>105.20212650000001</v>
      </c>
    </row>
    <row r="69" spans="1:102" x14ac:dyDescent="0.3">
      <c r="A69" t="s">
        <v>220</v>
      </c>
      <c r="B69" t="s">
        <v>221</v>
      </c>
      <c r="C69" t="s">
        <v>222</v>
      </c>
      <c r="D69" t="s">
        <v>223</v>
      </c>
      <c r="E69" t="s">
        <v>378</v>
      </c>
      <c r="F69" t="s">
        <v>225</v>
      </c>
      <c r="G69" t="s">
        <v>226</v>
      </c>
      <c r="H69" t="s">
        <v>226</v>
      </c>
      <c r="I69" t="s">
        <v>226</v>
      </c>
      <c r="J69" t="s">
        <v>227</v>
      </c>
      <c r="K69" t="s">
        <v>228</v>
      </c>
      <c r="L69" t="s">
        <v>228</v>
      </c>
      <c r="M69" t="s">
        <v>228</v>
      </c>
      <c r="N69" t="s">
        <v>228</v>
      </c>
      <c r="O69" t="s">
        <v>229</v>
      </c>
      <c r="P69">
        <v>2</v>
      </c>
      <c r="Q69" t="s">
        <v>230</v>
      </c>
      <c r="R69" t="s">
        <v>231</v>
      </c>
      <c r="S69" t="s">
        <v>232</v>
      </c>
      <c r="T69">
        <v>0</v>
      </c>
      <c r="U69" t="s">
        <v>230</v>
      </c>
      <c r="V69" t="s">
        <v>233</v>
      </c>
      <c r="W69" t="s">
        <v>223</v>
      </c>
      <c r="X69" t="s">
        <v>234</v>
      </c>
      <c r="Y69" t="s">
        <v>379</v>
      </c>
      <c r="Z69" t="s">
        <v>232</v>
      </c>
      <c r="AA69" t="s">
        <v>236</v>
      </c>
      <c r="AB69" t="s">
        <v>237</v>
      </c>
      <c r="AC69" t="s">
        <v>236</v>
      </c>
      <c r="AD69" t="s">
        <v>238</v>
      </c>
      <c r="AE69" t="s">
        <v>239</v>
      </c>
      <c r="AF69" t="s">
        <v>239</v>
      </c>
      <c r="AG69" t="s">
        <v>239</v>
      </c>
      <c r="AH69" t="s">
        <v>239</v>
      </c>
      <c r="AI69" t="s">
        <v>240</v>
      </c>
      <c r="AJ69" t="s">
        <v>241</v>
      </c>
      <c r="AK69" t="s">
        <v>242</v>
      </c>
      <c r="AL69" t="s">
        <v>234</v>
      </c>
      <c r="AM69" t="s">
        <v>243</v>
      </c>
      <c r="AN69" t="s">
        <v>244</v>
      </c>
      <c r="AO69" t="s">
        <v>245</v>
      </c>
      <c r="BH69">
        <v>20.994943509999999</v>
      </c>
      <c r="BI69">
        <v>21.223777089999999</v>
      </c>
      <c r="BJ69">
        <v>21.452610660000001</v>
      </c>
      <c r="BK69">
        <v>21.681444240000001</v>
      </c>
      <c r="BL69">
        <v>21.910277820000001</v>
      </c>
      <c r="BM69">
        <v>22.139111400000001</v>
      </c>
      <c r="BN69">
        <v>22.36794497</v>
      </c>
      <c r="BO69">
        <v>22.59677855</v>
      </c>
      <c r="BP69">
        <v>22.82561213</v>
      </c>
      <c r="BQ69">
        <v>23.054445699999999</v>
      </c>
      <c r="BR69">
        <v>23.283279279999999</v>
      </c>
      <c r="BS69">
        <v>23.512112859999998</v>
      </c>
      <c r="BT69">
        <v>23.740946439999998</v>
      </c>
      <c r="BU69">
        <v>23.969780010000001</v>
      </c>
      <c r="BV69">
        <v>24.198613590000001</v>
      </c>
      <c r="BW69">
        <v>24.427447170000001</v>
      </c>
      <c r="BX69">
        <v>24.656280750000001</v>
      </c>
      <c r="BY69">
        <v>24.88511432</v>
      </c>
      <c r="BZ69">
        <v>25.113947899999999</v>
      </c>
      <c r="CA69">
        <v>25.342781479999999</v>
      </c>
      <c r="CB69">
        <v>25.571615059999999</v>
      </c>
      <c r="CC69">
        <v>25.800448630000002</v>
      </c>
      <c r="CD69">
        <v>27.120500549999999</v>
      </c>
      <c r="CE69">
        <v>28.020766129999998</v>
      </c>
      <c r="CF69">
        <v>28.20832145</v>
      </c>
      <c r="CG69">
        <v>28.58343211</v>
      </c>
      <c r="CH69">
        <v>28.88352064</v>
      </c>
      <c r="CI69">
        <v>29.50245322</v>
      </c>
      <c r="CJ69">
        <v>29.926665870000001</v>
      </c>
      <c r="CK69">
        <v>29.926328269999999</v>
      </c>
      <c r="CL69">
        <v>29.870061669999998</v>
      </c>
      <c r="CM69">
        <v>29.813795070000001</v>
      </c>
      <c r="CN69">
        <v>31.03290471</v>
      </c>
      <c r="CO69">
        <v>30.627785200000002</v>
      </c>
      <c r="CP69">
        <v>31.858148150000002</v>
      </c>
      <c r="CQ69">
        <v>32.131978930000002</v>
      </c>
      <c r="CR69">
        <v>32.475955409999997</v>
      </c>
      <c r="CS69">
        <v>32.949720169999999</v>
      </c>
      <c r="CT69">
        <v>44.462684179999997</v>
      </c>
      <c r="CU69">
        <v>44.718429690000001</v>
      </c>
      <c r="CV69">
        <v>44.817024340000003</v>
      </c>
      <c r="CW69">
        <v>45.015214610000001</v>
      </c>
      <c r="CX69">
        <v>44.945147339999998</v>
      </c>
    </row>
    <row r="70" spans="1:102" x14ac:dyDescent="0.3">
      <c r="A70" t="s">
        <v>220</v>
      </c>
      <c r="B70" t="s">
        <v>221</v>
      </c>
      <c r="C70" t="s">
        <v>222</v>
      </c>
      <c r="D70" t="s">
        <v>223</v>
      </c>
      <c r="E70" t="s">
        <v>380</v>
      </c>
      <c r="F70" t="s">
        <v>225</v>
      </c>
      <c r="G70" t="s">
        <v>226</v>
      </c>
      <c r="H70" t="s">
        <v>226</v>
      </c>
      <c r="I70" t="s">
        <v>226</v>
      </c>
      <c r="J70" t="s">
        <v>227</v>
      </c>
      <c r="K70" t="s">
        <v>228</v>
      </c>
      <c r="L70" t="s">
        <v>228</v>
      </c>
      <c r="M70" t="s">
        <v>228</v>
      </c>
      <c r="N70" t="s">
        <v>228</v>
      </c>
      <c r="O70" t="s">
        <v>229</v>
      </c>
      <c r="P70">
        <v>2</v>
      </c>
      <c r="Q70" t="s">
        <v>230</v>
      </c>
      <c r="R70" t="s">
        <v>231</v>
      </c>
      <c r="S70" t="s">
        <v>232</v>
      </c>
      <c r="T70">
        <v>0</v>
      </c>
      <c r="U70" t="s">
        <v>230</v>
      </c>
      <c r="V70" t="s">
        <v>233</v>
      </c>
      <c r="W70" t="s">
        <v>223</v>
      </c>
      <c r="X70" t="s">
        <v>234</v>
      </c>
      <c r="Y70" t="s">
        <v>381</v>
      </c>
      <c r="Z70" t="s">
        <v>232</v>
      </c>
      <c r="AA70" t="s">
        <v>236</v>
      </c>
      <c r="AB70" t="s">
        <v>237</v>
      </c>
      <c r="AC70" t="s">
        <v>236</v>
      </c>
      <c r="AD70" t="s">
        <v>238</v>
      </c>
      <c r="AE70" t="s">
        <v>239</v>
      </c>
      <c r="AF70" t="s">
        <v>239</v>
      </c>
      <c r="AG70" t="s">
        <v>239</v>
      </c>
      <c r="AH70" t="s">
        <v>239</v>
      </c>
      <c r="AI70" t="s">
        <v>240</v>
      </c>
      <c r="AJ70" t="s">
        <v>241</v>
      </c>
      <c r="AK70" t="s">
        <v>242</v>
      </c>
      <c r="AL70" t="s">
        <v>234</v>
      </c>
      <c r="AM70" t="s">
        <v>243</v>
      </c>
      <c r="AN70" t="s">
        <v>244</v>
      </c>
      <c r="AO70" t="s">
        <v>245</v>
      </c>
      <c r="CB70">
        <v>9.1534569999999996E-2</v>
      </c>
      <c r="CC70">
        <v>9.9676222999999994E-2</v>
      </c>
      <c r="CD70">
        <v>0.10781787499999999</v>
      </c>
      <c r="CE70">
        <v>0.11595952800000001</v>
      </c>
      <c r="CF70">
        <v>0.12410118000000001</v>
      </c>
      <c r="CG70">
        <v>0.132242833</v>
      </c>
      <c r="CH70">
        <v>0.132242833</v>
      </c>
      <c r="CI70">
        <v>0.132242833</v>
      </c>
      <c r="CJ70">
        <v>0.132242833</v>
      </c>
      <c r="CK70">
        <v>0.132242833</v>
      </c>
      <c r="CL70">
        <v>0.132242833</v>
      </c>
      <c r="CM70">
        <v>0.132242833</v>
      </c>
      <c r="CN70">
        <v>0.132242833</v>
      </c>
      <c r="CO70">
        <v>0.132242833</v>
      </c>
      <c r="CP70">
        <v>0.132242833</v>
      </c>
      <c r="CQ70">
        <v>0.132242833</v>
      </c>
      <c r="CR70">
        <v>0.132242833</v>
      </c>
      <c r="CS70">
        <v>0.132242833</v>
      </c>
      <c r="CT70">
        <v>0.132242833</v>
      </c>
      <c r="CU70">
        <v>0.132242833</v>
      </c>
      <c r="CV70">
        <v>0.132242833</v>
      </c>
      <c r="CW70">
        <v>0.132242833</v>
      </c>
      <c r="CX70">
        <v>0.132242833</v>
      </c>
    </row>
    <row r="71" spans="1:102" x14ac:dyDescent="0.3">
      <c r="A71" t="s">
        <v>220</v>
      </c>
      <c r="B71" t="s">
        <v>221</v>
      </c>
      <c r="C71" t="s">
        <v>222</v>
      </c>
      <c r="D71" t="s">
        <v>223</v>
      </c>
      <c r="E71" t="s">
        <v>382</v>
      </c>
      <c r="F71" t="s">
        <v>225</v>
      </c>
      <c r="G71" t="s">
        <v>226</v>
      </c>
      <c r="H71" t="s">
        <v>226</v>
      </c>
      <c r="I71" t="s">
        <v>226</v>
      </c>
      <c r="J71" t="s">
        <v>227</v>
      </c>
      <c r="K71" t="s">
        <v>228</v>
      </c>
      <c r="L71" t="s">
        <v>228</v>
      </c>
      <c r="M71" t="s">
        <v>228</v>
      </c>
      <c r="N71" t="s">
        <v>228</v>
      </c>
      <c r="O71" t="s">
        <v>229</v>
      </c>
      <c r="P71">
        <v>2</v>
      </c>
      <c r="Q71" t="s">
        <v>230</v>
      </c>
      <c r="R71" t="s">
        <v>231</v>
      </c>
      <c r="S71" t="s">
        <v>232</v>
      </c>
      <c r="T71">
        <v>0</v>
      </c>
      <c r="U71" t="s">
        <v>230</v>
      </c>
      <c r="V71" t="s">
        <v>233</v>
      </c>
      <c r="W71" t="s">
        <v>223</v>
      </c>
      <c r="X71" t="s">
        <v>234</v>
      </c>
      <c r="Y71" t="s">
        <v>383</v>
      </c>
      <c r="Z71" t="s">
        <v>232</v>
      </c>
      <c r="AA71" t="s">
        <v>236</v>
      </c>
      <c r="AB71" t="s">
        <v>237</v>
      </c>
      <c r="AC71" t="s">
        <v>236</v>
      </c>
      <c r="AD71" t="s">
        <v>238</v>
      </c>
      <c r="AE71" t="s">
        <v>239</v>
      </c>
      <c r="AF71" t="s">
        <v>239</v>
      </c>
      <c r="AG71" t="s">
        <v>239</v>
      </c>
      <c r="AH71" t="s">
        <v>239</v>
      </c>
      <c r="AI71" t="s">
        <v>240</v>
      </c>
      <c r="AJ71" t="s">
        <v>241</v>
      </c>
      <c r="AK71" t="s">
        <v>242</v>
      </c>
      <c r="AL71" t="s">
        <v>234</v>
      </c>
      <c r="AM71" t="s">
        <v>243</v>
      </c>
      <c r="AN71" t="s">
        <v>244</v>
      </c>
      <c r="AO71" t="s">
        <v>245</v>
      </c>
      <c r="BT71">
        <v>6.3340848169999999</v>
      </c>
      <c r="BU71">
        <v>5.6186384900000004</v>
      </c>
      <c r="BV71">
        <v>4.9031921629999999</v>
      </c>
      <c r="BW71">
        <v>4.805649195</v>
      </c>
      <c r="BX71">
        <v>4.7081062259999999</v>
      </c>
      <c r="BY71">
        <v>4.610563258</v>
      </c>
      <c r="BZ71">
        <v>4.51302029</v>
      </c>
      <c r="CA71">
        <v>4.4154773220000001</v>
      </c>
      <c r="CB71">
        <v>4.8268778880000003</v>
      </c>
      <c r="CC71">
        <v>4.210004166</v>
      </c>
      <c r="CD71">
        <v>4.1824462330000003</v>
      </c>
      <c r="CE71">
        <v>4.1548882999999996</v>
      </c>
      <c r="CF71">
        <v>4.127330368</v>
      </c>
      <c r="CG71">
        <v>4.4071493759999996</v>
      </c>
      <c r="CH71">
        <v>4.0722145029999997</v>
      </c>
      <c r="CI71">
        <v>4.0446565699999999</v>
      </c>
      <c r="CJ71">
        <v>4.0170986370000001</v>
      </c>
      <c r="CK71">
        <v>3.989540705</v>
      </c>
      <c r="CL71">
        <v>4.4325874670000003</v>
      </c>
      <c r="CM71">
        <v>3.9344248390000001</v>
      </c>
      <c r="CN71">
        <v>4.0700946619999998</v>
      </c>
      <c r="CO71">
        <v>3.8793089740000002</v>
      </c>
      <c r="CP71">
        <v>4.5031781720000001</v>
      </c>
      <c r="CQ71">
        <v>3.9708861039999999</v>
      </c>
      <c r="CR71">
        <v>4.1203348929999999</v>
      </c>
      <c r="CS71">
        <v>4.0961687050000002</v>
      </c>
      <c r="CT71">
        <v>4.1222427489999998</v>
      </c>
      <c r="CU71">
        <v>4.1222427489999998</v>
      </c>
      <c r="CV71">
        <v>4.1222427489999998</v>
      </c>
      <c r="CW71">
        <v>4.1222427489999998</v>
      </c>
      <c r="CX71">
        <v>4.1222427489999998</v>
      </c>
    </row>
    <row r="72" spans="1:102" x14ac:dyDescent="0.3">
      <c r="A72" t="s">
        <v>220</v>
      </c>
      <c r="B72" t="s">
        <v>221</v>
      </c>
      <c r="C72" t="s">
        <v>222</v>
      </c>
      <c r="D72" t="s">
        <v>223</v>
      </c>
      <c r="E72" t="s">
        <v>384</v>
      </c>
      <c r="F72" t="s">
        <v>225</v>
      </c>
      <c r="G72" t="s">
        <v>226</v>
      </c>
      <c r="H72" t="s">
        <v>226</v>
      </c>
      <c r="I72" t="s">
        <v>226</v>
      </c>
      <c r="J72" t="s">
        <v>227</v>
      </c>
      <c r="K72" t="s">
        <v>228</v>
      </c>
      <c r="L72" t="s">
        <v>228</v>
      </c>
      <c r="M72" t="s">
        <v>228</v>
      </c>
      <c r="N72" t="s">
        <v>228</v>
      </c>
      <c r="O72" t="s">
        <v>229</v>
      </c>
      <c r="P72">
        <v>2</v>
      </c>
      <c r="Q72" t="s">
        <v>230</v>
      </c>
      <c r="R72" t="s">
        <v>231</v>
      </c>
      <c r="S72" t="s">
        <v>232</v>
      </c>
      <c r="T72">
        <v>0</v>
      </c>
      <c r="U72" t="s">
        <v>230</v>
      </c>
      <c r="V72" t="s">
        <v>233</v>
      </c>
      <c r="W72" t="s">
        <v>223</v>
      </c>
      <c r="X72" t="s">
        <v>234</v>
      </c>
      <c r="Y72" t="s">
        <v>385</v>
      </c>
      <c r="Z72" t="s">
        <v>232</v>
      </c>
      <c r="AA72" t="s">
        <v>236</v>
      </c>
      <c r="AB72" t="s">
        <v>237</v>
      </c>
      <c r="AC72" t="s">
        <v>236</v>
      </c>
      <c r="AD72" t="s">
        <v>238</v>
      </c>
      <c r="AE72" t="s">
        <v>239</v>
      </c>
      <c r="AF72" t="s">
        <v>239</v>
      </c>
      <c r="AG72" t="s">
        <v>239</v>
      </c>
      <c r="AH72" t="s">
        <v>239</v>
      </c>
      <c r="AI72" t="s">
        <v>240</v>
      </c>
      <c r="AJ72" t="s">
        <v>241</v>
      </c>
      <c r="AK72" t="s">
        <v>242</v>
      </c>
      <c r="AL72" t="s">
        <v>234</v>
      </c>
      <c r="AM72" t="s">
        <v>243</v>
      </c>
      <c r="AN72" t="s">
        <v>244</v>
      </c>
      <c r="AO72" t="s">
        <v>245</v>
      </c>
      <c r="BC72">
        <v>49.188820720000002</v>
      </c>
      <c r="BD72">
        <v>50.235855489999999</v>
      </c>
      <c r="BE72">
        <v>51.282890250000001</v>
      </c>
      <c r="BF72">
        <v>52.329925019999997</v>
      </c>
      <c r="BG72">
        <v>53.37695978</v>
      </c>
      <c r="BH72">
        <v>54.423994550000003</v>
      </c>
      <c r="BI72">
        <v>55.877300609999999</v>
      </c>
      <c r="BJ72">
        <v>57.330606680000002</v>
      </c>
      <c r="BK72">
        <v>58.783912749999999</v>
      </c>
      <c r="BL72">
        <v>60.237218810000002</v>
      </c>
      <c r="BM72">
        <v>61.690524879999998</v>
      </c>
      <c r="BN72">
        <v>62.511247439999998</v>
      </c>
      <c r="BO72">
        <v>60.043081119999997</v>
      </c>
      <c r="BP72">
        <v>57.574914790000001</v>
      </c>
      <c r="BQ72">
        <v>55.106748469999999</v>
      </c>
      <c r="BR72">
        <v>52.638582139999997</v>
      </c>
      <c r="BS72">
        <v>50.170415810000001</v>
      </c>
      <c r="BT72">
        <v>49.647807319999998</v>
      </c>
      <c r="BU72">
        <v>49.125198820000001</v>
      </c>
      <c r="BV72">
        <v>48.602590319999997</v>
      </c>
      <c r="BW72">
        <v>48.07998182</v>
      </c>
      <c r="BX72">
        <v>47.557373320000004</v>
      </c>
      <c r="BY72">
        <v>47.03476483</v>
      </c>
      <c r="BZ72">
        <v>47.764144510000001</v>
      </c>
      <c r="CA72">
        <v>48.493524200000003</v>
      </c>
      <c r="CB72">
        <v>49.222903889999998</v>
      </c>
      <c r="CC72">
        <v>48.815269260000001</v>
      </c>
      <c r="CD72">
        <v>48.407634629999997</v>
      </c>
      <c r="CE72">
        <v>49.284708019999997</v>
      </c>
      <c r="CF72">
        <v>50.161781410000003</v>
      </c>
      <c r="CG72">
        <v>51.038854809999997</v>
      </c>
      <c r="CH72">
        <v>49.361281529999999</v>
      </c>
      <c r="CI72">
        <v>47.683708250000002</v>
      </c>
      <c r="CJ72">
        <v>47.408316290000002</v>
      </c>
      <c r="CK72">
        <v>49.24335378</v>
      </c>
      <c r="CL72">
        <v>47.731424680000003</v>
      </c>
      <c r="CM72">
        <v>47.811860940000003</v>
      </c>
      <c r="CN72">
        <v>49.578732109999997</v>
      </c>
      <c r="CO72">
        <v>44.103612820000002</v>
      </c>
      <c r="CP72">
        <v>44.797546009999998</v>
      </c>
      <c r="CQ72">
        <v>42.963871849999997</v>
      </c>
      <c r="CR72">
        <v>42.56441718</v>
      </c>
      <c r="CS72">
        <v>41.027948189999996</v>
      </c>
      <c r="CT72">
        <v>40.094069529999999</v>
      </c>
      <c r="CU72">
        <v>39.82890252</v>
      </c>
      <c r="CV72">
        <v>43.254039229999997</v>
      </c>
      <c r="CW72">
        <v>43.254039229999997</v>
      </c>
      <c r="CX72">
        <v>43.254039229999997</v>
      </c>
    </row>
    <row r="73" spans="1:102" x14ac:dyDescent="0.3">
      <c r="A73" t="s">
        <v>220</v>
      </c>
      <c r="B73" t="s">
        <v>221</v>
      </c>
      <c r="C73" t="s">
        <v>222</v>
      </c>
      <c r="D73" t="s">
        <v>223</v>
      </c>
      <c r="E73" t="s">
        <v>386</v>
      </c>
      <c r="F73" t="s">
        <v>225</v>
      </c>
      <c r="G73" t="s">
        <v>226</v>
      </c>
      <c r="H73" t="s">
        <v>226</v>
      </c>
      <c r="I73" t="s">
        <v>226</v>
      </c>
      <c r="J73" t="s">
        <v>227</v>
      </c>
      <c r="K73" t="s">
        <v>228</v>
      </c>
      <c r="L73" t="s">
        <v>228</v>
      </c>
      <c r="M73" t="s">
        <v>228</v>
      </c>
      <c r="N73" t="s">
        <v>228</v>
      </c>
      <c r="O73" t="s">
        <v>229</v>
      </c>
      <c r="P73">
        <v>2</v>
      </c>
      <c r="Q73" t="s">
        <v>230</v>
      </c>
      <c r="R73" t="s">
        <v>231</v>
      </c>
      <c r="S73" t="s">
        <v>232</v>
      </c>
      <c r="T73">
        <v>0</v>
      </c>
      <c r="U73" t="s">
        <v>230</v>
      </c>
      <c r="V73" t="s">
        <v>233</v>
      </c>
      <c r="W73" t="s">
        <v>223</v>
      </c>
      <c r="X73" t="s">
        <v>234</v>
      </c>
      <c r="Y73" t="s">
        <v>387</v>
      </c>
      <c r="Z73" t="s">
        <v>232</v>
      </c>
      <c r="AA73" t="s">
        <v>236</v>
      </c>
      <c r="AB73" t="s">
        <v>237</v>
      </c>
      <c r="AC73" t="s">
        <v>236</v>
      </c>
      <c r="AD73" t="s">
        <v>238</v>
      </c>
      <c r="AE73" t="s">
        <v>239</v>
      </c>
      <c r="AF73" t="s">
        <v>239</v>
      </c>
      <c r="AG73" t="s">
        <v>239</v>
      </c>
      <c r="AH73" t="s">
        <v>239</v>
      </c>
      <c r="AI73" t="s">
        <v>240</v>
      </c>
      <c r="AJ73" t="s">
        <v>241</v>
      </c>
      <c r="AK73" t="s">
        <v>242</v>
      </c>
      <c r="AL73" t="s">
        <v>234</v>
      </c>
      <c r="AM73" t="s">
        <v>243</v>
      </c>
      <c r="AN73" t="s">
        <v>244</v>
      </c>
      <c r="AO73" t="s">
        <v>245</v>
      </c>
      <c r="BH73">
        <v>7.1723324819999998</v>
      </c>
      <c r="BI73">
        <v>8.9370701510000004</v>
      </c>
      <c r="BJ73">
        <v>10.701807820000001</v>
      </c>
      <c r="BK73">
        <v>12.46654549</v>
      </c>
      <c r="BL73">
        <v>14.23128316</v>
      </c>
      <c r="BM73">
        <v>15.996020830000001</v>
      </c>
      <c r="BN73">
        <v>15.978417500000001</v>
      </c>
      <c r="BO73">
        <v>15.960814170000001</v>
      </c>
      <c r="BP73">
        <v>15.94321085</v>
      </c>
      <c r="BQ73">
        <v>15.92560752</v>
      </c>
      <c r="BR73">
        <v>15.888353970000001</v>
      </c>
      <c r="BS73">
        <v>15.870750640000001</v>
      </c>
      <c r="BT73">
        <v>15.853147310000001</v>
      </c>
      <c r="BU73">
        <v>15.835543980000001</v>
      </c>
      <c r="BV73">
        <v>15.81794066</v>
      </c>
      <c r="BW73">
        <v>15.80033733</v>
      </c>
      <c r="BX73">
        <v>15.782734</v>
      </c>
      <c r="BY73">
        <v>15.76513067</v>
      </c>
      <c r="BZ73">
        <v>15.74752735</v>
      </c>
      <c r="CA73">
        <v>15.72992402</v>
      </c>
      <c r="CB73">
        <v>15.71232069</v>
      </c>
      <c r="CC73">
        <v>15.0830222</v>
      </c>
      <c r="CD73">
        <v>14.453723719999999</v>
      </c>
      <c r="CE73">
        <v>13.824425229999999</v>
      </c>
      <c r="CF73">
        <v>13.195126739999999</v>
      </c>
      <c r="CG73">
        <v>13.24621733</v>
      </c>
      <c r="CH73">
        <v>13.24621733</v>
      </c>
      <c r="CI73">
        <v>13.24621733</v>
      </c>
      <c r="CJ73">
        <v>13.24621733</v>
      </c>
      <c r="CK73">
        <v>13.24621733</v>
      </c>
      <c r="CL73">
        <v>13.24621733</v>
      </c>
      <c r="CM73">
        <v>13.24621733</v>
      </c>
      <c r="CN73">
        <v>13.24621733</v>
      </c>
      <c r="CO73">
        <v>13.24621733</v>
      </c>
      <c r="CP73">
        <v>13.24621733</v>
      </c>
      <c r="CQ73">
        <v>13.24621733</v>
      </c>
      <c r="CR73">
        <v>13.24621733</v>
      </c>
      <c r="CS73">
        <v>13.24621733</v>
      </c>
      <c r="CT73">
        <v>13.24621733</v>
      </c>
      <c r="CU73">
        <v>13.24621733</v>
      </c>
      <c r="CV73">
        <v>13.24621733</v>
      </c>
      <c r="CW73">
        <v>13.24621733</v>
      </c>
      <c r="CX73">
        <v>13.24621733</v>
      </c>
    </row>
    <row r="74" spans="1:102" x14ac:dyDescent="0.3">
      <c r="A74" t="s">
        <v>220</v>
      </c>
      <c r="B74" t="s">
        <v>221</v>
      </c>
      <c r="C74" t="s">
        <v>222</v>
      </c>
      <c r="D74" t="s">
        <v>223</v>
      </c>
      <c r="E74" t="s">
        <v>388</v>
      </c>
      <c r="F74" t="s">
        <v>225</v>
      </c>
      <c r="G74" t="s">
        <v>226</v>
      </c>
      <c r="H74" t="s">
        <v>226</v>
      </c>
      <c r="I74" t="s">
        <v>226</v>
      </c>
      <c r="J74" t="s">
        <v>227</v>
      </c>
      <c r="K74" t="s">
        <v>228</v>
      </c>
      <c r="L74" t="s">
        <v>228</v>
      </c>
      <c r="M74" t="s">
        <v>228</v>
      </c>
      <c r="N74" t="s">
        <v>228</v>
      </c>
      <c r="O74" t="s">
        <v>229</v>
      </c>
      <c r="P74">
        <v>2</v>
      </c>
      <c r="Q74" t="s">
        <v>230</v>
      </c>
      <c r="R74" t="s">
        <v>231</v>
      </c>
      <c r="S74" t="s">
        <v>232</v>
      </c>
      <c r="T74">
        <v>0</v>
      </c>
      <c r="U74" t="s">
        <v>230</v>
      </c>
      <c r="V74" t="s">
        <v>233</v>
      </c>
      <c r="W74" t="s">
        <v>223</v>
      </c>
      <c r="X74" t="s">
        <v>234</v>
      </c>
      <c r="Y74" t="s">
        <v>389</v>
      </c>
      <c r="Z74" t="s">
        <v>232</v>
      </c>
      <c r="AA74" t="s">
        <v>236</v>
      </c>
      <c r="AB74" t="s">
        <v>237</v>
      </c>
      <c r="AC74" t="s">
        <v>236</v>
      </c>
      <c r="AD74" t="s">
        <v>238</v>
      </c>
      <c r="AE74" t="s">
        <v>239</v>
      </c>
      <c r="AF74" t="s">
        <v>239</v>
      </c>
      <c r="AG74" t="s">
        <v>239</v>
      </c>
      <c r="AH74" t="s">
        <v>239</v>
      </c>
      <c r="AI74" t="s">
        <v>240</v>
      </c>
      <c r="AJ74" t="s">
        <v>241</v>
      </c>
      <c r="AK74" t="s">
        <v>242</v>
      </c>
      <c r="AL74" t="s">
        <v>234</v>
      </c>
      <c r="AM74" t="s">
        <v>243</v>
      </c>
      <c r="AN74" t="s">
        <v>244</v>
      </c>
      <c r="AO74" t="s">
        <v>245</v>
      </c>
      <c r="CH74">
        <v>1.0365448509999999</v>
      </c>
      <c r="CI74">
        <v>1.0365448509999999</v>
      </c>
      <c r="CJ74">
        <v>1.0365448509999999</v>
      </c>
      <c r="CK74">
        <v>1.0365448509999999</v>
      </c>
      <c r="CL74">
        <v>1.0365448509999999</v>
      </c>
      <c r="CM74">
        <v>1.0365448509999999</v>
      </c>
      <c r="CN74">
        <v>1.0365448509999999</v>
      </c>
      <c r="CO74">
        <v>1.0365448509999999</v>
      </c>
      <c r="CP74">
        <v>1.0365448509999999</v>
      </c>
      <c r="CQ74">
        <v>1.0365448509999999</v>
      </c>
      <c r="CR74">
        <v>1.0365448509999999</v>
      </c>
      <c r="CS74">
        <v>1.0365448509999999</v>
      </c>
      <c r="CT74">
        <v>1.0365448509999999</v>
      </c>
      <c r="CU74">
        <v>1.0365448509999999</v>
      </c>
      <c r="CV74">
        <v>1.0365448509999999</v>
      </c>
      <c r="CW74">
        <v>1.0365448509999999</v>
      </c>
      <c r="CX74">
        <v>1.0365448509999999</v>
      </c>
    </row>
    <row r="75" spans="1:102" x14ac:dyDescent="0.3">
      <c r="A75" t="s">
        <v>220</v>
      </c>
      <c r="B75" t="s">
        <v>221</v>
      </c>
      <c r="C75" t="s">
        <v>222</v>
      </c>
      <c r="D75" t="s">
        <v>223</v>
      </c>
      <c r="E75" t="s">
        <v>390</v>
      </c>
      <c r="F75" t="s">
        <v>225</v>
      </c>
      <c r="G75" t="s">
        <v>226</v>
      </c>
      <c r="H75" t="s">
        <v>226</v>
      </c>
      <c r="I75" t="s">
        <v>226</v>
      </c>
      <c r="J75" t="s">
        <v>227</v>
      </c>
      <c r="K75" t="s">
        <v>228</v>
      </c>
      <c r="L75" t="s">
        <v>228</v>
      </c>
      <c r="M75" t="s">
        <v>228</v>
      </c>
      <c r="N75" t="s">
        <v>228</v>
      </c>
      <c r="O75" t="s">
        <v>229</v>
      </c>
      <c r="P75">
        <v>2</v>
      </c>
      <c r="Q75" t="s">
        <v>230</v>
      </c>
      <c r="R75" t="s">
        <v>231</v>
      </c>
      <c r="S75" t="s">
        <v>232</v>
      </c>
      <c r="T75">
        <v>0</v>
      </c>
      <c r="U75" t="s">
        <v>230</v>
      </c>
      <c r="V75" t="s">
        <v>233</v>
      </c>
      <c r="W75" t="s">
        <v>223</v>
      </c>
      <c r="X75" t="s">
        <v>234</v>
      </c>
      <c r="Y75" t="s">
        <v>391</v>
      </c>
      <c r="Z75" t="s">
        <v>232</v>
      </c>
      <c r="AA75" t="s">
        <v>236</v>
      </c>
      <c r="AB75" t="s">
        <v>237</v>
      </c>
      <c r="AC75" t="s">
        <v>236</v>
      </c>
      <c r="AD75" t="s">
        <v>238</v>
      </c>
      <c r="AE75" t="s">
        <v>239</v>
      </c>
      <c r="AF75" t="s">
        <v>239</v>
      </c>
      <c r="AG75" t="s">
        <v>239</v>
      </c>
      <c r="AH75" t="s">
        <v>239</v>
      </c>
      <c r="AI75" t="s">
        <v>240</v>
      </c>
      <c r="AJ75" t="s">
        <v>241</v>
      </c>
      <c r="AK75" t="s">
        <v>242</v>
      </c>
      <c r="AL75" t="s">
        <v>234</v>
      </c>
      <c r="AM75" t="s">
        <v>243</v>
      </c>
      <c r="AN75" t="s">
        <v>244</v>
      </c>
      <c r="AO75" t="s">
        <v>245</v>
      </c>
      <c r="CG75">
        <v>2.2770534549999999</v>
      </c>
      <c r="CH75">
        <v>2.5723598440000002</v>
      </c>
      <c r="CI75">
        <v>2.8676662319999999</v>
      </c>
      <c r="CJ75">
        <v>3.1629726210000002</v>
      </c>
      <c r="CK75">
        <v>3.458279009</v>
      </c>
      <c r="CL75">
        <v>3.7535853979999998</v>
      </c>
      <c r="CM75">
        <v>4.0488917860000004</v>
      </c>
      <c r="CN75">
        <v>4.3441981749999998</v>
      </c>
      <c r="CO75">
        <v>4.639504563</v>
      </c>
      <c r="CP75">
        <v>4.9348109520000003</v>
      </c>
      <c r="CQ75">
        <v>5.1173402870000002</v>
      </c>
      <c r="CR75">
        <v>4.9934810949999999</v>
      </c>
      <c r="CS75">
        <v>4.7718383309999997</v>
      </c>
      <c r="CT75">
        <v>4.7718383309999997</v>
      </c>
      <c r="CU75">
        <v>4.7913950459999999</v>
      </c>
      <c r="CV75">
        <v>4.7913950459999999</v>
      </c>
      <c r="CW75">
        <v>4.7913950459999999</v>
      </c>
      <c r="CX75">
        <v>4.7913950459999999</v>
      </c>
    </row>
    <row r="76" spans="1:102" x14ac:dyDescent="0.3">
      <c r="A76" t="s">
        <v>220</v>
      </c>
      <c r="B76" t="s">
        <v>221</v>
      </c>
      <c r="C76" t="s">
        <v>222</v>
      </c>
      <c r="D76" t="s">
        <v>223</v>
      </c>
      <c r="E76" t="s">
        <v>392</v>
      </c>
      <c r="F76" t="s">
        <v>225</v>
      </c>
      <c r="G76" t="s">
        <v>226</v>
      </c>
      <c r="H76" t="s">
        <v>226</v>
      </c>
      <c r="I76" t="s">
        <v>226</v>
      </c>
      <c r="J76" t="s">
        <v>227</v>
      </c>
      <c r="K76" t="s">
        <v>228</v>
      </c>
      <c r="L76" t="s">
        <v>228</v>
      </c>
      <c r="M76" t="s">
        <v>228</v>
      </c>
      <c r="N76" t="s">
        <v>228</v>
      </c>
      <c r="O76" t="s">
        <v>229</v>
      </c>
      <c r="P76">
        <v>2</v>
      </c>
      <c r="Q76" t="s">
        <v>230</v>
      </c>
      <c r="R76" t="s">
        <v>231</v>
      </c>
      <c r="S76" t="s">
        <v>232</v>
      </c>
      <c r="T76">
        <v>0</v>
      </c>
      <c r="U76" t="s">
        <v>230</v>
      </c>
      <c r="V76" t="s">
        <v>233</v>
      </c>
      <c r="W76" t="s">
        <v>223</v>
      </c>
      <c r="X76" t="s">
        <v>234</v>
      </c>
      <c r="Y76" t="s">
        <v>393</v>
      </c>
      <c r="Z76" t="s">
        <v>232</v>
      </c>
      <c r="AA76" t="s">
        <v>236</v>
      </c>
      <c r="AB76" t="s">
        <v>237</v>
      </c>
      <c r="AC76" t="s">
        <v>236</v>
      </c>
      <c r="AD76" t="s">
        <v>238</v>
      </c>
      <c r="AE76" t="s">
        <v>239</v>
      </c>
      <c r="AF76" t="s">
        <v>239</v>
      </c>
      <c r="AG76" t="s">
        <v>239</v>
      </c>
      <c r="AH76" t="s">
        <v>239</v>
      </c>
      <c r="AI76" t="s">
        <v>240</v>
      </c>
      <c r="AJ76" t="s">
        <v>241</v>
      </c>
      <c r="AK76" t="s">
        <v>242</v>
      </c>
      <c r="AL76" t="s">
        <v>234</v>
      </c>
      <c r="AM76" t="s">
        <v>243</v>
      </c>
      <c r="AN76" t="s">
        <v>244</v>
      </c>
      <c r="AO76" t="s">
        <v>245</v>
      </c>
      <c r="BC76">
        <v>24.367293969999999</v>
      </c>
      <c r="BD76">
        <v>25.292872020000001</v>
      </c>
      <c r="BE76">
        <v>26.211619249999998</v>
      </c>
      <c r="BF76">
        <v>27.14402814</v>
      </c>
      <c r="BG76">
        <v>28.055944530000001</v>
      </c>
      <c r="BH76">
        <v>28.995184259999998</v>
      </c>
      <c r="BI76">
        <v>29.900269819999998</v>
      </c>
      <c r="BJ76">
        <v>30.846340380000001</v>
      </c>
      <c r="BK76">
        <v>31.77191844</v>
      </c>
      <c r="BL76">
        <v>32.6974965</v>
      </c>
      <c r="BM76">
        <v>33.623074559999999</v>
      </c>
      <c r="BN76">
        <v>34.548652619999999</v>
      </c>
      <c r="BO76">
        <v>35.474230679999998</v>
      </c>
      <c r="BP76">
        <v>36.399808739999997</v>
      </c>
      <c r="BQ76">
        <v>37.325386799999997</v>
      </c>
      <c r="BR76">
        <v>38.250964860000003</v>
      </c>
      <c r="BS76">
        <v>39.111649989999997</v>
      </c>
      <c r="BT76">
        <v>40.044058880000001</v>
      </c>
      <c r="BU76">
        <v>40.962806110000002</v>
      </c>
      <c r="BV76">
        <v>41.888384170000002</v>
      </c>
      <c r="BW76">
        <v>42.645468309999998</v>
      </c>
      <c r="BX76">
        <v>43.402552460000003</v>
      </c>
      <c r="BY76">
        <v>44.159636599999999</v>
      </c>
      <c r="BZ76">
        <v>44.916720740000002</v>
      </c>
      <c r="CA76">
        <v>45.67380489</v>
      </c>
      <c r="CB76">
        <v>41.077222579999997</v>
      </c>
      <c r="CC76">
        <v>40.279039580000003</v>
      </c>
      <c r="CD76">
        <v>39.480856590000002</v>
      </c>
      <c r="CE76">
        <v>38.68267359</v>
      </c>
      <c r="CF76">
        <v>37.884490589999999</v>
      </c>
      <c r="CG76">
        <v>35.561323819999998</v>
      </c>
      <c r="CH76">
        <v>37.884490589999999</v>
      </c>
      <c r="CI76">
        <v>40.20765737</v>
      </c>
      <c r="CJ76">
        <v>42.53082414</v>
      </c>
      <c r="CK76">
        <v>44.853990920000001</v>
      </c>
      <c r="CL76">
        <v>47.177157690000001</v>
      </c>
      <c r="CM76">
        <v>49.500324460000002</v>
      </c>
      <c r="CN76">
        <v>51.823491240000003</v>
      </c>
      <c r="CO76">
        <v>54.146658010000003</v>
      </c>
      <c r="CP76">
        <v>56.469824789999997</v>
      </c>
      <c r="CQ76">
        <v>58.792991559999997</v>
      </c>
      <c r="CR76">
        <v>58.792991559999997</v>
      </c>
      <c r="CS76">
        <v>58.792991559999997</v>
      </c>
      <c r="CT76">
        <v>58.792991559999997</v>
      </c>
      <c r="CU76">
        <v>58.792991559999997</v>
      </c>
      <c r="CV76">
        <v>58.792991559999997</v>
      </c>
      <c r="CW76">
        <v>58.792991559999997</v>
      </c>
      <c r="CX76">
        <v>58.792991559999997</v>
      </c>
    </row>
    <row r="77" spans="1:102" x14ac:dyDescent="0.3">
      <c r="A77" t="s">
        <v>220</v>
      </c>
      <c r="B77" t="s">
        <v>221</v>
      </c>
      <c r="C77" t="s">
        <v>222</v>
      </c>
      <c r="D77" t="s">
        <v>223</v>
      </c>
      <c r="E77" t="s">
        <v>394</v>
      </c>
      <c r="F77" t="s">
        <v>225</v>
      </c>
      <c r="G77" t="s">
        <v>226</v>
      </c>
      <c r="H77" t="s">
        <v>226</v>
      </c>
      <c r="I77" t="s">
        <v>226</v>
      </c>
      <c r="J77" t="s">
        <v>227</v>
      </c>
      <c r="K77" t="s">
        <v>228</v>
      </c>
      <c r="L77" t="s">
        <v>228</v>
      </c>
      <c r="M77" t="s">
        <v>228</v>
      </c>
      <c r="N77" t="s">
        <v>228</v>
      </c>
      <c r="O77" t="s">
        <v>229</v>
      </c>
      <c r="P77">
        <v>2</v>
      </c>
      <c r="Q77" t="s">
        <v>230</v>
      </c>
      <c r="R77" t="s">
        <v>231</v>
      </c>
      <c r="S77" t="s">
        <v>232</v>
      </c>
      <c r="T77">
        <v>0</v>
      </c>
      <c r="U77" t="s">
        <v>230</v>
      </c>
      <c r="V77" t="s">
        <v>233</v>
      </c>
      <c r="W77" t="s">
        <v>223</v>
      </c>
      <c r="X77" t="s">
        <v>234</v>
      </c>
      <c r="Y77" t="s">
        <v>395</v>
      </c>
      <c r="Z77" t="s">
        <v>232</v>
      </c>
      <c r="AA77" t="s">
        <v>236</v>
      </c>
      <c r="AB77" t="s">
        <v>237</v>
      </c>
      <c r="AC77" t="s">
        <v>236</v>
      </c>
      <c r="AD77" t="s">
        <v>238</v>
      </c>
      <c r="AE77" t="s">
        <v>239</v>
      </c>
      <c r="AF77" t="s">
        <v>239</v>
      </c>
      <c r="AG77" t="s">
        <v>239</v>
      </c>
      <c r="AH77" t="s">
        <v>239</v>
      </c>
      <c r="AI77" t="s">
        <v>240</v>
      </c>
      <c r="AJ77" t="s">
        <v>241</v>
      </c>
      <c r="AK77" t="s">
        <v>242</v>
      </c>
      <c r="AL77" t="s">
        <v>234</v>
      </c>
      <c r="AM77" t="s">
        <v>243</v>
      </c>
      <c r="AN77" t="s">
        <v>244</v>
      </c>
      <c r="AO77" t="s">
        <v>245</v>
      </c>
      <c r="BO77">
        <v>3.1042031520000002</v>
      </c>
      <c r="BP77">
        <v>3.6748394630000001</v>
      </c>
      <c r="BQ77">
        <v>4.245475774</v>
      </c>
      <c r="BR77">
        <v>4.8161120840000002</v>
      </c>
      <c r="BS77">
        <v>4.9605954470000002</v>
      </c>
      <c r="BT77">
        <v>5.1050788090000001</v>
      </c>
      <c r="BU77">
        <v>5.2495621720000001</v>
      </c>
      <c r="BV77">
        <v>5.394045534</v>
      </c>
      <c r="BW77">
        <v>5.5230589610000003</v>
      </c>
      <c r="BX77">
        <v>5.6520723879999997</v>
      </c>
      <c r="BY77">
        <v>5.7810858139999999</v>
      </c>
      <c r="BZ77">
        <v>5.9100992410000002</v>
      </c>
      <c r="CA77">
        <v>6.0391126679999996</v>
      </c>
      <c r="CB77">
        <v>6.1681260949999999</v>
      </c>
      <c r="CC77">
        <v>6.2910683010000001</v>
      </c>
      <c r="CD77">
        <v>6.4140105079999996</v>
      </c>
      <c r="CE77">
        <v>6.536952715</v>
      </c>
      <c r="CF77">
        <v>6.6598949210000002</v>
      </c>
      <c r="CG77">
        <v>6.7828371279999997</v>
      </c>
      <c r="CH77">
        <v>6.5944736329999998</v>
      </c>
      <c r="CI77">
        <v>6.4015372639999999</v>
      </c>
      <c r="CJ77">
        <v>6.2108873320000004</v>
      </c>
      <c r="CK77">
        <v>6.0236670559999999</v>
      </c>
      <c r="CL77">
        <v>5.8364467800000002</v>
      </c>
      <c r="CM77">
        <v>5.6492265030000004</v>
      </c>
      <c r="CN77">
        <v>5.4642926640000002</v>
      </c>
      <c r="CO77">
        <v>5.2759291690000003</v>
      </c>
      <c r="CP77">
        <v>5.0875656740000004</v>
      </c>
      <c r="CQ77">
        <v>5.0875656740000004</v>
      </c>
      <c r="CR77">
        <v>5.0875656740000004</v>
      </c>
      <c r="CS77">
        <v>5.0875656740000004</v>
      </c>
      <c r="CT77">
        <v>5.0875656740000004</v>
      </c>
      <c r="CU77">
        <v>5.0875656740000004</v>
      </c>
      <c r="CV77">
        <v>5.0875656740000004</v>
      </c>
      <c r="CW77">
        <v>5.0875656740000004</v>
      </c>
      <c r="CX77">
        <v>5.0875656740000004</v>
      </c>
    </row>
    <row r="78" spans="1:102" x14ac:dyDescent="0.3">
      <c r="A78" t="s">
        <v>220</v>
      </c>
      <c r="B78" t="s">
        <v>221</v>
      </c>
      <c r="C78" t="s">
        <v>222</v>
      </c>
      <c r="D78" t="s">
        <v>223</v>
      </c>
      <c r="E78" t="s">
        <v>396</v>
      </c>
      <c r="F78" t="s">
        <v>225</v>
      </c>
      <c r="G78" t="s">
        <v>226</v>
      </c>
      <c r="H78" t="s">
        <v>226</v>
      </c>
      <c r="I78" t="s">
        <v>226</v>
      </c>
      <c r="J78" t="s">
        <v>227</v>
      </c>
      <c r="K78" t="s">
        <v>228</v>
      </c>
      <c r="L78" t="s">
        <v>228</v>
      </c>
      <c r="M78" t="s">
        <v>228</v>
      </c>
      <c r="N78" t="s">
        <v>228</v>
      </c>
      <c r="O78" t="s">
        <v>229</v>
      </c>
      <c r="P78">
        <v>2</v>
      </c>
      <c r="Q78" t="s">
        <v>230</v>
      </c>
      <c r="R78" t="s">
        <v>231</v>
      </c>
      <c r="S78" t="s">
        <v>232</v>
      </c>
      <c r="T78">
        <v>0</v>
      </c>
      <c r="U78" t="s">
        <v>230</v>
      </c>
      <c r="V78" t="s">
        <v>233</v>
      </c>
      <c r="W78" t="s">
        <v>223</v>
      </c>
      <c r="X78" t="s">
        <v>234</v>
      </c>
      <c r="Y78" t="s">
        <v>397</v>
      </c>
      <c r="Z78" t="s">
        <v>232</v>
      </c>
      <c r="AA78" t="s">
        <v>236</v>
      </c>
      <c r="AB78" t="s">
        <v>237</v>
      </c>
      <c r="AC78" t="s">
        <v>236</v>
      </c>
      <c r="AD78" t="s">
        <v>238</v>
      </c>
      <c r="AE78" t="s">
        <v>239</v>
      </c>
      <c r="AF78" t="s">
        <v>239</v>
      </c>
      <c r="AG78" t="s">
        <v>239</v>
      </c>
      <c r="AH78" t="s">
        <v>239</v>
      </c>
      <c r="AI78" t="s">
        <v>240</v>
      </c>
      <c r="AJ78" t="s">
        <v>241</v>
      </c>
      <c r="AK78" t="s">
        <v>242</v>
      </c>
      <c r="AL78" t="s">
        <v>234</v>
      </c>
      <c r="AM78" t="s">
        <v>243</v>
      </c>
      <c r="AN78" t="s">
        <v>244</v>
      </c>
      <c r="AO78" t="s">
        <v>245</v>
      </c>
      <c r="CJ78">
        <v>2.5270119229999999</v>
      </c>
      <c r="CK78">
        <v>2.9695789869999998</v>
      </c>
      <c r="CL78">
        <v>3.4121460510000001</v>
      </c>
      <c r="CM78">
        <v>3.854713115</v>
      </c>
      <c r="CN78">
        <v>4.2972801790000004</v>
      </c>
      <c r="CO78">
        <v>4.7398472429999998</v>
      </c>
      <c r="CP78">
        <v>5.1824143070000002</v>
      </c>
      <c r="CQ78">
        <v>5.6249813709999996</v>
      </c>
      <c r="CR78">
        <v>6.067548435</v>
      </c>
      <c r="CS78">
        <v>6.5101154990000003</v>
      </c>
      <c r="CT78">
        <v>6.9526825629999998</v>
      </c>
      <c r="CU78">
        <v>7.1814456040000003</v>
      </c>
      <c r="CV78">
        <v>7.1814456040000003</v>
      </c>
      <c r="CW78">
        <v>4.5765648289999996</v>
      </c>
      <c r="CX78">
        <v>4.8284277199999996</v>
      </c>
    </row>
    <row r="79" spans="1:102" x14ac:dyDescent="0.3">
      <c r="A79" t="s">
        <v>220</v>
      </c>
      <c r="B79" t="s">
        <v>221</v>
      </c>
      <c r="C79" t="s">
        <v>222</v>
      </c>
      <c r="D79" t="s">
        <v>223</v>
      </c>
      <c r="E79" t="s">
        <v>398</v>
      </c>
      <c r="F79" t="s">
        <v>225</v>
      </c>
      <c r="G79" t="s">
        <v>226</v>
      </c>
      <c r="H79" t="s">
        <v>226</v>
      </c>
      <c r="I79" t="s">
        <v>226</v>
      </c>
      <c r="J79" t="s">
        <v>227</v>
      </c>
      <c r="K79" t="s">
        <v>228</v>
      </c>
      <c r="L79" t="s">
        <v>228</v>
      </c>
      <c r="M79" t="s">
        <v>228</v>
      </c>
      <c r="N79" t="s">
        <v>228</v>
      </c>
      <c r="O79" t="s">
        <v>229</v>
      </c>
      <c r="P79">
        <v>2</v>
      </c>
      <c r="Q79" t="s">
        <v>230</v>
      </c>
      <c r="R79" t="s">
        <v>231</v>
      </c>
      <c r="S79" t="s">
        <v>232</v>
      </c>
      <c r="T79">
        <v>0</v>
      </c>
      <c r="U79" t="s">
        <v>230</v>
      </c>
      <c r="V79" t="s">
        <v>233</v>
      </c>
      <c r="W79" t="s">
        <v>223</v>
      </c>
      <c r="X79" t="s">
        <v>234</v>
      </c>
      <c r="Y79" t="s">
        <v>399</v>
      </c>
      <c r="Z79" t="s">
        <v>232</v>
      </c>
      <c r="AA79" t="s">
        <v>236</v>
      </c>
      <c r="AB79" t="s">
        <v>237</v>
      </c>
      <c r="AC79" t="s">
        <v>236</v>
      </c>
      <c r="AD79" t="s">
        <v>238</v>
      </c>
      <c r="AE79" t="s">
        <v>239</v>
      </c>
      <c r="AF79" t="s">
        <v>239</v>
      </c>
      <c r="AG79" t="s">
        <v>239</v>
      </c>
      <c r="AH79" t="s">
        <v>239</v>
      </c>
      <c r="AI79" t="s">
        <v>240</v>
      </c>
      <c r="AJ79" t="s">
        <v>241</v>
      </c>
      <c r="AK79" t="s">
        <v>242</v>
      </c>
      <c r="AL79" t="s">
        <v>234</v>
      </c>
      <c r="AM79" t="s">
        <v>243</v>
      </c>
      <c r="AN79" t="s">
        <v>244</v>
      </c>
      <c r="AO79" t="s">
        <v>245</v>
      </c>
      <c r="AP79">
        <v>37.5</v>
      </c>
      <c r="AQ79">
        <v>39.375</v>
      </c>
      <c r="AR79">
        <v>41.25</v>
      </c>
      <c r="AS79">
        <v>43.125</v>
      </c>
      <c r="AT79">
        <v>45</v>
      </c>
      <c r="AU79">
        <v>46.875</v>
      </c>
      <c r="AV79">
        <v>48.75</v>
      </c>
      <c r="AW79">
        <v>50.625</v>
      </c>
      <c r="AX79">
        <v>52.5</v>
      </c>
      <c r="AY79">
        <v>54.375</v>
      </c>
      <c r="AZ79">
        <v>56.25</v>
      </c>
      <c r="BA79">
        <v>58.125</v>
      </c>
      <c r="BB79">
        <v>60</v>
      </c>
      <c r="BC79">
        <v>61.875</v>
      </c>
      <c r="BD79">
        <v>63.75</v>
      </c>
      <c r="BE79">
        <v>65.625</v>
      </c>
      <c r="BF79">
        <v>67.5</v>
      </c>
      <c r="BG79">
        <v>69.375</v>
      </c>
      <c r="BH79">
        <v>71.25</v>
      </c>
      <c r="BI79">
        <v>73.125</v>
      </c>
      <c r="BJ79">
        <v>75</v>
      </c>
      <c r="BK79">
        <v>76.875</v>
      </c>
      <c r="BL79">
        <v>78.75</v>
      </c>
      <c r="BM79">
        <v>80.625</v>
      </c>
      <c r="BN79">
        <v>82.5</v>
      </c>
      <c r="BO79">
        <v>84.375</v>
      </c>
      <c r="BP79">
        <v>86.25</v>
      </c>
      <c r="BQ79">
        <v>88.125</v>
      </c>
      <c r="BR79">
        <v>90</v>
      </c>
      <c r="BS79">
        <v>91.875</v>
      </c>
      <c r="BT79">
        <v>93.75</v>
      </c>
      <c r="BU79">
        <v>95.625</v>
      </c>
      <c r="BV79">
        <v>97.5</v>
      </c>
      <c r="BW79">
        <v>99.375</v>
      </c>
      <c r="BX79">
        <v>101.25</v>
      </c>
      <c r="BY79">
        <v>101.25</v>
      </c>
      <c r="BZ79">
        <v>101.25</v>
      </c>
      <c r="CA79">
        <v>101.25</v>
      </c>
      <c r="CB79">
        <v>101.25</v>
      </c>
      <c r="CC79">
        <v>101.25</v>
      </c>
      <c r="CD79">
        <v>101.25</v>
      </c>
      <c r="CE79">
        <v>101.25</v>
      </c>
      <c r="CF79">
        <v>101.25</v>
      </c>
      <c r="CG79">
        <v>87.5</v>
      </c>
      <c r="CH79">
        <v>87.5</v>
      </c>
      <c r="CI79">
        <v>87.5</v>
      </c>
      <c r="CJ79">
        <v>87.5</v>
      </c>
      <c r="CK79">
        <v>87.5</v>
      </c>
      <c r="CL79">
        <v>87.5</v>
      </c>
      <c r="CM79">
        <v>87.5</v>
      </c>
      <c r="CN79">
        <v>87.5</v>
      </c>
      <c r="CO79">
        <v>87.5</v>
      </c>
      <c r="CP79">
        <v>87.5</v>
      </c>
      <c r="CQ79">
        <v>87.5</v>
      </c>
      <c r="CR79">
        <v>87.5</v>
      </c>
      <c r="CS79">
        <v>87.5</v>
      </c>
      <c r="CT79">
        <v>87.5</v>
      </c>
      <c r="CU79">
        <v>87.5</v>
      </c>
      <c r="CV79">
        <v>87.5</v>
      </c>
      <c r="CW79">
        <v>87.5</v>
      </c>
      <c r="CX79">
        <v>87.5</v>
      </c>
    </row>
    <row r="80" spans="1:102" x14ac:dyDescent="0.3">
      <c r="A80" t="s">
        <v>220</v>
      </c>
      <c r="B80" t="s">
        <v>221</v>
      </c>
      <c r="C80" t="s">
        <v>222</v>
      </c>
      <c r="D80" t="s">
        <v>223</v>
      </c>
      <c r="E80" t="s">
        <v>400</v>
      </c>
      <c r="F80" t="s">
        <v>225</v>
      </c>
      <c r="G80" t="s">
        <v>226</v>
      </c>
      <c r="H80" t="s">
        <v>226</v>
      </c>
      <c r="I80" t="s">
        <v>226</v>
      </c>
      <c r="J80" t="s">
        <v>227</v>
      </c>
      <c r="K80" t="s">
        <v>228</v>
      </c>
      <c r="L80" t="s">
        <v>228</v>
      </c>
      <c r="M80" t="s">
        <v>228</v>
      </c>
      <c r="N80" t="s">
        <v>228</v>
      </c>
      <c r="O80" t="s">
        <v>229</v>
      </c>
      <c r="P80">
        <v>2</v>
      </c>
      <c r="Q80" t="s">
        <v>230</v>
      </c>
      <c r="R80" t="s">
        <v>231</v>
      </c>
      <c r="S80" t="s">
        <v>232</v>
      </c>
      <c r="T80">
        <v>0</v>
      </c>
      <c r="U80" t="s">
        <v>230</v>
      </c>
      <c r="V80" t="s">
        <v>233</v>
      </c>
      <c r="W80" t="s">
        <v>223</v>
      </c>
      <c r="X80" t="s">
        <v>234</v>
      </c>
      <c r="Y80" t="s">
        <v>401</v>
      </c>
      <c r="Z80" t="s">
        <v>232</v>
      </c>
      <c r="AA80" t="s">
        <v>236</v>
      </c>
      <c r="AB80" t="s">
        <v>237</v>
      </c>
      <c r="AC80" t="s">
        <v>236</v>
      </c>
      <c r="AD80" t="s">
        <v>238</v>
      </c>
      <c r="AE80" t="s">
        <v>239</v>
      </c>
      <c r="AF80" t="s">
        <v>239</v>
      </c>
      <c r="AG80" t="s">
        <v>239</v>
      </c>
      <c r="AH80" t="s">
        <v>239</v>
      </c>
      <c r="AI80" t="s">
        <v>240</v>
      </c>
      <c r="AJ80" t="s">
        <v>241</v>
      </c>
      <c r="AK80" t="s">
        <v>242</v>
      </c>
      <c r="AL80" t="s">
        <v>234</v>
      </c>
      <c r="AM80" t="s">
        <v>243</v>
      </c>
      <c r="AN80" t="s">
        <v>244</v>
      </c>
      <c r="AO80" t="s">
        <v>245</v>
      </c>
      <c r="BS80">
        <v>9.0446741740000007</v>
      </c>
      <c r="BT80">
        <v>9.7477847519999994</v>
      </c>
      <c r="BU80">
        <v>10.45089533</v>
      </c>
      <c r="BV80">
        <v>11.15400591</v>
      </c>
      <c r="BW80">
        <v>11.857116489999999</v>
      </c>
      <c r="BX80">
        <v>11.96616472</v>
      </c>
      <c r="BY80">
        <v>12.075212949999999</v>
      </c>
      <c r="BZ80">
        <v>12.184261190000001</v>
      </c>
      <c r="CA80">
        <v>12.29330942</v>
      </c>
      <c r="CB80">
        <v>12.40235766</v>
      </c>
      <c r="CC80">
        <v>12.511405890000001</v>
      </c>
      <c r="CD80">
        <v>12.620454130000001</v>
      </c>
      <c r="CE80">
        <v>12.72950236</v>
      </c>
      <c r="CF80">
        <v>12.838550590000001</v>
      </c>
      <c r="CG80">
        <v>12.94759883</v>
      </c>
      <c r="CH80">
        <v>13.05664706</v>
      </c>
      <c r="CI80">
        <v>13.165695299999999</v>
      </c>
      <c r="CJ80">
        <v>13.27474353</v>
      </c>
      <c r="CK80">
        <v>13.38379177</v>
      </c>
      <c r="CL80">
        <v>13.38379177</v>
      </c>
      <c r="CM80">
        <v>13.38379177</v>
      </c>
      <c r="CN80">
        <v>13.38379177</v>
      </c>
      <c r="CO80">
        <v>13.38379177</v>
      </c>
      <c r="CP80">
        <v>13.38379177</v>
      </c>
      <c r="CQ80">
        <v>13.38379177</v>
      </c>
      <c r="CR80">
        <v>13.38379177</v>
      </c>
      <c r="CS80">
        <v>13.38379177</v>
      </c>
      <c r="CT80">
        <v>13.38379177</v>
      </c>
      <c r="CU80">
        <v>13.38379177</v>
      </c>
      <c r="CV80">
        <v>13.38379177</v>
      </c>
      <c r="CW80">
        <v>13.38379177</v>
      </c>
      <c r="CX80">
        <v>13.38379177</v>
      </c>
    </row>
    <row r="81" spans="1:102" x14ac:dyDescent="0.3">
      <c r="A81" t="s">
        <v>220</v>
      </c>
      <c r="B81" t="s">
        <v>221</v>
      </c>
      <c r="C81" t="s">
        <v>222</v>
      </c>
      <c r="D81" t="s">
        <v>223</v>
      </c>
      <c r="E81" t="s">
        <v>402</v>
      </c>
      <c r="F81" t="s">
        <v>225</v>
      </c>
      <c r="G81" t="s">
        <v>226</v>
      </c>
      <c r="H81" t="s">
        <v>226</v>
      </c>
      <c r="I81" t="s">
        <v>226</v>
      </c>
      <c r="J81" t="s">
        <v>227</v>
      </c>
      <c r="K81" t="s">
        <v>228</v>
      </c>
      <c r="L81" t="s">
        <v>228</v>
      </c>
      <c r="M81" t="s">
        <v>228</v>
      </c>
      <c r="N81" t="s">
        <v>228</v>
      </c>
      <c r="O81" t="s">
        <v>229</v>
      </c>
      <c r="P81">
        <v>2</v>
      </c>
      <c r="Q81" t="s">
        <v>230</v>
      </c>
      <c r="R81" t="s">
        <v>231</v>
      </c>
      <c r="S81" t="s">
        <v>232</v>
      </c>
      <c r="T81">
        <v>0</v>
      </c>
      <c r="U81" t="s">
        <v>230</v>
      </c>
      <c r="V81" t="s">
        <v>233</v>
      </c>
      <c r="W81" t="s">
        <v>223</v>
      </c>
      <c r="X81" t="s">
        <v>234</v>
      </c>
      <c r="Y81" t="s">
        <v>403</v>
      </c>
      <c r="Z81" t="s">
        <v>232</v>
      </c>
      <c r="AA81" t="s">
        <v>236</v>
      </c>
      <c r="AB81" t="s">
        <v>237</v>
      </c>
      <c r="AC81" t="s">
        <v>236</v>
      </c>
      <c r="AD81" t="s">
        <v>238</v>
      </c>
      <c r="AE81" t="s">
        <v>239</v>
      </c>
      <c r="AF81" t="s">
        <v>239</v>
      </c>
      <c r="AG81" t="s">
        <v>239</v>
      </c>
      <c r="AH81" t="s">
        <v>239</v>
      </c>
      <c r="AI81" t="s">
        <v>240</v>
      </c>
      <c r="AJ81" t="s">
        <v>241</v>
      </c>
      <c r="AK81" t="s">
        <v>242</v>
      </c>
      <c r="AL81" t="s">
        <v>234</v>
      </c>
      <c r="AM81" t="s">
        <v>243</v>
      </c>
      <c r="AN81" t="s">
        <v>244</v>
      </c>
      <c r="AO81" t="s">
        <v>245</v>
      </c>
      <c r="AX81">
        <v>133.15719092399999</v>
      </c>
      <c r="AY81">
        <v>134.2075748426</v>
      </c>
      <c r="AZ81">
        <v>135.12207747389999</v>
      </c>
      <c r="BA81">
        <v>136.0365801053</v>
      </c>
      <c r="BB81">
        <v>136.9510827366</v>
      </c>
      <c r="BC81">
        <v>137.86558536800001</v>
      </c>
      <c r="BD81">
        <v>138.78008799930001</v>
      </c>
      <c r="BE81">
        <v>139.69459063069999</v>
      </c>
      <c r="BF81">
        <v>140.60909326199999</v>
      </c>
      <c r="BG81">
        <v>141.3941851436</v>
      </c>
      <c r="BH81">
        <v>142.1792770253</v>
      </c>
      <c r="BI81">
        <v>144.8451384695</v>
      </c>
      <c r="BJ81">
        <v>147.5109999137</v>
      </c>
      <c r="BK81">
        <v>149.4147758318</v>
      </c>
      <c r="BL81">
        <v>151.3185517499</v>
      </c>
      <c r="BM81">
        <v>153.22232766799999</v>
      </c>
      <c r="BN81">
        <v>152.23017858680001</v>
      </c>
      <c r="BO81">
        <v>146.3204210163</v>
      </c>
      <c r="BP81">
        <v>143.6459321888</v>
      </c>
      <c r="BQ81">
        <v>140.97144336119999</v>
      </c>
      <c r="BR81">
        <v>135.6569752394</v>
      </c>
      <c r="BS81">
        <v>134.75972737469999</v>
      </c>
      <c r="BT81">
        <v>133.86247951000001</v>
      </c>
      <c r="BU81">
        <v>132.96523164519999</v>
      </c>
      <c r="BV81">
        <v>132.06798378049999</v>
      </c>
      <c r="BW81">
        <v>132.20602191360001</v>
      </c>
      <c r="BX81">
        <v>133.6036580105</v>
      </c>
      <c r="BY81">
        <v>135.0012941075</v>
      </c>
      <c r="BZ81">
        <v>136.3989302045</v>
      </c>
      <c r="CA81">
        <v>137.79656630139999</v>
      </c>
      <c r="CB81">
        <v>139.19420239839999</v>
      </c>
      <c r="CC81">
        <v>136.17893192989999</v>
      </c>
      <c r="CD81">
        <v>133.1636614615</v>
      </c>
      <c r="CE81">
        <v>148.39099301179999</v>
      </c>
      <c r="CF81">
        <v>122.42256923479999</v>
      </c>
      <c r="CG81">
        <v>121.2866304317</v>
      </c>
      <c r="CH81">
        <v>120.1506916286</v>
      </c>
      <c r="CI81">
        <v>119.0147528255</v>
      </c>
      <c r="CJ81">
        <v>117.87881402239999</v>
      </c>
      <c r="CK81">
        <v>116.7428752193</v>
      </c>
      <c r="CL81">
        <v>115.6069364162</v>
      </c>
      <c r="CM81">
        <v>112.2595116901</v>
      </c>
      <c r="CN81">
        <v>108.912086964</v>
      </c>
      <c r="CO81">
        <v>105.5128979381</v>
      </c>
      <c r="CP81">
        <v>102.1482184453</v>
      </c>
      <c r="CQ81">
        <v>98.869812785799994</v>
      </c>
      <c r="CR81">
        <v>103.44232594250001</v>
      </c>
      <c r="CS81">
        <v>103.6148736088</v>
      </c>
      <c r="CT81">
        <v>95.936502458800007</v>
      </c>
      <c r="CU81">
        <v>100.4227417824</v>
      </c>
      <c r="CV81">
        <v>110.08541109479999</v>
      </c>
      <c r="CW81">
        <v>131.99896471400001</v>
      </c>
      <c r="CX81">
        <f>CW81</f>
        <v>131.99896471400001</v>
      </c>
    </row>
    <row r="82" spans="1:102" x14ac:dyDescent="0.3">
      <c r="A82" t="s">
        <v>220</v>
      </c>
      <c r="B82" t="s">
        <v>221</v>
      </c>
      <c r="C82" t="s">
        <v>222</v>
      </c>
      <c r="D82" t="s">
        <v>223</v>
      </c>
      <c r="E82" t="s">
        <v>404</v>
      </c>
      <c r="F82" t="s">
        <v>225</v>
      </c>
      <c r="G82" t="s">
        <v>226</v>
      </c>
      <c r="H82" t="s">
        <v>226</v>
      </c>
      <c r="I82" t="s">
        <v>226</v>
      </c>
      <c r="J82" t="s">
        <v>227</v>
      </c>
      <c r="K82" t="s">
        <v>228</v>
      </c>
      <c r="L82" t="s">
        <v>228</v>
      </c>
      <c r="M82" t="s">
        <v>228</v>
      </c>
      <c r="N82" t="s">
        <v>228</v>
      </c>
      <c r="O82" t="s">
        <v>229</v>
      </c>
      <c r="P82">
        <v>2</v>
      </c>
      <c r="Q82" t="s">
        <v>230</v>
      </c>
      <c r="R82" t="s">
        <v>231</v>
      </c>
      <c r="S82" t="s">
        <v>232</v>
      </c>
      <c r="T82">
        <v>0</v>
      </c>
      <c r="U82" t="s">
        <v>230</v>
      </c>
      <c r="V82" t="s">
        <v>233</v>
      </c>
      <c r="W82" t="s">
        <v>223</v>
      </c>
      <c r="X82" t="s">
        <v>234</v>
      </c>
      <c r="Y82" t="s">
        <v>405</v>
      </c>
      <c r="Z82" t="s">
        <v>232</v>
      </c>
      <c r="AA82" t="s">
        <v>236</v>
      </c>
      <c r="AB82" t="s">
        <v>237</v>
      </c>
      <c r="AC82" t="s">
        <v>236</v>
      </c>
      <c r="AD82" t="s">
        <v>238</v>
      </c>
      <c r="AE82" t="s">
        <v>239</v>
      </c>
      <c r="AF82" t="s">
        <v>239</v>
      </c>
      <c r="AG82" t="s">
        <v>239</v>
      </c>
      <c r="AH82" t="s">
        <v>239</v>
      </c>
      <c r="AI82" t="s">
        <v>240</v>
      </c>
      <c r="AJ82" t="s">
        <v>241</v>
      </c>
      <c r="AK82" t="s">
        <v>242</v>
      </c>
      <c r="AL82" t="s">
        <v>234</v>
      </c>
      <c r="AM82" t="s">
        <v>243</v>
      </c>
      <c r="AN82" t="s">
        <v>244</v>
      </c>
      <c r="AO82" t="s">
        <v>245</v>
      </c>
      <c r="BU82">
        <v>0.32110091699999999</v>
      </c>
      <c r="BV82">
        <v>0.38871160799999999</v>
      </c>
      <c r="BW82">
        <v>0.45632229800000002</v>
      </c>
      <c r="BX82">
        <v>0.52393298799999999</v>
      </c>
      <c r="BY82">
        <v>0.59154367799999996</v>
      </c>
      <c r="BZ82">
        <v>0.65915436800000005</v>
      </c>
      <c r="CA82">
        <v>0.72676505800000002</v>
      </c>
      <c r="CB82">
        <v>0.79437574799999999</v>
      </c>
      <c r="CC82">
        <v>0.86198643799999997</v>
      </c>
      <c r="CD82">
        <v>0.92959712800000005</v>
      </c>
      <c r="CE82">
        <v>0.99720781800000002</v>
      </c>
      <c r="CF82">
        <v>1.0648185080000001</v>
      </c>
      <c r="CG82">
        <v>1.1324291980000001</v>
      </c>
      <c r="CH82">
        <v>1.2000398880000001</v>
      </c>
      <c r="CI82">
        <v>1.267650578</v>
      </c>
      <c r="CJ82">
        <v>1.335261268</v>
      </c>
      <c r="CK82">
        <v>1.4028719590000001</v>
      </c>
      <c r="CL82">
        <v>1.470482649</v>
      </c>
      <c r="CM82">
        <v>1.538093339</v>
      </c>
      <c r="CN82">
        <v>1.605704029</v>
      </c>
      <c r="CO82">
        <v>1.673314719</v>
      </c>
      <c r="CP82">
        <v>1.7409254089999999</v>
      </c>
      <c r="CQ82">
        <v>1.8085360989999999</v>
      </c>
      <c r="CR82">
        <v>1.8761467890000001</v>
      </c>
      <c r="CS82">
        <v>1.8761467890000001</v>
      </c>
      <c r="CT82">
        <v>1.8761467890000001</v>
      </c>
      <c r="CU82">
        <v>1.8761467890000001</v>
      </c>
      <c r="CV82">
        <v>1.8761467890000001</v>
      </c>
      <c r="CW82">
        <v>1.8761467890000001</v>
      </c>
      <c r="CX82">
        <v>1.8761467890000001</v>
      </c>
    </row>
    <row r="83" spans="1:102" x14ac:dyDescent="0.3">
      <c r="A83" t="s">
        <v>220</v>
      </c>
      <c r="B83" t="s">
        <v>221</v>
      </c>
      <c r="C83" t="s">
        <v>222</v>
      </c>
      <c r="D83" t="s">
        <v>223</v>
      </c>
      <c r="E83" t="s">
        <v>406</v>
      </c>
      <c r="F83" t="s">
        <v>225</v>
      </c>
      <c r="G83" t="s">
        <v>226</v>
      </c>
      <c r="H83" t="s">
        <v>226</v>
      </c>
      <c r="I83" t="s">
        <v>226</v>
      </c>
      <c r="J83" t="s">
        <v>227</v>
      </c>
      <c r="K83" t="s">
        <v>228</v>
      </c>
      <c r="L83" t="s">
        <v>228</v>
      </c>
      <c r="M83" t="s">
        <v>228</v>
      </c>
      <c r="N83" t="s">
        <v>228</v>
      </c>
      <c r="O83" t="s">
        <v>229</v>
      </c>
      <c r="P83">
        <v>2</v>
      </c>
      <c r="Q83" t="s">
        <v>230</v>
      </c>
      <c r="R83" t="s">
        <v>231</v>
      </c>
      <c r="S83" t="s">
        <v>232</v>
      </c>
      <c r="T83">
        <v>0</v>
      </c>
      <c r="U83" t="s">
        <v>230</v>
      </c>
      <c r="V83" t="s">
        <v>233</v>
      </c>
      <c r="W83" t="s">
        <v>223</v>
      </c>
      <c r="X83" t="s">
        <v>234</v>
      </c>
      <c r="Y83" t="s">
        <v>407</v>
      </c>
      <c r="Z83" t="s">
        <v>232</v>
      </c>
      <c r="AA83" t="s">
        <v>236</v>
      </c>
      <c r="AB83" t="s">
        <v>237</v>
      </c>
      <c r="AC83" t="s">
        <v>236</v>
      </c>
      <c r="AD83" t="s">
        <v>238</v>
      </c>
      <c r="AE83" t="s">
        <v>239</v>
      </c>
      <c r="AF83" t="s">
        <v>239</v>
      </c>
      <c r="AG83" t="s">
        <v>239</v>
      </c>
      <c r="AH83" t="s">
        <v>239</v>
      </c>
      <c r="AI83" t="s">
        <v>240</v>
      </c>
      <c r="AJ83" t="s">
        <v>241</v>
      </c>
      <c r="AK83" t="s">
        <v>242</v>
      </c>
      <c r="AL83" t="s">
        <v>234</v>
      </c>
      <c r="AM83" t="s">
        <v>243</v>
      </c>
      <c r="AN83" t="s">
        <v>244</v>
      </c>
      <c r="AO83" t="s">
        <v>245</v>
      </c>
      <c r="BT83">
        <v>3.3333333330000001</v>
      </c>
      <c r="BU83">
        <v>3.3847031959999998</v>
      </c>
      <c r="BV83">
        <v>3.4360730589999999</v>
      </c>
      <c r="BW83">
        <v>3.4874429220000001</v>
      </c>
      <c r="BX83">
        <v>3.5388127850000002</v>
      </c>
      <c r="BY83">
        <v>3.5901826479999999</v>
      </c>
      <c r="BZ83">
        <v>3.641552511</v>
      </c>
      <c r="CA83">
        <v>3.6929223740000001</v>
      </c>
      <c r="CB83">
        <v>3.7442922369999998</v>
      </c>
      <c r="CC83">
        <v>3.709223744</v>
      </c>
      <c r="CD83">
        <v>3.6741552510000002</v>
      </c>
      <c r="CE83">
        <v>3.6390867579999999</v>
      </c>
      <c r="CF83">
        <v>3.6040182650000001</v>
      </c>
      <c r="CG83">
        <v>3.5689497719999999</v>
      </c>
      <c r="CH83">
        <v>3.514840183</v>
      </c>
      <c r="CI83">
        <v>3.4607305940000002</v>
      </c>
      <c r="CJ83">
        <v>3.4066210049999999</v>
      </c>
      <c r="CK83">
        <v>3.352511416</v>
      </c>
      <c r="CL83">
        <v>3.2984018270000002</v>
      </c>
      <c r="CM83">
        <v>3.2984018270000002</v>
      </c>
      <c r="CN83">
        <v>3.2984018270000002</v>
      </c>
      <c r="CO83">
        <v>3.2984018270000002</v>
      </c>
      <c r="CP83">
        <v>3.2984018270000002</v>
      </c>
      <c r="CQ83">
        <v>3.2984018270000002</v>
      </c>
      <c r="CR83">
        <v>3.2984018270000002</v>
      </c>
      <c r="CS83">
        <v>3.2984018270000002</v>
      </c>
      <c r="CT83">
        <v>3.2984018270000002</v>
      </c>
      <c r="CU83">
        <v>3.2984018270000002</v>
      </c>
      <c r="CV83">
        <v>3.2984018270000002</v>
      </c>
      <c r="CW83">
        <v>3.2984018270000002</v>
      </c>
      <c r="CX83">
        <v>3.2984018270000002</v>
      </c>
    </row>
    <row r="84" spans="1:102" x14ac:dyDescent="0.3">
      <c r="A84" t="s">
        <v>220</v>
      </c>
      <c r="B84" t="s">
        <v>221</v>
      </c>
      <c r="C84" t="s">
        <v>222</v>
      </c>
      <c r="D84" t="s">
        <v>223</v>
      </c>
      <c r="E84" t="s">
        <v>408</v>
      </c>
      <c r="F84" t="s">
        <v>225</v>
      </c>
      <c r="G84" t="s">
        <v>226</v>
      </c>
      <c r="H84" t="s">
        <v>226</v>
      </c>
      <c r="I84" t="s">
        <v>226</v>
      </c>
      <c r="J84" t="s">
        <v>227</v>
      </c>
      <c r="K84" t="s">
        <v>228</v>
      </c>
      <c r="L84" t="s">
        <v>228</v>
      </c>
      <c r="M84" t="s">
        <v>228</v>
      </c>
      <c r="N84" t="s">
        <v>228</v>
      </c>
      <c r="O84" t="s">
        <v>229</v>
      </c>
      <c r="P84">
        <v>2</v>
      </c>
      <c r="Q84" t="s">
        <v>230</v>
      </c>
      <c r="R84" t="s">
        <v>231</v>
      </c>
      <c r="S84" t="s">
        <v>232</v>
      </c>
      <c r="T84">
        <v>0</v>
      </c>
      <c r="U84" t="s">
        <v>230</v>
      </c>
      <c r="V84" t="s">
        <v>233</v>
      </c>
      <c r="W84" t="s">
        <v>223</v>
      </c>
      <c r="X84" t="s">
        <v>234</v>
      </c>
      <c r="Y84" t="s">
        <v>409</v>
      </c>
      <c r="Z84" t="s">
        <v>232</v>
      </c>
      <c r="AA84" t="s">
        <v>236</v>
      </c>
      <c r="AB84" t="s">
        <v>237</v>
      </c>
      <c r="AC84" t="s">
        <v>236</v>
      </c>
      <c r="AD84" t="s">
        <v>238</v>
      </c>
      <c r="AE84" t="s">
        <v>239</v>
      </c>
      <c r="AF84" t="s">
        <v>239</v>
      </c>
      <c r="AG84" t="s">
        <v>239</v>
      </c>
      <c r="AH84" t="s">
        <v>239</v>
      </c>
      <c r="AI84" t="s">
        <v>240</v>
      </c>
      <c r="AJ84" t="s">
        <v>241</v>
      </c>
      <c r="AK84" t="s">
        <v>242</v>
      </c>
      <c r="AL84" t="s">
        <v>234</v>
      </c>
      <c r="AM84" t="s">
        <v>243</v>
      </c>
      <c r="AN84" t="s">
        <v>244</v>
      </c>
      <c r="AO84" t="s">
        <v>245</v>
      </c>
      <c r="CB84">
        <v>7.937788018</v>
      </c>
      <c r="CC84">
        <v>8.7471198159999997</v>
      </c>
      <c r="CD84">
        <v>9.5564516130000001</v>
      </c>
      <c r="CE84">
        <v>10.365783410000001</v>
      </c>
      <c r="CF84">
        <v>11.17511521</v>
      </c>
      <c r="CG84">
        <v>11.17511521</v>
      </c>
      <c r="CH84">
        <v>11.17511521</v>
      </c>
      <c r="CI84">
        <v>11.17511521</v>
      </c>
      <c r="CJ84">
        <v>11.17511521</v>
      </c>
      <c r="CK84">
        <v>11.17511521</v>
      </c>
      <c r="CL84">
        <v>11.17511521</v>
      </c>
      <c r="CM84">
        <v>11.17511521</v>
      </c>
      <c r="CN84">
        <v>11.17511521</v>
      </c>
      <c r="CO84">
        <v>11.17511521</v>
      </c>
      <c r="CP84">
        <v>11.17511521</v>
      </c>
      <c r="CQ84">
        <v>11.17511521</v>
      </c>
      <c r="CR84">
        <v>11.17511521</v>
      </c>
      <c r="CS84">
        <v>11.17511521</v>
      </c>
      <c r="CT84">
        <v>11.17511521</v>
      </c>
      <c r="CU84">
        <v>11.17511521</v>
      </c>
      <c r="CV84">
        <v>11.17511521</v>
      </c>
      <c r="CW84">
        <v>11.17511521</v>
      </c>
      <c r="CX84">
        <v>11.17511521</v>
      </c>
    </row>
    <row r="85" spans="1:102" x14ac:dyDescent="0.3">
      <c r="A85" t="s">
        <v>220</v>
      </c>
      <c r="B85" t="s">
        <v>221</v>
      </c>
      <c r="C85" t="s">
        <v>222</v>
      </c>
      <c r="D85" t="s">
        <v>223</v>
      </c>
      <c r="E85" t="s">
        <v>410</v>
      </c>
      <c r="F85" t="s">
        <v>225</v>
      </c>
      <c r="G85" t="s">
        <v>226</v>
      </c>
      <c r="H85" t="s">
        <v>226</v>
      </c>
      <c r="I85" t="s">
        <v>226</v>
      </c>
      <c r="J85" t="s">
        <v>227</v>
      </c>
      <c r="K85" t="s">
        <v>228</v>
      </c>
      <c r="L85" t="s">
        <v>228</v>
      </c>
      <c r="M85" t="s">
        <v>228</v>
      </c>
      <c r="N85" t="s">
        <v>228</v>
      </c>
      <c r="O85" t="s">
        <v>229</v>
      </c>
      <c r="P85">
        <v>2</v>
      </c>
      <c r="Q85" t="s">
        <v>230</v>
      </c>
      <c r="R85" t="s">
        <v>231</v>
      </c>
      <c r="S85" t="s">
        <v>232</v>
      </c>
      <c r="T85">
        <v>0</v>
      </c>
      <c r="U85" t="s">
        <v>230</v>
      </c>
      <c r="V85" t="s">
        <v>233</v>
      </c>
      <c r="W85" t="s">
        <v>223</v>
      </c>
      <c r="X85" t="s">
        <v>234</v>
      </c>
      <c r="Y85" t="s">
        <v>411</v>
      </c>
      <c r="Z85" t="s">
        <v>232</v>
      </c>
      <c r="AA85" t="s">
        <v>236</v>
      </c>
      <c r="AB85" t="s">
        <v>237</v>
      </c>
      <c r="AC85" t="s">
        <v>236</v>
      </c>
      <c r="AD85" t="s">
        <v>238</v>
      </c>
      <c r="AE85" t="s">
        <v>239</v>
      </c>
      <c r="AF85" t="s">
        <v>239</v>
      </c>
      <c r="AG85" t="s">
        <v>239</v>
      </c>
      <c r="AH85" t="s">
        <v>239</v>
      </c>
      <c r="AI85" t="s">
        <v>240</v>
      </c>
      <c r="AJ85" t="s">
        <v>241</v>
      </c>
      <c r="AK85" t="s">
        <v>242</v>
      </c>
      <c r="AL85" t="s">
        <v>234</v>
      </c>
      <c r="AM85" t="s">
        <v>243</v>
      </c>
      <c r="AN85" t="s">
        <v>244</v>
      </c>
      <c r="AO85" t="s">
        <v>245</v>
      </c>
      <c r="BH85">
        <v>17.463451679999999</v>
      </c>
      <c r="BI85">
        <v>17.520789820000001</v>
      </c>
      <c r="BJ85">
        <v>17.578127970000001</v>
      </c>
      <c r="BK85">
        <v>17.635466109999999</v>
      </c>
      <c r="BL85">
        <v>17.692804249999998</v>
      </c>
      <c r="BM85">
        <v>17.750142400000001</v>
      </c>
      <c r="BN85">
        <v>17.231441050000001</v>
      </c>
      <c r="BO85">
        <v>16.7127397</v>
      </c>
      <c r="BP85">
        <v>16.19403835</v>
      </c>
      <c r="BQ85">
        <v>15.675337000000001</v>
      </c>
      <c r="BR85">
        <v>15.156635659999999</v>
      </c>
      <c r="BS85">
        <v>15.156635659999999</v>
      </c>
      <c r="BT85">
        <v>14.5961648</v>
      </c>
      <c r="BU85">
        <v>14.03569394</v>
      </c>
      <c r="BV85">
        <v>13.47522309</v>
      </c>
      <c r="BW85">
        <v>12.914752229999999</v>
      </c>
      <c r="BX85">
        <v>12.354281370000001</v>
      </c>
      <c r="BY85">
        <v>13.26846402</v>
      </c>
      <c r="BZ85">
        <v>14.18264667</v>
      </c>
      <c r="CA85">
        <v>15.09682931</v>
      </c>
      <c r="CB85">
        <v>16.011011960000001</v>
      </c>
      <c r="CC85">
        <v>16.925194609999998</v>
      </c>
      <c r="CD85">
        <v>18.176523639999999</v>
      </c>
      <c r="CE85">
        <v>19.42785267</v>
      </c>
      <c r="CF85">
        <v>20.679181700000001</v>
      </c>
      <c r="CG85">
        <v>21.930510730000002</v>
      </c>
      <c r="CH85">
        <v>21.352192899999999</v>
      </c>
      <c r="CI85">
        <v>20.773875069999999</v>
      </c>
      <c r="CJ85">
        <v>20.334156069999999</v>
      </c>
      <c r="CK85">
        <v>21.66318587</v>
      </c>
      <c r="CL85">
        <v>20.75185115</v>
      </c>
      <c r="CM85">
        <v>19.346876779999999</v>
      </c>
      <c r="CN85">
        <v>20.346117329999998</v>
      </c>
      <c r="CO85">
        <v>20.201253090000002</v>
      </c>
      <c r="CP85">
        <v>18.017846970000001</v>
      </c>
      <c r="CQ85">
        <v>15.969242449999999</v>
      </c>
      <c r="CR85">
        <v>15.23333966</v>
      </c>
      <c r="CS85">
        <v>15.029808239999999</v>
      </c>
      <c r="CT85">
        <v>16.366983609999998</v>
      </c>
      <c r="CU85">
        <v>17.000606919999999</v>
      </c>
      <c r="CV85">
        <v>16.80356059</v>
      </c>
      <c r="CW85">
        <v>16.075662550000001</v>
      </c>
      <c r="CX85">
        <v>16.658506979999999</v>
      </c>
    </row>
    <row r="86" spans="1:102" x14ac:dyDescent="0.3">
      <c r="A86" t="s">
        <v>220</v>
      </c>
      <c r="B86" t="s">
        <v>221</v>
      </c>
      <c r="C86" t="s">
        <v>222</v>
      </c>
      <c r="D86" t="s">
        <v>223</v>
      </c>
      <c r="E86" t="s">
        <v>412</v>
      </c>
      <c r="F86" t="s">
        <v>225</v>
      </c>
      <c r="G86" t="s">
        <v>226</v>
      </c>
      <c r="H86" t="s">
        <v>226</v>
      </c>
      <c r="I86" t="s">
        <v>226</v>
      </c>
      <c r="J86" t="s">
        <v>227</v>
      </c>
      <c r="K86" t="s">
        <v>228</v>
      </c>
      <c r="L86" t="s">
        <v>228</v>
      </c>
      <c r="M86" t="s">
        <v>228</v>
      </c>
      <c r="N86" t="s">
        <v>228</v>
      </c>
      <c r="O86" t="s">
        <v>229</v>
      </c>
      <c r="P86">
        <v>2</v>
      </c>
      <c r="Q86" t="s">
        <v>230</v>
      </c>
      <c r="R86" t="s">
        <v>231</v>
      </c>
      <c r="S86" t="s">
        <v>232</v>
      </c>
      <c r="T86">
        <v>0</v>
      </c>
      <c r="U86" t="s">
        <v>230</v>
      </c>
      <c r="V86" t="s">
        <v>233</v>
      </c>
      <c r="W86" t="s">
        <v>223</v>
      </c>
      <c r="X86" t="s">
        <v>234</v>
      </c>
      <c r="Y86" t="s">
        <v>413</v>
      </c>
      <c r="Z86" t="s">
        <v>232</v>
      </c>
      <c r="AA86" t="s">
        <v>236</v>
      </c>
      <c r="AB86" t="s">
        <v>237</v>
      </c>
      <c r="AC86" t="s">
        <v>236</v>
      </c>
      <c r="AD86" t="s">
        <v>238</v>
      </c>
      <c r="AE86" t="s">
        <v>239</v>
      </c>
      <c r="AF86" t="s">
        <v>239</v>
      </c>
      <c r="AG86" t="s">
        <v>239</v>
      </c>
      <c r="AH86" t="s">
        <v>239</v>
      </c>
      <c r="AI86" t="s">
        <v>240</v>
      </c>
      <c r="AJ86" t="s">
        <v>241</v>
      </c>
      <c r="AK86" t="s">
        <v>242</v>
      </c>
      <c r="AL86" t="s">
        <v>234</v>
      </c>
      <c r="AM86" t="s">
        <v>243</v>
      </c>
      <c r="AN86" t="s">
        <v>244</v>
      </c>
      <c r="AO86" t="s">
        <v>245</v>
      </c>
      <c r="BR86">
        <v>168.01724139999999</v>
      </c>
      <c r="BS86">
        <v>170.92175069999999</v>
      </c>
      <c r="BT86">
        <v>179.109748</v>
      </c>
      <c r="BU86">
        <v>187.83488059999999</v>
      </c>
      <c r="BV86">
        <v>196.56001330000001</v>
      </c>
      <c r="BW86">
        <v>205.2851459</v>
      </c>
      <c r="BX86">
        <v>214.0102785</v>
      </c>
      <c r="BY86">
        <v>222.73541109999999</v>
      </c>
      <c r="BZ86">
        <v>231.46054380000001</v>
      </c>
      <c r="CA86">
        <v>240.18567640000001</v>
      </c>
      <c r="CB86">
        <v>248.910809</v>
      </c>
      <c r="CC86">
        <v>234.76237839999999</v>
      </c>
      <c r="CD86">
        <v>220.61394780000001</v>
      </c>
      <c r="CE86">
        <v>205.77586210000001</v>
      </c>
      <c r="CF86">
        <v>201.1050157</v>
      </c>
      <c r="CG86">
        <v>196.43416930000001</v>
      </c>
      <c r="CH86">
        <v>191.76332289999999</v>
      </c>
      <c r="CI86">
        <v>187.0924765</v>
      </c>
      <c r="CJ86">
        <v>182.42163009999999</v>
      </c>
      <c r="CK86">
        <v>177.7507837</v>
      </c>
      <c r="CL86">
        <v>173.07993730000001</v>
      </c>
      <c r="CM86">
        <v>168.4090909</v>
      </c>
      <c r="CN86">
        <v>163.73824450000001</v>
      </c>
      <c r="CO86">
        <v>159.06739809999999</v>
      </c>
      <c r="CP86">
        <v>154.3965517</v>
      </c>
      <c r="CQ86">
        <v>137.1551724</v>
      </c>
      <c r="CR86">
        <v>133.70689659999999</v>
      </c>
      <c r="CS86">
        <v>133.70689659999999</v>
      </c>
      <c r="CT86">
        <v>133.70689659999999</v>
      </c>
      <c r="CU86">
        <v>133.70689659999999</v>
      </c>
      <c r="CV86">
        <v>133.70689659999999</v>
      </c>
      <c r="CW86">
        <v>133.70689659999999</v>
      </c>
      <c r="CX86">
        <v>133.70689659999999</v>
      </c>
    </row>
    <row r="87" spans="1:102" x14ac:dyDescent="0.3">
      <c r="A87" t="s">
        <v>220</v>
      </c>
      <c r="B87" t="s">
        <v>221</v>
      </c>
      <c r="C87" t="s">
        <v>222</v>
      </c>
      <c r="D87" t="s">
        <v>223</v>
      </c>
      <c r="E87" t="s">
        <v>414</v>
      </c>
      <c r="F87" t="s">
        <v>225</v>
      </c>
      <c r="G87" t="s">
        <v>226</v>
      </c>
      <c r="H87" t="s">
        <v>226</v>
      </c>
      <c r="I87" t="s">
        <v>226</v>
      </c>
      <c r="J87" t="s">
        <v>227</v>
      </c>
      <c r="K87" t="s">
        <v>228</v>
      </c>
      <c r="L87" t="s">
        <v>228</v>
      </c>
      <c r="M87" t="s">
        <v>228</v>
      </c>
      <c r="N87" t="s">
        <v>228</v>
      </c>
      <c r="O87" t="s">
        <v>229</v>
      </c>
      <c r="P87">
        <v>2</v>
      </c>
      <c r="Q87" t="s">
        <v>230</v>
      </c>
      <c r="R87" t="s">
        <v>231</v>
      </c>
      <c r="S87" t="s">
        <v>232</v>
      </c>
      <c r="T87">
        <v>0</v>
      </c>
      <c r="U87" t="s">
        <v>230</v>
      </c>
      <c r="V87" t="s">
        <v>233</v>
      </c>
      <c r="W87" t="s">
        <v>223</v>
      </c>
      <c r="X87" t="s">
        <v>234</v>
      </c>
      <c r="Y87" t="s">
        <v>415</v>
      </c>
      <c r="Z87" t="s">
        <v>232</v>
      </c>
      <c r="AA87" t="s">
        <v>236</v>
      </c>
      <c r="AB87" t="s">
        <v>237</v>
      </c>
      <c r="AC87" t="s">
        <v>236</v>
      </c>
      <c r="AD87" t="s">
        <v>238</v>
      </c>
      <c r="AE87" t="s">
        <v>239</v>
      </c>
      <c r="AF87" t="s">
        <v>239</v>
      </c>
      <c r="AG87" t="s">
        <v>239</v>
      </c>
      <c r="AH87" t="s">
        <v>239</v>
      </c>
      <c r="AI87" t="s">
        <v>240</v>
      </c>
      <c r="AJ87" t="s">
        <v>241</v>
      </c>
      <c r="AK87" t="s">
        <v>242</v>
      </c>
      <c r="AL87" t="s">
        <v>234</v>
      </c>
      <c r="AM87" t="s">
        <v>243</v>
      </c>
      <c r="AN87" t="s">
        <v>244</v>
      </c>
      <c r="AO87" t="s">
        <v>245</v>
      </c>
      <c r="BH87">
        <v>22.983802220000001</v>
      </c>
      <c r="BI87">
        <v>22.308610399999999</v>
      </c>
      <c r="BJ87">
        <v>21.633418580000001</v>
      </c>
      <c r="BK87">
        <v>20.95822677</v>
      </c>
      <c r="BL87">
        <v>20.283034950000001</v>
      </c>
      <c r="BM87">
        <v>19.60784314</v>
      </c>
      <c r="BN87">
        <v>19.785166239999999</v>
      </c>
      <c r="BO87">
        <v>19.962489340000001</v>
      </c>
      <c r="BP87">
        <v>20.139812450000001</v>
      </c>
      <c r="BQ87">
        <v>20.31713555</v>
      </c>
      <c r="BR87">
        <v>20.494458649999999</v>
      </c>
      <c r="BS87">
        <v>20.51832907</v>
      </c>
      <c r="BT87">
        <v>20.542199490000002</v>
      </c>
      <c r="BU87">
        <v>20.56606991</v>
      </c>
      <c r="BV87">
        <v>20.58994032</v>
      </c>
      <c r="BW87">
        <v>20.613810740000002</v>
      </c>
      <c r="BX87">
        <v>20.748151589999999</v>
      </c>
      <c r="BY87">
        <v>20.88249244</v>
      </c>
      <c r="BZ87">
        <v>21.016833290000001</v>
      </c>
      <c r="CA87">
        <v>21.151174149999999</v>
      </c>
      <c r="CB87">
        <v>21.285515</v>
      </c>
      <c r="CC87">
        <v>21.419855850000001</v>
      </c>
      <c r="CD87">
        <v>21.554196699999999</v>
      </c>
      <c r="CE87">
        <v>21.688537549999999</v>
      </c>
      <c r="CF87">
        <v>21.8228784</v>
      </c>
      <c r="CG87">
        <v>21.957219250000001</v>
      </c>
      <c r="CH87">
        <v>22.091560099999999</v>
      </c>
      <c r="CI87">
        <v>14.51491901</v>
      </c>
      <c r="CJ87">
        <v>14.231884060000001</v>
      </c>
      <c r="CK87">
        <v>14.11935209</v>
      </c>
      <c r="CL87">
        <v>14.09036658</v>
      </c>
      <c r="CM87">
        <v>13.103154310000001</v>
      </c>
      <c r="CN87">
        <v>13.669224209999999</v>
      </c>
      <c r="CO87">
        <v>13.045183290000001</v>
      </c>
      <c r="CP87">
        <v>12.42114237</v>
      </c>
      <c r="CQ87">
        <v>13.913043480000001</v>
      </c>
      <c r="CR87">
        <v>14.35464621</v>
      </c>
      <c r="CS87">
        <v>14.35464621</v>
      </c>
      <c r="CT87">
        <v>14.35464621</v>
      </c>
      <c r="CU87">
        <v>14.35464621</v>
      </c>
      <c r="CV87">
        <v>14.35464621</v>
      </c>
      <c r="CW87">
        <v>14.35464621</v>
      </c>
      <c r="CX87">
        <v>14.35464621</v>
      </c>
    </row>
    <row r="88" spans="1:102" x14ac:dyDescent="0.3">
      <c r="A88" t="s">
        <v>220</v>
      </c>
      <c r="B88" t="s">
        <v>221</v>
      </c>
      <c r="C88" t="s">
        <v>222</v>
      </c>
      <c r="D88" t="s">
        <v>223</v>
      </c>
      <c r="E88" t="s">
        <v>416</v>
      </c>
      <c r="F88" t="s">
        <v>225</v>
      </c>
      <c r="G88" t="s">
        <v>226</v>
      </c>
      <c r="H88" t="s">
        <v>226</v>
      </c>
      <c r="I88" t="s">
        <v>226</v>
      </c>
      <c r="J88" t="s">
        <v>227</v>
      </c>
      <c r="K88" t="s">
        <v>228</v>
      </c>
      <c r="L88" t="s">
        <v>228</v>
      </c>
      <c r="M88" t="s">
        <v>228</v>
      </c>
      <c r="N88" t="s">
        <v>228</v>
      </c>
      <c r="O88" t="s">
        <v>229</v>
      </c>
      <c r="P88">
        <v>2</v>
      </c>
      <c r="Q88" t="s">
        <v>230</v>
      </c>
      <c r="R88" t="s">
        <v>231</v>
      </c>
      <c r="S88" t="s">
        <v>232</v>
      </c>
      <c r="T88">
        <v>0</v>
      </c>
      <c r="U88" t="s">
        <v>230</v>
      </c>
      <c r="V88" t="s">
        <v>233</v>
      </c>
      <c r="W88" t="s">
        <v>223</v>
      </c>
      <c r="X88" t="s">
        <v>234</v>
      </c>
      <c r="Y88" t="s">
        <v>417</v>
      </c>
      <c r="Z88" t="s">
        <v>232</v>
      </c>
      <c r="AA88" t="s">
        <v>236</v>
      </c>
      <c r="AB88" t="s">
        <v>237</v>
      </c>
      <c r="AC88" t="s">
        <v>236</v>
      </c>
      <c r="AD88" t="s">
        <v>238</v>
      </c>
      <c r="AE88" t="s">
        <v>239</v>
      </c>
      <c r="AF88" t="s">
        <v>239</v>
      </c>
      <c r="AG88" t="s">
        <v>239</v>
      </c>
      <c r="AH88" t="s">
        <v>239</v>
      </c>
      <c r="AI88" t="s">
        <v>240</v>
      </c>
      <c r="AJ88" t="s">
        <v>241</v>
      </c>
      <c r="AK88" t="s">
        <v>242</v>
      </c>
      <c r="AL88" t="s">
        <v>234</v>
      </c>
      <c r="AM88" t="s">
        <v>243</v>
      </c>
      <c r="AN88" t="s">
        <v>244</v>
      </c>
      <c r="AO88" t="s">
        <v>245</v>
      </c>
      <c r="BT88">
        <v>33.687483800000003</v>
      </c>
      <c r="BU88">
        <v>32.439751229999999</v>
      </c>
      <c r="BV88">
        <v>31.189427309999999</v>
      </c>
      <c r="BW88">
        <v>29.93910339</v>
      </c>
      <c r="BX88">
        <v>28.688779480000001</v>
      </c>
      <c r="BY88">
        <v>27.438455560000001</v>
      </c>
      <c r="BZ88">
        <v>26.188131640000002</v>
      </c>
      <c r="CA88">
        <v>24.937807719999999</v>
      </c>
      <c r="CB88">
        <v>23.68489246</v>
      </c>
      <c r="CC88">
        <v>22.858512569999998</v>
      </c>
      <c r="CD88">
        <v>22.029541330000001</v>
      </c>
      <c r="CE88">
        <v>21.2005701</v>
      </c>
      <c r="CF88">
        <v>20.371598859999999</v>
      </c>
      <c r="CG88">
        <v>19.538740610000001</v>
      </c>
      <c r="CH88">
        <v>19.481212750000001</v>
      </c>
      <c r="CI88">
        <v>19.41953874</v>
      </c>
      <c r="CJ88">
        <v>19.358383</v>
      </c>
      <c r="CK88">
        <v>19.29696813</v>
      </c>
      <c r="CL88">
        <v>19.24073594</v>
      </c>
      <c r="CM88">
        <v>17.96093548</v>
      </c>
      <c r="CN88">
        <v>16.681135009999998</v>
      </c>
      <c r="CO88">
        <v>15.401334540000001</v>
      </c>
      <c r="CP88">
        <v>14.12153408</v>
      </c>
      <c r="CQ88">
        <v>11.802280379999999</v>
      </c>
      <c r="CR88">
        <v>12.082145629999999</v>
      </c>
      <c r="CS88">
        <v>13.870173619999999</v>
      </c>
      <c r="CT88">
        <v>13.870173619999999</v>
      </c>
      <c r="CU88">
        <v>13.728945319999999</v>
      </c>
      <c r="CV88">
        <v>12.255765739999999</v>
      </c>
      <c r="CW88">
        <v>10.841020990000001</v>
      </c>
      <c r="CX88">
        <v>6.2981342319999998</v>
      </c>
    </row>
    <row r="89" spans="1:102" x14ac:dyDescent="0.3">
      <c r="A89" t="s">
        <v>220</v>
      </c>
      <c r="B89" t="s">
        <v>221</v>
      </c>
      <c r="C89" t="s">
        <v>222</v>
      </c>
      <c r="D89" t="s">
        <v>223</v>
      </c>
      <c r="E89" t="s">
        <v>418</v>
      </c>
      <c r="F89" t="s">
        <v>225</v>
      </c>
      <c r="G89" t="s">
        <v>226</v>
      </c>
      <c r="H89" t="s">
        <v>226</v>
      </c>
      <c r="I89" t="s">
        <v>226</v>
      </c>
      <c r="J89" t="s">
        <v>227</v>
      </c>
      <c r="K89" t="s">
        <v>228</v>
      </c>
      <c r="L89" t="s">
        <v>228</v>
      </c>
      <c r="M89" t="s">
        <v>228</v>
      </c>
      <c r="N89" t="s">
        <v>228</v>
      </c>
      <c r="O89" t="s">
        <v>229</v>
      </c>
      <c r="P89">
        <v>2</v>
      </c>
      <c r="Q89" t="s">
        <v>230</v>
      </c>
      <c r="R89" t="s">
        <v>231</v>
      </c>
      <c r="S89" t="s">
        <v>232</v>
      </c>
      <c r="T89">
        <v>0</v>
      </c>
      <c r="U89" t="s">
        <v>230</v>
      </c>
      <c r="V89" t="s">
        <v>233</v>
      </c>
      <c r="W89" t="s">
        <v>223</v>
      </c>
      <c r="X89" t="s">
        <v>234</v>
      </c>
      <c r="Y89" t="s">
        <v>419</v>
      </c>
      <c r="Z89" t="s">
        <v>232</v>
      </c>
      <c r="AA89" t="s">
        <v>236</v>
      </c>
      <c r="AB89" t="s">
        <v>237</v>
      </c>
      <c r="AC89" t="s">
        <v>236</v>
      </c>
      <c r="AD89" t="s">
        <v>238</v>
      </c>
      <c r="AE89" t="s">
        <v>239</v>
      </c>
      <c r="AF89" t="s">
        <v>239</v>
      </c>
      <c r="AG89" t="s">
        <v>239</v>
      </c>
      <c r="AH89" t="s">
        <v>239</v>
      </c>
      <c r="AI89" t="s">
        <v>240</v>
      </c>
      <c r="AJ89" t="s">
        <v>241</v>
      </c>
      <c r="AK89" t="s">
        <v>242</v>
      </c>
      <c r="AL89" t="s">
        <v>234</v>
      </c>
      <c r="AM89" t="s">
        <v>243</v>
      </c>
      <c r="AN89" t="s">
        <v>244</v>
      </c>
      <c r="AO89" t="s">
        <v>245</v>
      </c>
      <c r="BO89">
        <v>0.24956326400000001</v>
      </c>
      <c r="BP89">
        <v>0.28810959000000003</v>
      </c>
      <c r="BQ89">
        <v>0.32665591599999999</v>
      </c>
      <c r="BR89">
        <v>0.36520224200000001</v>
      </c>
      <c r="BS89">
        <v>0.40374856799999997</v>
      </c>
      <c r="BT89">
        <v>0.44229489399999999</v>
      </c>
      <c r="BU89">
        <v>0.48084122000000001</v>
      </c>
      <c r="BV89">
        <v>0.60150574400000001</v>
      </c>
      <c r="BW89">
        <v>0.72217026799999995</v>
      </c>
      <c r="BX89">
        <v>0.82979511100000003</v>
      </c>
      <c r="BY89">
        <v>0.93741995499999997</v>
      </c>
      <c r="BZ89">
        <v>1.0450447979999999</v>
      </c>
      <c r="CA89">
        <v>1.1526696409999999</v>
      </c>
      <c r="CB89">
        <v>1.260294485</v>
      </c>
      <c r="CC89">
        <v>1.260294485</v>
      </c>
      <c r="CD89">
        <v>1.260294485</v>
      </c>
      <c r="CE89">
        <v>1.260294485</v>
      </c>
      <c r="CF89">
        <v>1.260294485</v>
      </c>
      <c r="CG89">
        <v>1.260294485</v>
      </c>
      <c r="CH89">
        <v>1.260294485</v>
      </c>
      <c r="CI89">
        <v>1.260294485</v>
      </c>
      <c r="CJ89">
        <v>1.260294485</v>
      </c>
      <c r="CK89">
        <v>1.260294485</v>
      </c>
      <c r="CL89">
        <v>1.260294485</v>
      </c>
      <c r="CM89">
        <v>1.260294485</v>
      </c>
      <c r="CN89">
        <v>1.260294485</v>
      </c>
      <c r="CO89">
        <v>1.260294485</v>
      </c>
      <c r="CP89">
        <v>1.260294485</v>
      </c>
      <c r="CQ89">
        <v>1.260294485</v>
      </c>
      <c r="CR89">
        <v>1.260294485</v>
      </c>
      <c r="CS89">
        <v>1.260294485</v>
      </c>
      <c r="CT89">
        <v>1.260294485</v>
      </c>
      <c r="CU89">
        <v>1.260294485</v>
      </c>
      <c r="CV89">
        <v>1.260294485</v>
      </c>
      <c r="CW89">
        <v>1.260294485</v>
      </c>
      <c r="CX89">
        <v>1.260294485</v>
      </c>
    </row>
    <row r="90" spans="1:102" x14ac:dyDescent="0.3">
      <c r="A90" t="s">
        <v>220</v>
      </c>
      <c r="B90" t="s">
        <v>221</v>
      </c>
      <c r="C90" t="s">
        <v>222</v>
      </c>
      <c r="D90" t="s">
        <v>223</v>
      </c>
      <c r="E90" t="s">
        <v>420</v>
      </c>
      <c r="F90" t="s">
        <v>225</v>
      </c>
      <c r="G90" t="s">
        <v>226</v>
      </c>
      <c r="H90" t="s">
        <v>226</v>
      </c>
      <c r="I90" t="s">
        <v>226</v>
      </c>
      <c r="J90" t="s">
        <v>227</v>
      </c>
      <c r="K90" t="s">
        <v>228</v>
      </c>
      <c r="L90" t="s">
        <v>228</v>
      </c>
      <c r="M90" t="s">
        <v>228</v>
      </c>
      <c r="N90" t="s">
        <v>228</v>
      </c>
      <c r="O90" t="s">
        <v>229</v>
      </c>
      <c r="P90">
        <v>2</v>
      </c>
      <c r="Q90" t="s">
        <v>230</v>
      </c>
      <c r="R90" t="s">
        <v>231</v>
      </c>
      <c r="S90" t="s">
        <v>232</v>
      </c>
      <c r="T90">
        <v>0</v>
      </c>
      <c r="U90" t="s">
        <v>230</v>
      </c>
      <c r="V90" t="s">
        <v>233</v>
      </c>
      <c r="W90" t="s">
        <v>223</v>
      </c>
      <c r="X90" t="s">
        <v>234</v>
      </c>
      <c r="Y90" t="s">
        <v>421</v>
      </c>
      <c r="Z90" t="s">
        <v>232</v>
      </c>
      <c r="AA90" t="s">
        <v>236</v>
      </c>
      <c r="AB90" t="s">
        <v>237</v>
      </c>
      <c r="AC90" t="s">
        <v>236</v>
      </c>
      <c r="AD90" t="s">
        <v>238</v>
      </c>
      <c r="AE90" t="s">
        <v>239</v>
      </c>
      <c r="AF90" t="s">
        <v>239</v>
      </c>
      <c r="AG90" t="s">
        <v>239</v>
      </c>
      <c r="AH90" t="s">
        <v>239</v>
      </c>
      <c r="AI90" t="s">
        <v>240</v>
      </c>
      <c r="AJ90" t="s">
        <v>241</v>
      </c>
      <c r="AK90" t="s">
        <v>242</v>
      </c>
      <c r="AL90" t="s">
        <v>234</v>
      </c>
      <c r="AM90" t="s">
        <v>243</v>
      </c>
      <c r="AN90" t="s">
        <v>244</v>
      </c>
      <c r="AO90" t="s">
        <v>245</v>
      </c>
      <c r="BJ90">
        <v>0.43497172699999997</v>
      </c>
      <c r="BK90">
        <v>0.52164624000000004</v>
      </c>
      <c r="BL90">
        <v>0.60832075299999999</v>
      </c>
      <c r="BM90">
        <v>0.69499526700000003</v>
      </c>
      <c r="BN90">
        <v>0.78166977999999998</v>
      </c>
      <c r="BO90">
        <v>0.86834429300000004</v>
      </c>
      <c r="BP90">
        <v>0.955018806</v>
      </c>
      <c r="BQ90">
        <v>1.041693319</v>
      </c>
      <c r="BR90">
        <v>1.128367833</v>
      </c>
      <c r="BS90">
        <v>1.2150423459999999</v>
      </c>
      <c r="BT90">
        <v>1.3017168589999999</v>
      </c>
      <c r="BU90">
        <v>1.3883913720000001</v>
      </c>
      <c r="BV90">
        <v>1.475065885</v>
      </c>
      <c r="BW90">
        <v>1.5617403990000001</v>
      </c>
      <c r="BX90">
        <v>1.648414912</v>
      </c>
      <c r="BY90">
        <v>1.735089425</v>
      </c>
      <c r="BZ90">
        <v>1.8217639379999999</v>
      </c>
      <c r="CA90">
        <v>1.908438452</v>
      </c>
      <c r="CB90">
        <v>1.968247064</v>
      </c>
      <c r="CC90">
        <v>2.0165289259999999</v>
      </c>
      <c r="CD90">
        <v>2.0648107869999999</v>
      </c>
      <c r="CE90">
        <v>2.1130926489999999</v>
      </c>
      <c r="CF90">
        <v>2.161374511</v>
      </c>
      <c r="CG90">
        <v>2.209656372</v>
      </c>
      <c r="CH90">
        <v>2.209656372</v>
      </c>
      <c r="CI90">
        <v>2.209656372</v>
      </c>
      <c r="CJ90">
        <v>2.209656372</v>
      </c>
      <c r="CK90">
        <v>2.209656372</v>
      </c>
      <c r="CL90">
        <v>2.209656372</v>
      </c>
      <c r="CM90">
        <v>2.209656372</v>
      </c>
      <c r="CN90">
        <v>2.209656372</v>
      </c>
      <c r="CO90">
        <v>2.209656372</v>
      </c>
      <c r="CP90">
        <v>2.209656372</v>
      </c>
      <c r="CQ90">
        <v>2.209656372</v>
      </c>
      <c r="CR90">
        <v>2.209656372</v>
      </c>
      <c r="CS90">
        <v>2.209656372</v>
      </c>
      <c r="CT90">
        <v>2.209656372</v>
      </c>
      <c r="CU90">
        <v>2.209656372</v>
      </c>
      <c r="CV90">
        <v>2.209656372</v>
      </c>
      <c r="CW90">
        <v>2.209656372</v>
      </c>
      <c r="CX90">
        <v>2.209656372</v>
      </c>
    </row>
    <row r="91" spans="1:102" x14ac:dyDescent="0.3">
      <c r="A91" t="s">
        <v>220</v>
      </c>
      <c r="B91" t="s">
        <v>221</v>
      </c>
      <c r="C91" t="s">
        <v>222</v>
      </c>
      <c r="D91" t="s">
        <v>223</v>
      </c>
      <c r="E91" t="s">
        <v>422</v>
      </c>
      <c r="F91" t="s">
        <v>225</v>
      </c>
      <c r="G91" t="s">
        <v>226</v>
      </c>
      <c r="H91" t="s">
        <v>226</v>
      </c>
      <c r="I91" t="s">
        <v>226</v>
      </c>
      <c r="J91" t="s">
        <v>227</v>
      </c>
      <c r="K91" t="s">
        <v>228</v>
      </c>
      <c r="L91" t="s">
        <v>228</v>
      </c>
      <c r="M91" t="s">
        <v>228</v>
      </c>
      <c r="N91" t="s">
        <v>228</v>
      </c>
      <c r="O91" t="s">
        <v>229</v>
      </c>
      <c r="P91">
        <v>2</v>
      </c>
      <c r="Q91" t="s">
        <v>230</v>
      </c>
      <c r="R91" t="s">
        <v>231</v>
      </c>
      <c r="S91" t="s">
        <v>232</v>
      </c>
      <c r="T91">
        <v>0</v>
      </c>
      <c r="U91" t="s">
        <v>230</v>
      </c>
      <c r="V91" t="s">
        <v>233</v>
      </c>
      <c r="W91" t="s">
        <v>223</v>
      </c>
      <c r="X91" t="s">
        <v>234</v>
      </c>
      <c r="Y91" t="s">
        <v>423</v>
      </c>
      <c r="Z91" t="s">
        <v>232</v>
      </c>
      <c r="AA91" t="s">
        <v>236</v>
      </c>
      <c r="AB91" t="s">
        <v>237</v>
      </c>
      <c r="AC91" t="s">
        <v>236</v>
      </c>
      <c r="AD91" t="s">
        <v>238</v>
      </c>
      <c r="AE91" t="s">
        <v>239</v>
      </c>
      <c r="AF91" t="s">
        <v>239</v>
      </c>
      <c r="AG91" t="s">
        <v>239</v>
      </c>
      <c r="AH91" t="s">
        <v>239</v>
      </c>
      <c r="AI91" t="s">
        <v>240</v>
      </c>
      <c r="AJ91" t="s">
        <v>241</v>
      </c>
      <c r="AK91" t="s">
        <v>242</v>
      </c>
      <c r="AL91" t="s">
        <v>234</v>
      </c>
      <c r="AM91" t="s">
        <v>243</v>
      </c>
      <c r="AN91" t="s">
        <v>244</v>
      </c>
      <c r="AO91" t="s">
        <v>245</v>
      </c>
      <c r="CJ91">
        <v>1.413807531</v>
      </c>
      <c r="CK91">
        <v>1.413807531</v>
      </c>
      <c r="CL91">
        <v>1.413807531</v>
      </c>
      <c r="CM91">
        <v>1.413807531</v>
      </c>
      <c r="CN91">
        <v>1.413807531</v>
      </c>
      <c r="CO91">
        <v>1.413807531</v>
      </c>
      <c r="CP91">
        <v>1.413807531</v>
      </c>
      <c r="CQ91">
        <v>1.413807531</v>
      </c>
      <c r="CR91">
        <v>1.413807531</v>
      </c>
      <c r="CS91">
        <v>1.413807531</v>
      </c>
      <c r="CT91">
        <v>1.413807531</v>
      </c>
      <c r="CU91">
        <v>1.413807531</v>
      </c>
      <c r="CV91">
        <v>1.413807531</v>
      </c>
      <c r="CW91">
        <v>1.413807531</v>
      </c>
      <c r="CX91">
        <v>1.413807531</v>
      </c>
    </row>
    <row r="92" spans="1:102" x14ac:dyDescent="0.3">
      <c r="A92" t="s">
        <v>220</v>
      </c>
      <c r="B92" t="s">
        <v>221</v>
      </c>
      <c r="C92" t="s">
        <v>222</v>
      </c>
      <c r="D92" t="s">
        <v>223</v>
      </c>
      <c r="E92" t="s">
        <v>424</v>
      </c>
      <c r="F92" t="s">
        <v>225</v>
      </c>
      <c r="G92" t="s">
        <v>226</v>
      </c>
      <c r="H92" t="s">
        <v>226</v>
      </c>
      <c r="I92" t="s">
        <v>226</v>
      </c>
      <c r="J92" t="s">
        <v>227</v>
      </c>
      <c r="K92" t="s">
        <v>228</v>
      </c>
      <c r="L92" t="s">
        <v>228</v>
      </c>
      <c r="M92" t="s">
        <v>228</v>
      </c>
      <c r="N92" t="s">
        <v>228</v>
      </c>
      <c r="O92" t="s">
        <v>229</v>
      </c>
      <c r="P92">
        <v>2</v>
      </c>
      <c r="Q92" t="s">
        <v>230</v>
      </c>
      <c r="R92" t="s">
        <v>231</v>
      </c>
      <c r="S92" t="s">
        <v>232</v>
      </c>
      <c r="T92">
        <v>0</v>
      </c>
      <c r="U92" t="s">
        <v>230</v>
      </c>
      <c r="V92" t="s">
        <v>233</v>
      </c>
      <c r="W92" t="s">
        <v>223</v>
      </c>
      <c r="X92" t="s">
        <v>234</v>
      </c>
      <c r="Y92" t="s">
        <v>425</v>
      </c>
      <c r="Z92" t="s">
        <v>232</v>
      </c>
      <c r="AA92" t="s">
        <v>236</v>
      </c>
      <c r="AB92" t="s">
        <v>237</v>
      </c>
      <c r="AC92" t="s">
        <v>236</v>
      </c>
      <c r="AD92" t="s">
        <v>238</v>
      </c>
      <c r="AE92" t="s">
        <v>239</v>
      </c>
      <c r="AF92" t="s">
        <v>239</v>
      </c>
      <c r="AG92" t="s">
        <v>239</v>
      </c>
      <c r="AH92" t="s">
        <v>239</v>
      </c>
      <c r="AI92" t="s">
        <v>240</v>
      </c>
      <c r="AJ92" t="s">
        <v>241</v>
      </c>
      <c r="AK92" t="s">
        <v>242</v>
      </c>
      <c r="AL92" t="s">
        <v>234</v>
      </c>
      <c r="AM92" t="s">
        <v>243</v>
      </c>
      <c r="AN92" t="s">
        <v>244</v>
      </c>
      <c r="AO92" t="s">
        <v>245</v>
      </c>
      <c r="BW92">
        <v>6.5260382330000004</v>
      </c>
      <c r="BX92">
        <v>6.4317732369999998</v>
      </c>
      <c r="BY92">
        <v>6.33750824</v>
      </c>
      <c r="BZ92">
        <v>6.2432432430000002</v>
      </c>
      <c r="CA92">
        <v>6.1489782469999996</v>
      </c>
      <c r="CB92">
        <v>6.0547132499999998</v>
      </c>
      <c r="CC92">
        <v>5.9683586030000004</v>
      </c>
      <c r="CD92">
        <v>5.8820039550000001</v>
      </c>
      <c r="CE92">
        <v>5.7956493079999998</v>
      </c>
      <c r="CF92">
        <v>5.7092946610000004</v>
      </c>
      <c r="CG92">
        <v>5.622940013</v>
      </c>
      <c r="CH92">
        <v>5.5187870800000001</v>
      </c>
      <c r="CI92">
        <v>5.414634146</v>
      </c>
      <c r="CJ92">
        <v>5.3104812130000001</v>
      </c>
      <c r="CK92">
        <v>5.2063282800000001</v>
      </c>
      <c r="CL92">
        <v>5.1021753460000001</v>
      </c>
      <c r="CM92">
        <v>5.0648209189999998</v>
      </c>
      <c r="CN92">
        <v>5.0274664910000002</v>
      </c>
      <c r="CO92">
        <v>4.9901120629999998</v>
      </c>
      <c r="CP92">
        <v>5.1779828610000003</v>
      </c>
      <c r="CQ92">
        <v>4.7725774559999996</v>
      </c>
      <c r="CR92">
        <v>4.7824653919999998</v>
      </c>
      <c r="CS92">
        <v>4.6143704679999997</v>
      </c>
      <c r="CT92">
        <v>4.5814106790000002</v>
      </c>
      <c r="CU92">
        <v>4.4759393540000003</v>
      </c>
      <c r="CV92">
        <v>4.377059987</v>
      </c>
      <c r="CW92">
        <v>4.6967699410000003</v>
      </c>
      <c r="CX92">
        <v>4.6605141730000001</v>
      </c>
    </row>
    <row r="93" spans="1:102" x14ac:dyDescent="0.3">
      <c r="A93" t="s">
        <v>220</v>
      </c>
      <c r="B93" t="s">
        <v>221</v>
      </c>
      <c r="C93" t="s">
        <v>222</v>
      </c>
      <c r="D93" t="s">
        <v>223</v>
      </c>
      <c r="E93" t="s">
        <v>426</v>
      </c>
      <c r="F93" t="s">
        <v>225</v>
      </c>
      <c r="G93" t="s">
        <v>226</v>
      </c>
      <c r="H93" t="s">
        <v>226</v>
      </c>
      <c r="I93" t="s">
        <v>226</v>
      </c>
      <c r="J93" t="s">
        <v>227</v>
      </c>
      <c r="K93" t="s">
        <v>228</v>
      </c>
      <c r="L93" t="s">
        <v>228</v>
      </c>
      <c r="M93" t="s">
        <v>228</v>
      </c>
      <c r="N93" t="s">
        <v>228</v>
      </c>
      <c r="O93" t="s">
        <v>229</v>
      </c>
      <c r="P93">
        <v>2</v>
      </c>
      <c r="Q93" t="s">
        <v>230</v>
      </c>
      <c r="R93" t="s">
        <v>231</v>
      </c>
      <c r="S93" t="s">
        <v>232</v>
      </c>
      <c r="T93">
        <v>0</v>
      </c>
      <c r="U93" t="s">
        <v>230</v>
      </c>
      <c r="V93" t="s">
        <v>233</v>
      </c>
      <c r="W93" t="s">
        <v>223</v>
      </c>
      <c r="X93" t="s">
        <v>234</v>
      </c>
      <c r="Y93" t="s">
        <v>427</v>
      </c>
      <c r="Z93" t="s">
        <v>232</v>
      </c>
      <c r="AA93" t="s">
        <v>236</v>
      </c>
      <c r="AB93" t="s">
        <v>237</v>
      </c>
      <c r="AC93" t="s">
        <v>236</v>
      </c>
      <c r="AD93" t="s">
        <v>238</v>
      </c>
      <c r="AE93" t="s">
        <v>239</v>
      </c>
      <c r="AF93" t="s">
        <v>239</v>
      </c>
      <c r="AG93" t="s">
        <v>239</v>
      </c>
      <c r="AH93" t="s">
        <v>239</v>
      </c>
      <c r="AI93" t="s">
        <v>240</v>
      </c>
      <c r="AJ93" t="s">
        <v>241</v>
      </c>
      <c r="AK93" t="s">
        <v>242</v>
      </c>
      <c r="AL93" t="s">
        <v>234</v>
      </c>
      <c r="AM93" t="s">
        <v>243</v>
      </c>
      <c r="AN93" t="s">
        <v>244</v>
      </c>
      <c r="AO93" t="s">
        <v>245</v>
      </c>
      <c r="BT93">
        <v>671.66666669999995</v>
      </c>
      <c r="BU93">
        <v>690.39687500000002</v>
      </c>
      <c r="BV93">
        <v>708.54375000000005</v>
      </c>
      <c r="BW93">
        <v>728.0239583</v>
      </c>
      <c r="BX93">
        <v>746.21249999999998</v>
      </c>
      <c r="BY93">
        <v>765.359375</v>
      </c>
      <c r="BZ93">
        <v>783.88125000000002</v>
      </c>
      <c r="CA93">
        <v>801.5697917</v>
      </c>
      <c r="CB93">
        <v>819.7583333</v>
      </c>
      <c r="CC93">
        <v>832.64427079999996</v>
      </c>
      <c r="CD93">
        <v>847.78020830000003</v>
      </c>
      <c r="CE93">
        <v>858.16614579999998</v>
      </c>
      <c r="CF93">
        <v>870.13541669999995</v>
      </c>
      <c r="CG93">
        <v>894.8203125</v>
      </c>
      <c r="CH93">
        <v>943.33333330000005</v>
      </c>
      <c r="CI93">
        <v>936.12847220000003</v>
      </c>
      <c r="CJ93">
        <v>928.92361110000002</v>
      </c>
      <c r="CK93">
        <v>921.71875</v>
      </c>
      <c r="CL93">
        <v>914.51388889999998</v>
      </c>
      <c r="CM93">
        <v>907.30902779999997</v>
      </c>
      <c r="CN93">
        <v>900.10416669999995</v>
      </c>
      <c r="CO93">
        <v>894.23958330000005</v>
      </c>
      <c r="CP93">
        <v>894.70833330000005</v>
      </c>
      <c r="CQ93">
        <v>948.875</v>
      </c>
      <c r="CR93">
        <v>929.58333330000005</v>
      </c>
      <c r="CS93">
        <v>955.95833330000005</v>
      </c>
      <c r="CT93">
        <v>974.16666669999995</v>
      </c>
      <c r="CU93">
        <v>974.16666669999995</v>
      </c>
      <c r="CV93">
        <v>974.16666669999995</v>
      </c>
      <c r="CW93">
        <v>974.16666669999995</v>
      </c>
      <c r="CX93">
        <v>974.16666669999995</v>
      </c>
    </row>
    <row r="94" spans="1:102" x14ac:dyDescent="0.3">
      <c r="A94" t="s">
        <v>220</v>
      </c>
      <c r="B94" t="s">
        <v>221</v>
      </c>
      <c r="C94" t="s">
        <v>222</v>
      </c>
      <c r="D94" t="s">
        <v>223</v>
      </c>
      <c r="E94" t="s">
        <v>428</v>
      </c>
      <c r="F94" t="s">
        <v>225</v>
      </c>
      <c r="G94" t="s">
        <v>226</v>
      </c>
      <c r="H94" t="s">
        <v>226</v>
      </c>
      <c r="I94" t="s">
        <v>226</v>
      </c>
      <c r="J94" t="s">
        <v>227</v>
      </c>
      <c r="K94" t="s">
        <v>228</v>
      </c>
      <c r="L94" t="s">
        <v>228</v>
      </c>
      <c r="M94" t="s">
        <v>228</v>
      </c>
      <c r="N94" t="s">
        <v>228</v>
      </c>
      <c r="O94" t="s">
        <v>229</v>
      </c>
      <c r="P94">
        <v>2</v>
      </c>
      <c r="Q94" t="s">
        <v>230</v>
      </c>
      <c r="R94" t="s">
        <v>231</v>
      </c>
      <c r="S94" t="s">
        <v>232</v>
      </c>
      <c r="T94">
        <v>0</v>
      </c>
      <c r="U94" t="s">
        <v>230</v>
      </c>
      <c r="V94" t="s">
        <v>233</v>
      </c>
      <c r="W94" t="s">
        <v>223</v>
      </c>
      <c r="X94" t="s">
        <v>234</v>
      </c>
      <c r="Y94" t="s">
        <v>429</v>
      </c>
      <c r="Z94" t="s">
        <v>232</v>
      </c>
      <c r="AA94" t="s">
        <v>236</v>
      </c>
      <c r="AB94" t="s">
        <v>237</v>
      </c>
      <c r="AC94" t="s">
        <v>236</v>
      </c>
      <c r="AD94" t="s">
        <v>238</v>
      </c>
      <c r="AE94" t="s">
        <v>239</v>
      </c>
      <c r="AF94" t="s">
        <v>239</v>
      </c>
      <c r="AG94" t="s">
        <v>239</v>
      </c>
      <c r="AH94" t="s">
        <v>239</v>
      </c>
      <c r="AI94" t="s">
        <v>240</v>
      </c>
      <c r="AJ94" t="s">
        <v>241</v>
      </c>
      <c r="AK94" t="s">
        <v>242</v>
      </c>
      <c r="AL94" t="s">
        <v>234</v>
      </c>
      <c r="AM94" t="s">
        <v>243</v>
      </c>
      <c r="AN94" t="s">
        <v>244</v>
      </c>
      <c r="AO94" t="s">
        <v>245</v>
      </c>
      <c r="CD94">
        <v>1.2750111159999999</v>
      </c>
      <c r="CE94">
        <v>1.3608587940000001</v>
      </c>
      <c r="CF94">
        <v>1.3492028199999999</v>
      </c>
      <c r="CG94">
        <v>1.3682589089999999</v>
      </c>
      <c r="CH94">
        <v>1.4103093440000001</v>
      </c>
      <c r="CI94">
        <v>1.4472463950000001</v>
      </c>
      <c r="CJ94">
        <v>1.4742107600000001</v>
      </c>
      <c r="CK94">
        <v>1.533570476</v>
      </c>
      <c r="CL94">
        <v>1.518461539</v>
      </c>
      <c r="CM94">
        <v>1.4771164960000001</v>
      </c>
      <c r="CN94">
        <v>1.45120498</v>
      </c>
      <c r="CO94">
        <v>1.3981947530000001</v>
      </c>
      <c r="CP94">
        <v>1.289266341</v>
      </c>
      <c r="CQ94">
        <v>1.3802623389999999</v>
      </c>
      <c r="CR94">
        <v>1.4153201419999999</v>
      </c>
      <c r="CS94">
        <v>1.5028301470000001</v>
      </c>
      <c r="CT94">
        <v>1.486674077</v>
      </c>
      <c r="CU94">
        <v>1.493997332</v>
      </c>
      <c r="CV94">
        <v>1.4628723880000001</v>
      </c>
      <c r="CW94">
        <v>1.4784348599999999</v>
      </c>
      <c r="CX94">
        <v>1.509559804</v>
      </c>
    </row>
    <row r="95" spans="1:102" x14ac:dyDescent="0.3">
      <c r="A95" t="s">
        <v>220</v>
      </c>
      <c r="B95" t="s">
        <v>221</v>
      </c>
      <c r="C95" t="s">
        <v>222</v>
      </c>
      <c r="D95" t="s">
        <v>223</v>
      </c>
      <c r="E95" t="s">
        <v>430</v>
      </c>
      <c r="F95" t="s">
        <v>225</v>
      </c>
      <c r="G95" t="s">
        <v>226</v>
      </c>
      <c r="H95" t="s">
        <v>226</v>
      </c>
      <c r="I95" t="s">
        <v>226</v>
      </c>
      <c r="J95" t="s">
        <v>227</v>
      </c>
      <c r="K95" t="s">
        <v>228</v>
      </c>
      <c r="L95" t="s">
        <v>228</v>
      </c>
      <c r="M95" t="s">
        <v>228</v>
      </c>
      <c r="N95" t="s">
        <v>228</v>
      </c>
      <c r="O95" t="s">
        <v>229</v>
      </c>
      <c r="P95">
        <v>2</v>
      </c>
      <c r="Q95" t="s">
        <v>230</v>
      </c>
      <c r="R95" t="s">
        <v>231</v>
      </c>
      <c r="S95" t="s">
        <v>232</v>
      </c>
      <c r="T95">
        <v>0</v>
      </c>
      <c r="U95" t="s">
        <v>230</v>
      </c>
      <c r="V95" t="s">
        <v>233</v>
      </c>
      <c r="W95" t="s">
        <v>223</v>
      </c>
      <c r="X95" t="s">
        <v>234</v>
      </c>
      <c r="Y95" t="s">
        <v>431</v>
      </c>
      <c r="Z95" t="s">
        <v>232</v>
      </c>
      <c r="AA95" t="s">
        <v>236</v>
      </c>
      <c r="AB95" t="s">
        <v>237</v>
      </c>
      <c r="AC95" t="s">
        <v>236</v>
      </c>
      <c r="AD95" t="s">
        <v>238</v>
      </c>
      <c r="AE95" t="s">
        <v>239</v>
      </c>
      <c r="AF95" t="s">
        <v>239</v>
      </c>
      <c r="AG95" t="s">
        <v>239</v>
      </c>
      <c r="AH95" t="s">
        <v>239</v>
      </c>
      <c r="AI95" t="s">
        <v>240</v>
      </c>
      <c r="AJ95" t="s">
        <v>241</v>
      </c>
      <c r="AK95" t="s">
        <v>242</v>
      </c>
      <c r="AL95" t="s">
        <v>234</v>
      </c>
      <c r="AM95" t="s">
        <v>243</v>
      </c>
      <c r="AN95" t="s">
        <v>244</v>
      </c>
      <c r="AO95" t="s">
        <v>245</v>
      </c>
      <c r="BU95">
        <v>1535</v>
      </c>
      <c r="BV95">
        <v>1295.31746</v>
      </c>
      <c r="BW95">
        <v>1385.5724210000001</v>
      </c>
      <c r="BX95">
        <v>1475.8273810000001</v>
      </c>
      <c r="BY95">
        <v>1566.082341</v>
      </c>
      <c r="BZ95">
        <v>1656.3373019999999</v>
      </c>
      <c r="CA95">
        <v>1784.0922619999999</v>
      </c>
      <c r="CB95">
        <v>1911.8472220000001</v>
      </c>
      <c r="CC95">
        <v>1993.4236109999999</v>
      </c>
      <c r="CD95">
        <v>2075</v>
      </c>
      <c r="CE95">
        <v>2176.8461539999998</v>
      </c>
      <c r="CF95">
        <v>2278.6923080000001</v>
      </c>
      <c r="CG95">
        <v>2380.538462</v>
      </c>
      <c r="CH95">
        <v>2482.3846149999999</v>
      </c>
      <c r="CI95">
        <v>2584.2307689999998</v>
      </c>
      <c r="CJ95">
        <v>2686.0769230000001</v>
      </c>
      <c r="CK95">
        <v>2787.9230769999999</v>
      </c>
      <c r="CL95">
        <v>2889.7692310000002</v>
      </c>
      <c r="CM95">
        <v>2991.6153850000001</v>
      </c>
      <c r="CN95">
        <v>3093.461538</v>
      </c>
      <c r="CO95">
        <v>3195.3076919999999</v>
      </c>
      <c r="CP95">
        <v>3297.1538460000002</v>
      </c>
      <c r="CQ95">
        <v>3399</v>
      </c>
      <c r="CR95">
        <v>3575</v>
      </c>
      <c r="CS95">
        <v>3850.5</v>
      </c>
      <c r="CT95">
        <v>3850.5</v>
      </c>
      <c r="CU95">
        <v>3850.5</v>
      </c>
      <c r="CV95">
        <v>3850.5</v>
      </c>
      <c r="CW95">
        <v>3850.5</v>
      </c>
      <c r="CX95">
        <v>3850.5</v>
      </c>
    </row>
    <row r="96" spans="1:102" x14ac:dyDescent="0.3">
      <c r="A96" t="s">
        <v>220</v>
      </c>
      <c r="B96" t="s">
        <v>221</v>
      </c>
      <c r="C96" t="s">
        <v>222</v>
      </c>
      <c r="D96" t="s">
        <v>223</v>
      </c>
      <c r="E96" t="s">
        <v>432</v>
      </c>
      <c r="F96" t="s">
        <v>225</v>
      </c>
      <c r="G96" t="s">
        <v>226</v>
      </c>
      <c r="H96" t="s">
        <v>226</v>
      </c>
      <c r="I96" t="s">
        <v>226</v>
      </c>
      <c r="J96" t="s">
        <v>227</v>
      </c>
      <c r="K96" t="s">
        <v>228</v>
      </c>
      <c r="L96" t="s">
        <v>228</v>
      </c>
      <c r="M96" t="s">
        <v>228</v>
      </c>
      <c r="N96" t="s">
        <v>228</v>
      </c>
      <c r="O96" t="s">
        <v>229</v>
      </c>
      <c r="P96">
        <v>2</v>
      </c>
      <c r="Q96" t="s">
        <v>230</v>
      </c>
      <c r="R96" t="s">
        <v>231</v>
      </c>
      <c r="S96" t="s">
        <v>232</v>
      </c>
      <c r="T96">
        <v>0</v>
      </c>
      <c r="U96" t="s">
        <v>230</v>
      </c>
      <c r="V96" t="s">
        <v>233</v>
      </c>
      <c r="W96" t="s">
        <v>223</v>
      </c>
      <c r="X96" t="s">
        <v>234</v>
      </c>
      <c r="Y96" t="s">
        <v>433</v>
      </c>
      <c r="Z96" t="s">
        <v>232</v>
      </c>
      <c r="AA96" t="s">
        <v>236</v>
      </c>
      <c r="AB96" t="s">
        <v>237</v>
      </c>
      <c r="AC96" t="s">
        <v>236</v>
      </c>
      <c r="AD96" t="s">
        <v>238</v>
      </c>
      <c r="AE96" t="s">
        <v>239</v>
      </c>
      <c r="AF96" t="s">
        <v>239</v>
      </c>
      <c r="AG96" t="s">
        <v>239</v>
      </c>
      <c r="AH96" t="s">
        <v>239</v>
      </c>
      <c r="AI96" t="s">
        <v>240</v>
      </c>
      <c r="AJ96" t="s">
        <v>241</v>
      </c>
      <c r="AK96" t="s">
        <v>242</v>
      </c>
      <c r="AL96" t="s">
        <v>234</v>
      </c>
      <c r="AM96" t="s">
        <v>243</v>
      </c>
      <c r="AN96" t="s">
        <v>244</v>
      </c>
      <c r="AO96" t="s">
        <v>245</v>
      </c>
      <c r="BM96">
        <v>0.94112726099999999</v>
      </c>
      <c r="BN96">
        <v>0.97542612200000001</v>
      </c>
      <c r="BO96">
        <v>1.009724982</v>
      </c>
      <c r="BP96">
        <v>1.0440238420000001</v>
      </c>
      <c r="BQ96">
        <v>1.0783227019999999</v>
      </c>
      <c r="BR96">
        <v>1.112621562</v>
      </c>
      <c r="BS96">
        <v>1.1471295619999999</v>
      </c>
      <c r="BT96">
        <v>1.1816375610000001</v>
      </c>
      <c r="BU96">
        <v>1.2876015199999999</v>
      </c>
      <c r="BV96">
        <v>1.393565478</v>
      </c>
      <c r="BW96">
        <v>1.499529436</v>
      </c>
      <c r="BX96">
        <v>1.605353968</v>
      </c>
      <c r="BY96">
        <v>1.711178501</v>
      </c>
      <c r="BZ96">
        <v>1.817003033</v>
      </c>
      <c r="CA96">
        <v>1.922827565</v>
      </c>
      <c r="CB96">
        <v>2.0286520970000002</v>
      </c>
      <c r="CC96">
        <v>2.0316941239999999</v>
      </c>
      <c r="CD96">
        <v>2.0347361519999998</v>
      </c>
      <c r="CE96">
        <v>2.037778179</v>
      </c>
      <c r="CF96">
        <v>2.0408202069999999</v>
      </c>
      <c r="CG96">
        <v>2.0438622340000001</v>
      </c>
      <c r="CH96">
        <v>2.046904262</v>
      </c>
      <c r="CI96">
        <v>2.0499462890000002</v>
      </c>
      <c r="CJ96">
        <v>2.0529883170000001</v>
      </c>
      <c r="CK96">
        <v>2.0560303439999998</v>
      </c>
      <c r="CL96">
        <v>2.0590723720000002</v>
      </c>
      <c r="CM96">
        <v>2.0621143989999999</v>
      </c>
      <c r="CN96">
        <v>2.0328348850000002</v>
      </c>
      <c r="CO96">
        <v>1.9988497329999999</v>
      </c>
      <c r="CP96">
        <v>1.9648645819999999</v>
      </c>
      <c r="CQ96">
        <v>1.9648645819999999</v>
      </c>
      <c r="CR96">
        <v>2.1049879749999998</v>
      </c>
      <c r="CS96">
        <v>2.0181951269999998</v>
      </c>
      <c r="CT96">
        <v>2.1332217920000001</v>
      </c>
      <c r="CU96">
        <v>2.1123078529999999</v>
      </c>
      <c r="CV96">
        <v>2.3050047060000001</v>
      </c>
      <c r="CW96">
        <v>2.4429730319999998</v>
      </c>
      <c r="CX96">
        <v>2.2300098190000002</v>
      </c>
    </row>
    <row r="97" spans="1:102" x14ac:dyDescent="0.3">
      <c r="A97" t="s">
        <v>220</v>
      </c>
      <c r="B97" t="s">
        <v>221</v>
      </c>
      <c r="C97" t="s">
        <v>222</v>
      </c>
      <c r="D97" t="s">
        <v>223</v>
      </c>
      <c r="E97" t="s">
        <v>434</v>
      </c>
      <c r="F97" t="s">
        <v>225</v>
      </c>
      <c r="G97" t="s">
        <v>226</v>
      </c>
      <c r="H97" t="s">
        <v>226</v>
      </c>
      <c r="I97" t="s">
        <v>226</v>
      </c>
      <c r="J97" t="s">
        <v>227</v>
      </c>
      <c r="K97" t="s">
        <v>228</v>
      </c>
      <c r="L97" t="s">
        <v>228</v>
      </c>
      <c r="M97" t="s">
        <v>228</v>
      </c>
      <c r="N97" t="s">
        <v>228</v>
      </c>
      <c r="O97" t="s">
        <v>229</v>
      </c>
      <c r="P97">
        <v>2</v>
      </c>
      <c r="Q97" t="s">
        <v>230</v>
      </c>
      <c r="R97" t="s">
        <v>231</v>
      </c>
      <c r="S97" t="s">
        <v>232</v>
      </c>
      <c r="T97">
        <v>0</v>
      </c>
      <c r="U97" t="s">
        <v>230</v>
      </c>
      <c r="V97" t="s">
        <v>233</v>
      </c>
      <c r="W97" t="s">
        <v>223</v>
      </c>
      <c r="X97" t="s">
        <v>234</v>
      </c>
      <c r="Y97" t="s">
        <v>435</v>
      </c>
      <c r="Z97" t="s">
        <v>232</v>
      </c>
      <c r="AA97" t="s">
        <v>236</v>
      </c>
      <c r="AB97" t="s">
        <v>237</v>
      </c>
      <c r="AC97" t="s">
        <v>236</v>
      </c>
      <c r="AD97" t="s">
        <v>238</v>
      </c>
      <c r="AE97" t="s">
        <v>239</v>
      </c>
      <c r="AF97" t="s">
        <v>239</v>
      </c>
      <c r="AG97" t="s">
        <v>239</v>
      </c>
      <c r="AH97" t="s">
        <v>239</v>
      </c>
      <c r="AI97" t="s">
        <v>240</v>
      </c>
      <c r="AJ97" t="s">
        <v>241</v>
      </c>
      <c r="AK97" t="s">
        <v>242</v>
      </c>
      <c r="AL97" t="s">
        <v>234</v>
      </c>
      <c r="AM97" t="s">
        <v>243</v>
      </c>
      <c r="AN97" t="s">
        <v>244</v>
      </c>
      <c r="AO97" t="s">
        <v>245</v>
      </c>
      <c r="BY97">
        <v>17.956469169999998</v>
      </c>
      <c r="BZ97">
        <v>18.299072949999999</v>
      </c>
      <c r="CA97">
        <v>18.641676740000001</v>
      </c>
      <c r="CB97">
        <v>18.984280529999999</v>
      </c>
      <c r="CC97">
        <v>19.359129379999999</v>
      </c>
      <c r="CD97">
        <v>19.733978230000002</v>
      </c>
      <c r="CE97">
        <v>20.108827089999998</v>
      </c>
      <c r="CF97">
        <v>20.483675940000001</v>
      </c>
      <c r="CG97">
        <v>18.681983070000001</v>
      </c>
      <c r="CH97">
        <v>18.956066100000001</v>
      </c>
      <c r="CI97">
        <v>19.230149130000001</v>
      </c>
      <c r="CJ97">
        <v>19.504232160000001</v>
      </c>
      <c r="CK97">
        <v>19.778315200000002</v>
      </c>
      <c r="CL97">
        <v>20.052398230000001</v>
      </c>
      <c r="CM97">
        <v>20.326481260000001</v>
      </c>
      <c r="CN97">
        <v>20.326481260000001</v>
      </c>
      <c r="CO97">
        <v>20.326481260000001</v>
      </c>
      <c r="CP97">
        <v>20.326481260000001</v>
      </c>
      <c r="CQ97">
        <v>20.326481260000001</v>
      </c>
      <c r="CR97">
        <v>20.326481260000001</v>
      </c>
      <c r="CS97">
        <v>20.326481260000001</v>
      </c>
      <c r="CT97">
        <v>20.326481260000001</v>
      </c>
      <c r="CU97">
        <v>20.326481260000001</v>
      </c>
      <c r="CV97">
        <v>20.326481260000001</v>
      </c>
      <c r="CW97">
        <v>20.326481260000001</v>
      </c>
      <c r="CX97">
        <v>20.326481260000001</v>
      </c>
    </row>
    <row r="98" spans="1:102" x14ac:dyDescent="0.3">
      <c r="A98" t="s">
        <v>220</v>
      </c>
      <c r="B98" t="s">
        <v>221</v>
      </c>
      <c r="C98" t="s">
        <v>222</v>
      </c>
      <c r="D98" t="s">
        <v>223</v>
      </c>
      <c r="E98" t="s">
        <v>436</v>
      </c>
      <c r="F98" t="s">
        <v>225</v>
      </c>
      <c r="G98" t="s">
        <v>226</v>
      </c>
      <c r="H98" t="s">
        <v>226</v>
      </c>
      <c r="I98" t="s">
        <v>226</v>
      </c>
      <c r="J98" t="s">
        <v>227</v>
      </c>
      <c r="K98" t="s">
        <v>228</v>
      </c>
      <c r="L98" t="s">
        <v>228</v>
      </c>
      <c r="M98" t="s">
        <v>228</v>
      </c>
      <c r="N98" t="s">
        <v>228</v>
      </c>
      <c r="O98" t="s">
        <v>229</v>
      </c>
      <c r="P98">
        <v>2</v>
      </c>
      <c r="Q98" t="s">
        <v>230</v>
      </c>
      <c r="R98" t="s">
        <v>231</v>
      </c>
      <c r="S98" t="s">
        <v>232</v>
      </c>
      <c r="T98">
        <v>0</v>
      </c>
      <c r="U98" t="s">
        <v>230</v>
      </c>
      <c r="V98" t="s">
        <v>233</v>
      </c>
      <c r="W98" t="s">
        <v>223</v>
      </c>
      <c r="X98" t="s">
        <v>234</v>
      </c>
      <c r="Y98" t="s">
        <v>437</v>
      </c>
      <c r="Z98" t="s">
        <v>232</v>
      </c>
      <c r="AA98" t="s">
        <v>236</v>
      </c>
      <c r="AB98" t="s">
        <v>237</v>
      </c>
      <c r="AC98" t="s">
        <v>236</v>
      </c>
      <c r="AD98" t="s">
        <v>238</v>
      </c>
      <c r="AE98" t="s">
        <v>239</v>
      </c>
      <c r="AF98" t="s">
        <v>239</v>
      </c>
      <c r="AG98" t="s">
        <v>239</v>
      </c>
      <c r="AH98" t="s">
        <v>239</v>
      </c>
      <c r="AI98" t="s">
        <v>240</v>
      </c>
      <c r="AJ98" t="s">
        <v>241</v>
      </c>
      <c r="AK98" t="s">
        <v>242</v>
      </c>
      <c r="AL98" t="s">
        <v>234</v>
      </c>
      <c r="AM98" t="s">
        <v>243</v>
      </c>
      <c r="AN98" t="s">
        <v>244</v>
      </c>
      <c r="AO98" t="s">
        <v>245</v>
      </c>
      <c r="BO98">
        <v>11.453248220000001</v>
      </c>
      <c r="BP98">
        <v>13.321441979999999</v>
      </c>
      <c r="BQ98">
        <v>15.189635750000001</v>
      </c>
      <c r="BR98">
        <v>17.057829519999999</v>
      </c>
      <c r="BS98">
        <v>18.926023279999999</v>
      </c>
      <c r="BT98">
        <v>20.79421705</v>
      </c>
      <c r="BU98">
        <v>22.662410810000001</v>
      </c>
      <c r="BV98">
        <v>24.530604579999999</v>
      </c>
      <c r="BW98">
        <v>26.39879835</v>
      </c>
      <c r="BX98">
        <v>28.26699211</v>
      </c>
      <c r="BY98">
        <v>30.135185880000002</v>
      </c>
      <c r="BZ98">
        <v>32.003379649999999</v>
      </c>
      <c r="CA98">
        <v>33.871573410000003</v>
      </c>
      <c r="CB98">
        <v>35.739767180000001</v>
      </c>
      <c r="CC98">
        <v>37.607960949999999</v>
      </c>
      <c r="CD98">
        <v>39.476154710000003</v>
      </c>
      <c r="CE98">
        <v>38.28389035</v>
      </c>
      <c r="CF98">
        <v>37.091625989999997</v>
      </c>
      <c r="CG98">
        <v>35.899361620000001</v>
      </c>
      <c r="CH98">
        <v>34.707097259999998</v>
      </c>
      <c r="CI98">
        <v>33.514832900000002</v>
      </c>
      <c r="CJ98">
        <v>33.31029384</v>
      </c>
      <c r="CK98">
        <v>33.105754789999999</v>
      </c>
      <c r="CL98">
        <v>32.901215729999997</v>
      </c>
      <c r="CM98">
        <v>32.696676680000003</v>
      </c>
      <c r="CN98">
        <v>32.492137630000002</v>
      </c>
      <c r="CO98">
        <v>32.28759857</v>
      </c>
      <c r="CP98">
        <v>32.083059519999999</v>
      </c>
      <c r="CQ98">
        <v>31.878520470000002</v>
      </c>
      <c r="CR98">
        <v>31.937664290000001</v>
      </c>
      <c r="CS98">
        <v>31.346226059999999</v>
      </c>
      <c r="CT98">
        <v>35.405385379999998</v>
      </c>
      <c r="CU98">
        <v>39.76966178</v>
      </c>
      <c r="CV98">
        <v>46.091620310000003</v>
      </c>
      <c r="CW98">
        <v>46.091620310000003</v>
      </c>
      <c r="CX98">
        <v>46.091620310000003</v>
      </c>
    </row>
    <row r="99" spans="1:102" x14ac:dyDescent="0.3">
      <c r="A99" t="s">
        <v>220</v>
      </c>
      <c r="B99" t="s">
        <v>221</v>
      </c>
      <c r="C99" t="s">
        <v>222</v>
      </c>
      <c r="D99" t="s">
        <v>223</v>
      </c>
      <c r="E99" t="s">
        <v>438</v>
      </c>
      <c r="F99" t="s">
        <v>225</v>
      </c>
      <c r="G99" t="s">
        <v>226</v>
      </c>
      <c r="H99" t="s">
        <v>226</v>
      </c>
      <c r="I99" t="s">
        <v>226</v>
      </c>
      <c r="J99" t="s">
        <v>227</v>
      </c>
      <c r="K99" t="s">
        <v>228</v>
      </c>
      <c r="L99" t="s">
        <v>228</v>
      </c>
      <c r="M99" t="s">
        <v>228</v>
      </c>
      <c r="N99" t="s">
        <v>228</v>
      </c>
      <c r="O99" t="s">
        <v>229</v>
      </c>
      <c r="P99">
        <v>2</v>
      </c>
      <c r="Q99" t="s">
        <v>230</v>
      </c>
      <c r="R99" t="s">
        <v>231</v>
      </c>
      <c r="S99" t="s">
        <v>232</v>
      </c>
      <c r="T99">
        <v>0</v>
      </c>
      <c r="U99" t="s">
        <v>230</v>
      </c>
      <c r="V99" t="s">
        <v>233</v>
      </c>
      <c r="W99" t="s">
        <v>223</v>
      </c>
      <c r="X99" t="s">
        <v>234</v>
      </c>
      <c r="Y99" t="s">
        <v>439</v>
      </c>
      <c r="Z99" t="s">
        <v>232</v>
      </c>
      <c r="AA99" t="s">
        <v>236</v>
      </c>
      <c r="AB99" t="s">
        <v>237</v>
      </c>
      <c r="AC99" t="s">
        <v>236</v>
      </c>
      <c r="AD99" t="s">
        <v>238</v>
      </c>
      <c r="AE99" t="s">
        <v>239</v>
      </c>
      <c r="AF99" t="s">
        <v>239</v>
      </c>
      <c r="AG99" t="s">
        <v>239</v>
      </c>
      <c r="AH99" t="s">
        <v>239</v>
      </c>
      <c r="AI99" t="s">
        <v>240</v>
      </c>
      <c r="AJ99" t="s">
        <v>241</v>
      </c>
      <c r="AK99" t="s">
        <v>242</v>
      </c>
      <c r="AL99" t="s">
        <v>234</v>
      </c>
      <c r="AM99" t="s">
        <v>243</v>
      </c>
      <c r="AN99" t="s">
        <v>244</v>
      </c>
      <c r="AO99" t="s">
        <v>245</v>
      </c>
      <c r="CB99">
        <v>6.4064979480000002</v>
      </c>
      <c r="CC99">
        <v>6.4816689470000002</v>
      </c>
      <c r="CD99">
        <v>6.5568399450000001</v>
      </c>
      <c r="CE99">
        <v>6.6320109440000001</v>
      </c>
      <c r="CF99">
        <v>6.7071819430000001</v>
      </c>
      <c r="CG99">
        <v>6.7823529410000001</v>
      </c>
      <c r="CH99">
        <v>6.7823529410000001</v>
      </c>
      <c r="CI99">
        <v>6.7823529410000001</v>
      </c>
      <c r="CJ99">
        <v>6.7823529410000001</v>
      </c>
      <c r="CK99">
        <v>6.7823529410000001</v>
      </c>
      <c r="CL99">
        <v>6.7823529410000001</v>
      </c>
      <c r="CM99">
        <v>6.7823529410000001</v>
      </c>
      <c r="CN99">
        <v>6.7823529410000001</v>
      </c>
      <c r="CO99">
        <v>6.7823529410000001</v>
      </c>
      <c r="CP99">
        <v>6.7823529410000001</v>
      </c>
      <c r="CQ99">
        <v>6.7823529410000001</v>
      </c>
      <c r="CR99">
        <v>6.7823529410000001</v>
      </c>
      <c r="CS99">
        <v>6.7823529410000001</v>
      </c>
      <c r="CT99">
        <v>6.7823529410000001</v>
      </c>
      <c r="CU99">
        <v>6.7823529410000001</v>
      </c>
      <c r="CV99">
        <v>6.7823529410000001</v>
      </c>
      <c r="CW99">
        <v>6.7823529410000001</v>
      </c>
      <c r="CX99">
        <v>6.7823529410000001</v>
      </c>
    </row>
    <row r="100" spans="1:102" x14ac:dyDescent="0.3">
      <c r="A100" t="s">
        <v>220</v>
      </c>
      <c r="B100" t="s">
        <v>221</v>
      </c>
      <c r="C100" t="s">
        <v>222</v>
      </c>
      <c r="D100" t="s">
        <v>223</v>
      </c>
      <c r="E100" t="s">
        <v>440</v>
      </c>
      <c r="F100" t="s">
        <v>225</v>
      </c>
      <c r="G100" t="s">
        <v>226</v>
      </c>
      <c r="H100" t="s">
        <v>226</v>
      </c>
      <c r="I100" t="s">
        <v>226</v>
      </c>
      <c r="J100" t="s">
        <v>227</v>
      </c>
      <c r="K100" t="s">
        <v>228</v>
      </c>
      <c r="L100" t="s">
        <v>228</v>
      </c>
      <c r="M100" t="s">
        <v>228</v>
      </c>
      <c r="N100" t="s">
        <v>228</v>
      </c>
      <c r="O100" t="s">
        <v>229</v>
      </c>
      <c r="P100">
        <v>2</v>
      </c>
      <c r="Q100" t="s">
        <v>230</v>
      </c>
      <c r="R100" t="s">
        <v>231</v>
      </c>
      <c r="S100" t="s">
        <v>232</v>
      </c>
      <c r="T100">
        <v>0</v>
      </c>
      <c r="U100" t="s">
        <v>230</v>
      </c>
      <c r="V100" t="s">
        <v>233</v>
      </c>
      <c r="W100" t="s">
        <v>223</v>
      </c>
      <c r="X100" t="s">
        <v>234</v>
      </c>
      <c r="Y100" t="s">
        <v>441</v>
      </c>
      <c r="Z100" t="s">
        <v>232</v>
      </c>
      <c r="AA100" t="s">
        <v>236</v>
      </c>
      <c r="AB100" t="s">
        <v>237</v>
      </c>
      <c r="AC100" t="s">
        <v>236</v>
      </c>
      <c r="AD100" t="s">
        <v>238</v>
      </c>
      <c r="AE100" t="s">
        <v>239</v>
      </c>
      <c r="AF100" t="s">
        <v>239</v>
      </c>
      <c r="AG100" t="s">
        <v>239</v>
      </c>
      <c r="AH100" t="s">
        <v>239</v>
      </c>
      <c r="AI100" t="s">
        <v>240</v>
      </c>
      <c r="AJ100" t="s">
        <v>241</v>
      </c>
      <c r="AK100" t="s">
        <v>242</v>
      </c>
      <c r="AL100" t="s">
        <v>234</v>
      </c>
      <c r="AM100" t="s">
        <v>243</v>
      </c>
      <c r="AN100" t="s">
        <v>244</v>
      </c>
      <c r="AO100" t="s">
        <v>245</v>
      </c>
      <c r="CG100">
        <v>5</v>
      </c>
      <c r="CH100">
        <v>5.2277777780000001</v>
      </c>
      <c r="CI100">
        <v>5.4555555560000002</v>
      </c>
      <c r="CJ100">
        <v>5.6833333330000002</v>
      </c>
      <c r="CK100">
        <v>5.9111111110000003</v>
      </c>
      <c r="CL100">
        <v>6.1388888890000004</v>
      </c>
      <c r="CM100">
        <v>6.3666666669999996</v>
      </c>
      <c r="CN100">
        <v>6.5944444439999996</v>
      </c>
      <c r="CO100">
        <v>6.8222222219999997</v>
      </c>
      <c r="CP100">
        <v>7.05</v>
      </c>
      <c r="CQ100">
        <v>7.05</v>
      </c>
      <c r="CR100">
        <v>7.05</v>
      </c>
      <c r="CS100">
        <v>7.05</v>
      </c>
      <c r="CT100">
        <v>7.05</v>
      </c>
      <c r="CU100">
        <v>7.05</v>
      </c>
      <c r="CV100">
        <v>7.05</v>
      </c>
      <c r="CW100">
        <v>7.05</v>
      </c>
      <c r="CX100">
        <v>7.05</v>
      </c>
    </row>
    <row r="101" spans="1:102" x14ac:dyDescent="0.3">
      <c r="A101" t="s">
        <v>220</v>
      </c>
      <c r="B101" t="s">
        <v>221</v>
      </c>
      <c r="C101" t="s">
        <v>222</v>
      </c>
      <c r="D101" t="s">
        <v>223</v>
      </c>
      <c r="E101" t="s">
        <v>442</v>
      </c>
      <c r="F101" t="s">
        <v>225</v>
      </c>
      <c r="G101" t="s">
        <v>226</v>
      </c>
      <c r="H101" t="s">
        <v>226</v>
      </c>
      <c r="I101" t="s">
        <v>226</v>
      </c>
      <c r="J101" t="s">
        <v>227</v>
      </c>
      <c r="K101" t="s">
        <v>228</v>
      </c>
      <c r="L101" t="s">
        <v>228</v>
      </c>
      <c r="M101" t="s">
        <v>228</v>
      </c>
      <c r="N101" t="s">
        <v>228</v>
      </c>
      <c r="O101" t="s">
        <v>229</v>
      </c>
      <c r="P101">
        <v>2</v>
      </c>
      <c r="Q101" t="s">
        <v>230</v>
      </c>
      <c r="R101" t="s">
        <v>231</v>
      </c>
      <c r="S101" t="s">
        <v>232</v>
      </c>
      <c r="T101">
        <v>0</v>
      </c>
      <c r="U101" t="s">
        <v>230</v>
      </c>
      <c r="V101" t="s">
        <v>233</v>
      </c>
      <c r="W101" t="s">
        <v>223</v>
      </c>
      <c r="X101" t="s">
        <v>234</v>
      </c>
      <c r="Y101" t="s">
        <v>443</v>
      </c>
      <c r="Z101" t="s">
        <v>232</v>
      </c>
      <c r="AA101" t="s">
        <v>236</v>
      </c>
      <c r="AB101" t="s">
        <v>237</v>
      </c>
      <c r="AC101" t="s">
        <v>236</v>
      </c>
      <c r="AD101" t="s">
        <v>238</v>
      </c>
      <c r="AE101" t="s">
        <v>239</v>
      </c>
      <c r="AF101" t="s">
        <v>239</v>
      </c>
      <c r="AG101" t="s">
        <v>239</v>
      </c>
      <c r="AH101" t="s">
        <v>239</v>
      </c>
      <c r="AI101" t="s">
        <v>240</v>
      </c>
      <c r="AJ101" t="s">
        <v>241</v>
      </c>
      <c r="AK101" t="s">
        <v>242</v>
      </c>
      <c r="AL101" t="s">
        <v>234</v>
      </c>
      <c r="AM101" t="s">
        <v>243</v>
      </c>
      <c r="AN101" t="s">
        <v>244</v>
      </c>
      <c r="AO101" t="s">
        <v>245</v>
      </c>
      <c r="BH101">
        <v>110.9398034</v>
      </c>
      <c r="BI101">
        <v>110.3014742</v>
      </c>
      <c r="BJ101">
        <v>109.663145</v>
      </c>
      <c r="BK101">
        <v>109.0248157</v>
      </c>
      <c r="BL101">
        <v>108.3864865</v>
      </c>
      <c r="BM101">
        <v>107.74815719999999</v>
      </c>
      <c r="BN101">
        <v>107.10982799999999</v>
      </c>
      <c r="BO101">
        <v>106.47149880000001</v>
      </c>
      <c r="BP101">
        <v>105.8331695</v>
      </c>
      <c r="BQ101">
        <v>105.1948403</v>
      </c>
      <c r="BR101">
        <v>104.55651109999999</v>
      </c>
      <c r="BS101">
        <v>103.9181818</v>
      </c>
      <c r="BT101">
        <v>103.2798526</v>
      </c>
      <c r="BU101">
        <v>102.6415233</v>
      </c>
      <c r="BV101">
        <v>102.0031941</v>
      </c>
      <c r="BW101">
        <v>101.3648649</v>
      </c>
      <c r="BX101">
        <v>97.918304669999998</v>
      </c>
      <c r="BY101">
        <v>94.471744470000004</v>
      </c>
      <c r="BZ101">
        <v>93.839475840000006</v>
      </c>
      <c r="CA101">
        <v>93.207207210000007</v>
      </c>
      <c r="CB101">
        <v>92.544226039999998</v>
      </c>
      <c r="CC101">
        <v>87.646191650000006</v>
      </c>
      <c r="CD101">
        <v>82.748157250000006</v>
      </c>
      <c r="CE101">
        <v>81.316543820000007</v>
      </c>
      <c r="CF101">
        <v>79.88493038</v>
      </c>
      <c r="CG101">
        <v>78.453316950000001</v>
      </c>
      <c r="CH101">
        <v>77.399877149999995</v>
      </c>
      <c r="CI101">
        <v>76.346437350000002</v>
      </c>
      <c r="CJ101">
        <v>75.294840289999996</v>
      </c>
      <c r="CK101">
        <v>73.734643730000002</v>
      </c>
      <c r="CL101">
        <v>73.132678130000002</v>
      </c>
      <c r="CM101">
        <v>62.432432429999999</v>
      </c>
      <c r="CN101">
        <v>65.110565109999996</v>
      </c>
      <c r="CO101">
        <v>59.324324320000002</v>
      </c>
      <c r="CP101">
        <v>55.970515970000001</v>
      </c>
      <c r="CQ101">
        <v>49.066339069999998</v>
      </c>
      <c r="CR101">
        <v>51.511551900000001</v>
      </c>
      <c r="CS101">
        <v>53.956764739999997</v>
      </c>
      <c r="CT101">
        <v>51.289926289999997</v>
      </c>
      <c r="CU101">
        <v>51.58476658</v>
      </c>
      <c r="CV101">
        <v>52.169836160000003</v>
      </c>
      <c r="CW101">
        <v>52.825742249999998</v>
      </c>
      <c r="CX101">
        <v>52.825742249999998</v>
      </c>
    </row>
    <row r="102" spans="1:102" x14ac:dyDescent="0.3">
      <c r="A102" t="s">
        <v>220</v>
      </c>
      <c r="B102" t="s">
        <v>221</v>
      </c>
      <c r="C102" t="s">
        <v>222</v>
      </c>
      <c r="D102" t="s">
        <v>223</v>
      </c>
      <c r="E102" t="s">
        <v>444</v>
      </c>
      <c r="F102" t="s">
        <v>225</v>
      </c>
      <c r="G102" t="s">
        <v>226</v>
      </c>
      <c r="H102" t="s">
        <v>226</v>
      </c>
      <c r="I102" t="s">
        <v>226</v>
      </c>
      <c r="J102" t="s">
        <v>227</v>
      </c>
      <c r="K102" t="s">
        <v>228</v>
      </c>
      <c r="L102" t="s">
        <v>228</v>
      </c>
      <c r="M102" t="s">
        <v>228</v>
      </c>
      <c r="N102" t="s">
        <v>228</v>
      </c>
      <c r="O102" t="s">
        <v>229</v>
      </c>
      <c r="P102">
        <v>2</v>
      </c>
      <c r="Q102" t="s">
        <v>230</v>
      </c>
      <c r="R102" t="s">
        <v>231</v>
      </c>
      <c r="S102" t="s">
        <v>232</v>
      </c>
      <c r="T102">
        <v>0</v>
      </c>
      <c r="U102" t="s">
        <v>230</v>
      </c>
      <c r="V102" t="s">
        <v>233</v>
      </c>
      <c r="W102" t="s">
        <v>223</v>
      </c>
      <c r="X102" t="s">
        <v>234</v>
      </c>
      <c r="Y102" t="s">
        <v>445</v>
      </c>
      <c r="Z102" t="s">
        <v>232</v>
      </c>
      <c r="AA102" t="s">
        <v>236</v>
      </c>
      <c r="AB102" t="s">
        <v>237</v>
      </c>
      <c r="AC102" t="s">
        <v>236</v>
      </c>
      <c r="AD102" t="s">
        <v>238</v>
      </c>
      <c r="AE102" t="s">
        <v>239</v>
      </c>
      <c r="AF102" t="s">
        <v>239</v>
      </c>
      <c r="AG102" t="s">
        <v>239</v>
      </c>
      <c r="AH102" t="s">
        <v>239</v>
      </c>
      <c r="AI102" t="s">
        <v>240</v>
      </c>
      <c r="AJ102" t="s">
        <v>241</v>
      </c>
      <c r="AK102" t="s">
        <v>242</v>
      </c>
      <c r="AL102" t="s">
        <v>234</v>
      </c>
      <c r="AM102" t="s">
        <v>243</v>
      </c>
      <c r="AN102" t="s">
        <v>244</v>
      </c>
      <c r="AO102" t="s">
        <v>245</v>
      </c>
      <c r="BO102">
        <v>6.0240963860000001</v>
      </c>
      <c r="BP102">
        <v>7.4428197120000004</v>
      </c>
      <c r="BQ102">
        <v>8.8615430380000006</v>
      </c>
      <c r="BR102">
        <v>10.280266360000001</v>
      </c>
      <c r="BS102">
        <v>11.698989689999999</v>
      </c>
      <c r="BT102">
        <v>13.11771302</v>
      </c>
      <c r="BU102">
        <v>14.53643634</v>
      </c>
      <c r="BV102">
        <v>15.95515967</v>
      </c>
      <c r="BW102">
        <v>17.373882999999999</v>
      </c>
      <c r="BX102">
        <v>18.792606320000001</v>
      </c>
      <c r="BY102">
        <v>20.21132965</v>
      </c>
      <c r="BZ102">
        <v>21.630052979999999</v>
      </c>
      <c r="CA102">
        <v>23.0487763</v>
      </c>
      <c r="CB102">
        <v>24.467499629999999</v>
      </c>
      <c r="CC102">
        <v>24.487579950000001</v>
      </c>
      <c r="CD102">
        <v>24.507660269999999</v>
      </c>
      <c r="CE102">
        <v>24.527740590000001</v>
      </c>
      <c r="CF102">
        <v>24.527740590000001</v>
      </c>
      <c r="CG102">
        <v>24.527740590000001</v>
      </c>
      <c r="CH102">
        <v>24.527740590000001</v>
      </c>
      <c r="CI102">
        <v>24.527740590000001</v>
      </c>
      <c r="CJ102">
        <v>24.527740590000001</v>
      </c>
      <c r="CK102">
        <v>24.527740590000001</v>
      </c>
      <c r="CL102">
        <v>24.527740590000001</v>
      </c>
      <c r="CM102">
        <v>24.527740590000001</v>
      </c>
      <c r="CN102">
        <v>24.527740590000001</v>
      </c>
      <c r="CO102">
        <v>24.527740590000001</v>
      </c>
      <c r="CP102">
        <v>24.527740590000001</v>
      </c>
      <c r="CQ102">
        <v>24.527740590000001</v>
      </c>
      <c r="CR102">
        <v>24.527740590000001</v>
      </c>
      <c r="CS102">
        <v>24.527740590000001</v>
      </c>
      <c r="CT102">
        <v>24.527740590000001</v>
      </c>
      <c r="CU102">
        <v>24.527740590000001</v>
      </c>
      <c r="CV102">
        <v>24.527740590000001</v>
      </c>
      <c r="CW102">
        <v>24.527740590000001</v>
      </c>
      <c r="CX102">
        <v>24.527740590000001</v>
      </c>
    </row>
    <row r="103" spans="1:102" x14ac:dyDescent="0.3">
      <c r="A103" t="s">
        <v>220</v>
      </c>
      <c r="B103" t="s">
        <v>221</v>
      </c>
      <c r="C103" t="s">
        <v>222</v>
      </c>
      <c r="D103" t="s">
        <v>223</v>
      </c>
      <c r="E103" t="s">
        <v>446</v>
      </c>
      <c r="F103" t="s">
        <v>225</v>
      </c>
      <c r="G103" t="s">
        <v>226</v>
      </c>
      <c r="H103" t="s">
        <v>226</v>
      </c>
      <c r="I103" t="s">
        <v>226</v>
      </c>
      <c r="J103" t="s">
        <v>227</v>
      </c>
      <c r="K103" t="s">
        <v>228</v>
      </c>
      <c r="L103" t="s">
        <v>228</v>
      </c>
      <c r="M103" t="s">
        <v>228</v>
      </c>
      <c r="N103" t="s">
        <v>228</v>
      </c>
      <c r="O103" t="s">
        <v>229</v>
      </c>
      <c r="P103">
        <v>2</v>
      </c>
      <c r="Q103" t="s">
        <v>230</v>
      </c>
      <c r="R103" t="s">
        <v>231</v>
      </c>
      <c r="S103" t="s">
        <v>232</v>
      </c>
      <c r="T103">
        <v>0</v>
      </c>
      <c r="U103" t="s">
        <v>230</v>
      </c>
      <c r="V103" t="s">
        <v>233</v>
      </c>
      <c r="W103" t="s">
        <v>223</v>
      </c>
      <c r="X103" t="s">
        <v>234</v>
      </c>
      <c r="Y103" t="s">
        <v>447</v>
      </c>
      <c r="Z103" t="s">
        <v>232</v>
      </c>
      <c r="AA103" t="s">
        <v>236</v>
      </c>
      <c r="AB103" t="s">
        <v>237</v>
      </c>
      <c r="AC103" t="s">
        <v>236</v>
      </c>
      <c r="AD103" t="s">
        <v>238</v>
      </c>
      <c r="AE103" t="s">
        <v>239</v>
      </c>
      <c r="AF103" t="s">
        <v>239</v>
      </c>
      <c r="AG103" t="s">
        <v>239</v>
      </c>
      <c r="AH103" t="s">
        <v>239</v>
      </c>
      <c r="AI103" t="s">
        <v>240</v>
      </c>
      <c r="AJ103" t="s">
        <v>241</v>
      </c>
      <c r="AK103" t="s">
        <v>242</v>
      </c>
      <c r="AL103" t="s">
        <v>234</v>
      </c>
      <c r="AM103" t="s">
        <v>243</v>
      </c>
      <c r="AN103" t="s">
        <v>244</v>
      </c>
      <c r="AO103" t="s">
        <v>245</v>
      </c>
      <c r="BT103">
        <v>10.285038</v>
      </c>
      <c r="BU103">
        <v>9.7793485340000004</v>
      </c>
      <c r="BV103">
        <v>9.2736590660000005</v>
      </c>
      <c r="BW103">
        <v>8.7679695980000005</v>
      </c>
      <c r="BX103">
        <v>8.2622801300000006</v>
      </c>
      <c r="BY103">
        <v>7.7565906619999998</v>
      </c>
      <c r="BZ103">
        <v>7.2509011939999999</v>
      </c>
      <c r="CA103">
        <v>6.745211726</v>
      </c>
      <c r="CB103">
        <v>6.239522258</v>
      </c>
      <c r="CC103">
        <v>6.1727252989999997</v>
      </c>
      <c r="CD103">
        <v>6.1059283390000001</v>
      </c>
      <c r="CE103">
        <v>6.0391313789999996</v>
      </c>
      <c r="CF103">
        <v>5.9723344190000001</v>
      </c>
      <c r="CG103">
        <v>5.9055374589999996</v>
      </c>
      <c r="CH103">
        <v>5.9163952230000003</v>
      </c>
      <c r="CI103">
        <v>5.9272529860000001</v>
      </c>
      <c r="CJ103">
        <v>5.9381107489999998</v>
      </c>
      <c r="CK103">
        <v>5.8424877850000003</v>
      </c>
      <c r="CL103">
        <v>5.746864821</v>
      </c>
      <c r="CM103">
        <v>5.6512418569999996</v>
      </c>
      <c r="CN103">
        <v>5.5556188930000001</v>
      </c>
      <c r="CO103">
        <v>5.4599959279999997</v>
      </c>
      <c r="CP103">
        <v>5.3643729640000002</v>
      </c>
      <c r="CQ103">
        <v>5.2687499999999998</v>
      </c>
      <c r="CR103">
        <v>5.1731270360000003</v>
      </c>
      <c r="CS103">
        <v>4.4772964169999998</v>
      </c>
      <c r="CT103">
        <v>4.2056026060000002</v>
      </c>
      <c r="CU103">
        <v>5.1209771990000004</v>
      </c>
      <c r="CV103">
        <v>5.386710098</v>
      </c>
      <c r="CW103">
        <v>5.2409771989999996</v>
      </c>
      <c r="CX103">
        <v>4.2129641690000001</v>
      </c>
    </row>
    <row r="104" spans="1:102" x14ac:dyDescent="0.3">
      <c r="A104" t="s">
        <v>220</v>
      </c>
      <c r="B104" t="s">
        <v>221</v>
      </c>
      <c r="C104" t="s">
        <v>222</v>
      </c>
      <c r="D104" t="s">
        <v>223</v>
      </c>
      <c r="E104" t="s">
        <v>448</v>
      </c>
      <c r="F104" t="s">
        <v>225</v>
      </c>
      <c r="G104" t="s">
        <v>226</v>
      </c>
      <c r="H104" t="s">
        <v>226</v>
      </c>
      <c r="I104" t="s">
        <v>226</v>
      </c>
      <c r="J104" t="s">
        <v>227</v>
      </c>
      <c r="K104" t="s">
        <v>228</v>
      </c>
      <c r="L104" t="s">
        <v>228</v>
      </c>
      <c r="M104" t="s">
        <v>228</v>
      </c>
      <c r="N104" t="s">
        <v>228</v>
      </c>
      <c r="O104" t="s">
        <v>229</v>
      </c>
      <c r="P104">
        <v>2</v>
      </c>
      <c r="Q104" t="s">
        <v>230</v>
      </c>
      <c r="R104" t="s">
        <v>231</v>
      </c>
      <c r="S104" t="s">
        <v>232</v>
      </c>
      <c r="T104">
        <v>0</v>
      </c>
      <c r="U104" t="s">
        <v>230</v>
      </c>
      <c r="V104" t="s">
        <v>233</v>
      </c>
      <c r="W104" t="s">
        <v>223</v>
      </c>
      <c r="X104" t="s">
        <v>234</v>
      </c>
      <c r="Y104" t="s">
        <v>449</v>
      </c>
      <c r="Z104" t="s">
        <v>232</v>
      </c>
      <c r="AA104" t="s">
        <v>236</v>
      </c>
      <c r="AB104" t="s">
        <v>237</v>
      </c>
      <c r="AC104" t="s">
        <v>236</v>
      </c>
      <c r="AD104" t="s">
        <v>238</v>
      </c>
      <c r="AE104" t="s">
        <v>239</v>
      </c>
      <c r="AF104" t="s">
        <v>239</v>
      </c>
      <c r="AG104" t="s">
        <v>239</v>
      </c>
      <c r="AH104" t="s">
        <v>239</v>
      </c>
      <c r="AI104" t="s">
        <v>240</v>
      </c>
      <c r="AJ104" t="s">
        <v>241</v>
      </c>
      <c r="AK104" t="s">
        <v>242</v>
      </c>
      <c r="AL104" t="s">
        <v>234</v>
      </c>
      <c r="AM104" t="s">
        <v>243</v>
      </c>
      <c r="AN104" t="s">
        <v>244</v>
      </c>
      <c r="AO104" t="s">
        <v>245</v>
      </c>
      <c r="BL104">
        <v>13.642677819999999</v>
      </c>
      <c r="BM104">
        <v>13.48925732</v>
      </c>
      <c r="BN104">
        <v>13.335836820000001</v>
      </c>
      <c r="BO104">
        <v>13.18241632</v>
      </c>
      <c r="BP104">
        <v>13.02899582</v>
      </c>
      <c r="BQ104">
        <v>12.87557531</v>
      </c>
      <c r="BR104">
        <v>12.722154809999999</v>
      </c>
      <c r="BS104">
        <v>12.56873431</v>
      </c>
      <c r="BT104">
        <v>12.415313810000001</v>
      </c>
      <c r="BU104">
        <v>12.26189331</v>
      </c>
      <c r="BV104">
        <v>12.108472799999999</v>
      </c>
      <c r="BW104">
        <v>11.9550523</v>
      </c>
      <c r="BX104">
        <v>11.801631799999999</v>
      </c>
      <c r="BY104">
        <v>11.6482113</v>
      </c>
      <c r="BZ104">
        <v>11.494790800000001</v>
      </c>
      <c r="CA104">
        <v>11.34137029</v>
      </c>
      <c r="CB104">
        <v>11.187949789999999</v>
      </c>
      <c r="CC104">
        <v>11.202661089999999</v>
      </c>
      <c r="CD104">
        <v>11.21737238</v>
      </c>
      <c r="CE104">
        <v>11.232083680000001</v>
      </c>
      <c r="CF104">
        <v>11.246794980000001</v>
      </c>
      <c r="CG104">
        <v>11.261506280000001</v>
      </c>
      <c r="CH104">
        <v>11.261506280000001</v>
      </c>
      <c r="CI104">
        <v>11.261506280000001</v>
      </c>
      <c r="CJ104">
        <v>11.261506280000001</v>
      </c>
      <c r="CK104">
        <v>11.261506280000001</v>
      </c>
      <c r="CL104">
        <v>11.261506280000001</v>
      </c>
      <c r="CM104">
        <v>11.261506280000001</v>
      </c>
      <c r="CN104">
        <v>11.261506280000001</v>
      </c>
      <c r="CO104">
        <v>11.261506280000001</v>
      </c>
      <c r="CP104">
        <v>11.261506280000001</v>
      </c>
      <c r="CQ104">
        <v>11.261506280000001</v>
      </c>
      <c r="CR104">
        <v>11.261506280000001</v>
      </c>
      <c r="CS104">
        <v>11.261506280000001</v>
      </c>
      <c r="CT104">
        <v>11.261506280000001</v>
      </c>
      <c r="CU104">
        <v>11.261506280000001</v>
      </c>
      <c r="CV104">
        <v>11.261506280000001</v>
      </c>
      <c r="CW104">
        <v>11.261506280000001</v>
      </c>
      <c r="CX104">
        <v>11.261506280000001</v>
      </c>
    </row>
    <row r="105" spans="1:102" x14ac:dyDescent="0.3">
      <c r="A105" t="s">
        <v>220</v>
      </c>
      <c r="B105" t="s">
        <v>221</v>
      </c>
      <c r="C105" t="s">
        <v>222</v>
      </c>
      <c r="D105" t="s">
        <v>223</v>
      </c>
      <c r="E105" t="s">
        <v>450</v>
      </c>
      <c r="F105" t="s">
        <v>225</v>
      </c>
      <c r="G105" t="s">
        <v>226</v>
      </c>
      <c r="H105" t="s">
        <v>226</v>
      </c>
      <c r="I105" t="s">
        <v>226</v>
      </c>
      <c r="J105" t="s">
        <v>227</v>
      </c>
      <c r="K105" t="s">
        <v>228</v>
      </c>
      <c r="L105" t="s">
        <v>228</v>
      </c>
      <c r="M105" t="s">
        <v>228</v>
      </c>
      <c r="N105" t="s">
        <v>228</v>
      </c>
      <c r="O105" t="s">
        <v>229</v>
      </c>
      <c r="P105">
        <v>2</v>
      </c>
      <c r="Q105" t="s">
        <v>230</v>
      </c>
      <c r="R105" t="s">
        <v>231</v>
      </c>
      <c r="S105" t="s">
        <v>232</v>
      </c>
      <c r="T105">
        <v>0</v>
      </c>
      <c r="U105" t="s">
        <v>230</v>
      </c>
      <c r="V105" t="s">
        <v>233</v>
      </c>
      <c r="W105" t="s">
        <v>223</v>
      </c>
      <c r="X105" t="s">
        <v>234</v>
      </c>
      <c r="Y105" t="s">
        <v>451</v>
      </c>
      <c r="Z105" t="s">
        <v>232</v>
      </c>
      <c r="AA105" t="s">
        <v>236</v>
      </c>
      <c r="AB105" t="s">
        <v>237</v>
      </c>
      <c r="AC105" t="s">
        <v>236</v>
      </c>
      <c r="AD105" t="s">
        <v>238</v>
      </c>
      <c r="AE105" t="s">
        <v>239</v>
      </c>
      <c r="AF105" t="s">
        <v>239</v>
      </c>
      <c r="AG105" t="s">
        <v>239</v>
      </c>
      <c r="AH105" t="s">
        <v>239</v>
      </c>
      <c r="AI105" t="s">
        <v>240</v>
      </c>
      <c r="AJ105" t="s">
        <v>241</v>
      </c>
      <c r="AK105" t="s">
        <v>242</v>
      </c>
      <c r="AL105" t="s">
        <v>234</v>
      </c>
      <c r="AM105" t="s">
        <v>243</v>
      </c>
      <c r="AN105" t="s">
        <v>244</v>
      </c>
      <c r="AO105" t="s">
        <v>245</v>
      </c>
      <c r="BR105">
        <v>5.1859999999999999</v>
      </c>
      <c r="BS105">
        <v>4.8102905979999999</v>
      </c>
      <c r="BT105">
        <v>4.434581197</v>
      </c>
      <c r="BU105">
        <v>4.0588717949999999</v>
      </c>
      <c r="BV105">
        <v>3.6831623929999999</v>
      </c>
      <c r="BW105">
        <v>3.845641026</v>
      </c>
      <c r="BX105">
        <v>2.8123076920000001</v>
      </c>
      <c r="BY105">
        <v>2.832334683</v>
      </c>
      <c r="BZ105">
        <v>2.8523616729999999</v>
      </c>
      <c r="CA105">
        <v>2.8723886639999998</v>
      </c>
      <c r="CB105">
        <v>2.8924156550000002</v>
      </c>
      <c r="CC105">
        <v>2.9124426450000001</v>
      </c>
      <c r="CD105">
        <v>2.932469636</v>
      </c>
      <c r="CE105">
        <v>2.9524966259999998</v>
      </c>
      <c r="CF105">
        <v>2.9725236169999998</v>
      </c>
      <c r="CG105">
        <v>2.9925506070000001</v>
      </c>
      <c r="CH105">
        <v>3.012577598</v>
      </c>
      <c r="CI105">
        <v>3.0326045879999999</v>
      </c>
      <c r="CJ105">
        <v>3.0526315789999998</v>
      </c>
      <c r="CK105">
        <v>3.0726585700000002</v>
      </c>
      <c r="CL105">
        <v>3.0926855600000001</v>
      </c>
      <c r="CM105">
        <v>3.112712551</v>
      </c>
      <c r="CN105">
        <v>3.1327395409999998</v>
      </c>
      <c r="CO105">
        <v>3.1527665319999998</v>
      </c>
      <c r="CP105">
        <v>3.1727935220000001</v>
      </c>
      <c r="CQ105">
        <v>3.192820513</v>
      </c>
      <c r="CR105">
        <v>3.36</v>
      </c>
      <c r="CS105">
        <v>3.43948718</v>
      </c>
      <c r="CT105">
        <v>3.43948718</v>
      </c>
      <c r="CU105">
        <v>3.43948718</v>
      </c>
      <c r="CV105">
        <v>3.43948718</v>
      </c>
      <c r="CW105">
        <v>3.43948718</v>
      </c>
      <c r="CX105">
        <v>3.43948718</v>
      </c>
    </row>
    <row r="106" spans="1:102" x14ac:dyDescent="0.3">
      <c r="A106" t="s">
        <v>220</v>
      </c>
      <c r="B106" t="s">
        <v>221</v>
      </c>
      <c r="C106" t="s">
        <v>222</v>
      </c>
      <c r="D106" t="s">
        <v>223</v>
      </c>
      <c r="E106" t="s">
        <v>452</v>
      </c>
      <c r="F106" t="s">
        <v>225</v>
      </c>
      <c r="G106" t="s">
        <v>226</v>
      </c>
      <c r="H106" t="s">
        <v>226</v>
      </c>
      <c r="I106" t="s">
        <v>226</v>
      </c>
      <c r="J106" t="s">
        <v>227</v>
      </c>
      <c r="K106" t="s">
        <v>228</v>
      </c>
      <c r="L106" t="s">
        <v>228</v>
      </c>
      <c r="M106" t="s">
        <v>228</v>
      </c>
      <c r="N106" t="s">
        <v>228</v>
      </c>
      <c r="O106" t="s">
        <v>229</v>
      </c>
      <c r="P106">
        <v>2</v>
      </c>
      <c r="Q106" t="s">
        <v>230</v>
      </c>
      <c r="R106" t="s">
        <v>231</v>
      </c>
      <c r="S106" t="s">
        <v>232</v>
      </c>
      <c r="T106">
        <v>0</v>
      </c>
      <c r="U106" t="s">
        <v>230</v>
      </c>
      <c r="V106" t="s">
        <v>233</v>
      </c>
      <c r="W106" t="s">
        <v>223</v>
      </c>
      <c r="X106" t="s">
        <v>234</v>
      </c>
      <c r="Y106" t="s">
        <v>453</v>
      </c>
      <c r="Z106" t="s">
        <v>232</v>
      </c>
      <c r="AA106" t="s">
        <v>236</v>
      </c>
      <c r="AB106" t="s">
        <v>237</v>
      </c>
      <c r="AC106" t="s">
        <v>236</v>
      </c>
      <c r="AD106" t="s">
        <v>238</v>
      </c>
      <c r="AE106" t="s">
        <v>239</v>
      </c>
      <c r="AF106" t="s">
        <v>239</v>
      </c>
      <c r="AG106" t="s">
        <v>239</v>
      </c>
      <c r="AH106" t="s">
        <v>239</v>
      </c>
      <c r="AI106" t="s">
        <v>240</v>
      </c>
      <c r="AJ106" t="s">
        <v>241</v>
      </c>
      <c r="AK106" t="s">
        <v>242</v>
      </c>
      <c r="AL106" t="s">
        <v>234</v>
      </c>
      <c r="AM106" t="s">
        <v>243</v>
      </c>
      <c r="AN106" t="s">
        <v>244</v>
      </c>
      <c r="AO106" t="s">
        <v>245</v>
      </c>
      <c r="BS106">
        <v>2.86360211</v>
      </c>
      <c r="BT106">
        <v>3.0645566440000001</v>
      </c>
      <c r="BU106">
        <v>3.2655111780000001</v>
      </c>
      <c r="BV106">
        <v>3.4664657120000002</v>
      </c>
      <c r="BW106">
        <v>3.4664657120000002</v>
      </c>
      <c r="BX106">
        <v>3.4664657120000002</v>
      </c>
      <c r="BY106">
        <v>3.4664657120000002</v>
      </c>
      <c r="BZ106">
        <v>3.4664657120000002</v>
      </c>
      <c r="CA106">
        <v>3.4664657120000002</v>
      </c>
      <c r="CB106">
        <v>3.4664657120000002</v>
      </c>
      <c r="CC106">
        <v>3.4664657120000002</v>
      </c>
      <c r="CD106">
        <v>3.4664657120000002</v>
      </c>
      <c r="CE106">
        <v>3.4664657120000002</v>
      </c>
      <c r="CF106">
        <v>3.4664657120000002</v>
      </c>
      <c r="CG106">
        <v>3.4664657120000002</v>
      </c>
      <c r="CH106">
        <v>3.4664657120000002</v>
      </c>
      <c r="CI106">
        <v>3.4664657120000002</v>
      </c>
      <c r="CJ106">
        <v>3.4664657120000002</v>
      </c>
      <c r="CK106">
        <v>3.4664657120000002</v>
      </c>
      <c r="CL106">
        <v>3.4664657120000002</v>
      </c>
      <c r="CM106">
        <v>3.4664657120000002</v>
      </c>
      <c r="CN106">
        <v>3.4664657120000002</v>
      </c>
      <c r="CO106">
        <v>3.4664657120000002</v>
      </c>
      <c r="CP106">
        <v>3.4664657120000002</v>
      </c>
      <c r="CQ106">
        <v>3.4664657120000002</v>
      </c>
      <c r="CR106">
        <v>3.4664657120000002</v>
      </c>
      <c r="CS106">
        <v>3.4664657120000002</v>
      </c>
      <c r="CT106">
        <v>3.4664657120000002</v>
      </c>
      <c r="CU106">
        <v>3.4664657120000002</v>
      </c>
      <c r="CV106">
        <v>3.4664657120000002</v>
      </c>
      <c r="CW106">
        <v>3.4664657120000002</v>
      </c>
      <c r="CX106">
        <v>3.4664657120000002</v>
      </c>
    </row>
    <row r="107" spans="1:102" x14ac:dyDescent="0.3">
      <c r="A107" t="s">
        <v>220</v>
      </c>
      <c r="B107" t="s">
        <v>221</v>
      </c>
      <c r="C107" t="s">
        <v>222</v>
      </c>
      <c r="D107" t="s">
        <v>223</v>
      </c>
      <c r="E107" t="s">
        <v>454</v>
      </c>
      <c r="F107" t="s">
        <v>225</v>
      </c>
      <c r="G107" t="s">
        <v>226</v>
      </c>
      <c r="H107" t="s">
        <v>226</v>
      </c>
      <c r="I107" t="s">
        <v>226</v>
      </c>
      <c r="J107" t="s">
        <v>227</v>
      </c>
      <c r="K107" t="s">
        <v>228</v>
      </c>
      <c r="L107" t="s">
        <v>228</v>
      </c>
      <c r="M107" t="s">
        <v>228</v>
      </c>
      <c r="N107" t="s">
        <v>228</v>
      </c>
      <c r="O107" t="s">
        <v>229</v>
      </c>
      <c r="P107">
        <v>2</v>
      </c>
      <c r="Q107" t="s">
        <v>230</v>
      </c>
      <c r="R107" t="s">
        <v>231</v>
      </c>
      <c r="S107" t="s">
        <v>232</v>
      </c>
      <c r="T107">
        <v>0</v>
      </c>
      <c r="U107" t="s">
        <v>230</v>
      </c>
      <c r="V107" t="s">
        <v>233</v>
      </c>
      <c r="W107" t="s">
        <v>223</v>
      </c>
      <c r="X107" t="s">
        <v>234</v>
      </c>
      <c r="Y107" t="s">
        <v>455</v>
      </c>
      <c r="Z107" t="s">
        <v>232</v>
      </c>
      <c r="AA107" t="s">
        <v>236</v>
      </c>
      <c r="AB107" t="s">
        <v>237</v>
      </c>
      <c r="AC107" t="s">
        <v>236</v>
      </c>
      <c r="AD107" t="s">
        <v>238</v>
      </c>
      <c r="AE107" t="s">
        <v>239</v>
      </c>
      <c r="AF107" t="s">
        <v>239</v>
      </c>
      <c r="AG107" t="s">
        <v>239</v>
      </c>
      <c r="AH107" t="s">
        <v>239</v>
      </c>
      <c r="AI107" t="s">
        <v>240</v>
      </c>
      <c r="AJ107" t="s">
        <v>241</v>
      </c>
      <c r="AK107" t="s">
        <v>242</v>
      </c>
      <c r="AL107" t="s">
        <v>234</v>
      </c>
      <c r="AM107" t="s">
        <v>243</v>
      </c>
      <c r="AN107" t="s">
        <v>244</v>
      </c>
      <c r="AO107" t="s">
        <v>245</v>
      </c>
      <c r="BH107">
        <v>32.801013939999997</v>
      </c>
      <c r="BI107">
        <v>32.468314319999998</v>
      </c>
      <c r="BJ107">
        <v>32.135614699999998</v>
      </c>
      <c r="BK107">
        <v>31.802915079999998</v>
      </c>
      <c r="BL107">
        <v>31.470215459999999</v>
      </c>
      <c r="BM107">
        <v>31.137515839999999</v>
      </c>
      <c r="BN107">
        <v>30.804816219999999</v>
      </c>
      <c r="BO107">
        <v>30.4721166</v>
      </c>
      <c r="BP107">
        <v>30.13941698</v>
      </c>
      <c r="BQ107">
        <v>29.80671736</v>
      </c>
      <c r="BR107">
        <v>29.474017740000001</v>
      </c>
      <c r="BS107">
        <v>29.5278834</v>
      </c>
      <c r="BT107">
        <v>29.581749049999999</v>
      </c>
      <c r="BU107">
        <v>29.635614700000001</v>
      </c>
      <c r="BV107">
        <v>29.68948035</v>
      </c>
      <c r="BW107">
        <v>29.74334601</v>
      </c>
      <c r="BX107">
        <v>29.797211659999999</v>
      </c>
      <c r="BY107">
        <v>29.851077310000001</v>
      </c>
      <c r="BZ107">
        <v>29.90494297</v>
      </c>
      <c r="CA107">
        <v>29.958808619999999</v>
      </c>
      <c r="CB107">
        <v>30.012674270000002</v>
      </c>
      <c r="CC107">
        <v>30.076045629999999</v>
      </c>
      <c r="CD107">
        <v>30.13941698</v>
      </c>
      <c r="CE107">
        <v>30.202788340000001</v>
      </c>
      <c r="CF107">
        <v>30.266159699999999</v>
      </c>
      <c r="CG107">
        <v>30.32953105</v>
      </c>
      <c r="CH107">
        <v>29.571609630000001</v>
      </c>
      <c r="CI107">
        <v>28.813688209999999</v>
      </c>
      <c r="CJ107">
        <v>28.05576679</v>
      </c>
      <c r="CK107">
        <v>27.297845370000001</v>
      </c>
      <c r="CL107">
        <v>26.539923949999999</v>
      </c>
      <c r="CM107">
        <v>26.862991130000001</v>
      </c>
      <c r="CN107">
        <v>27.186058299999999</v>
      </c>
      <c r="CO107">
        <v>27.509125480000002</v>
      </c>
      <c r="CP107">
        <v>27.83219265</v>
      </c>
      <c r="CQ107">
        <v>28.155259820000001</v>
      </c>
      <c r="CR107">
        <v>28.155259820000001</v>
      </c>
      <c r="CS107">
        <v>28.155259820000001</v>
      </c>
      <c r="CT107">
        <v>28.155259820000001</v>
      </c>
      <c r="CU107">
        <v>28.155259820000001</v>
      </c>
      <c r="CV107">
        <v>28.155259820000001</v>
      </c>
      <c r="CW107">
        <v>28.155259820000001</v>
      </c>
      <c r="CX107">
        <v>28.155259820000001</v>
      </c>
    </row>
    <row r="108" spans="1:102" x14ac:dyDescent="0.3">
      <c r="A108" t="s">
        <v>220</v>
      </c>
      <c r="B108" t="s">
        <v>221</v>
      </c>
      <c r="C108" t="s">
        <v>222</v>
      </c>
      <c r="D108" t="s">
        <v>223</v>
      </c>
      <c r="E108" t="s">
        <v>456</v>
      </c>
      <c r="F108" t="s">
        <v>225</v>
      </c>
      <c r="G108" t="s">
        <v>226</v>
      </c>
      <c r="H108" t="s">
        <v>226</v>
      </c>
      <c r="I108" t="s">
        <v>226</v>
      </c>
      <c r="J108" t="s">
        <v>227</v>
      </c>
      <c r="K108" t="s">
        <v>228</v>
      </c>
      <c r="L108" t="s">
        <v>228</v>
      </c>
      <c r="M108" t="s">
        <v>228</v>
      </c>
      <c r="N108" t="s">
        <v>228</v>
      </c>
      <c r="O108" t="s">
        <v>229</v>
      </c>
      <c r="P108">
        <v>2</v>
      </c>
      <c r="Q108" t="s">
        <v>230</v>
      </c>
      <c r="R108" t="s">
        <v>231</v>
      </c>
      <c r="S108" t="s">
        <v>232</v>
      </c>
      <c r="T108">
        <v>0</v>
      </c>
      <c r="U108" t="s">
        <v>230</v>
      </c>
      <c r="V108" t="s">
        <v>233</v>
      </c>
      <c r="W108" t="s">
        <v>223</v>
      </c>
      <c r="X108" t="s">
        <v>234</v>
      </c>
      <c r="Y108" t="s">
        <v>457</v>
      </c>
      <c r="Z108" t="s">
        <v>232</v>
      </c>
      <c r="AA108" t="s">
        <v>236</v>
      </c>
      <c r="AB108" t="s">
        <v>237</v>
      </c>
      <c r="AC108" t="s">
        <v>236</v>
      </c>
      <c r="AD108" t="s">
        <v>238</v>
      </c>
      <c r="AE108" t="s">
        <v>239</v>
      </c>
      <c r="AF108" t="s">
        <v>239</v>
      </c>
      <c r="AG108" t="s">
        <v>239</v>
      </c>
      <c r="AH108" t="s">
        <v>239</v>
      </c>
      <c r="AI108" t="s">
        <v>240</v>
      </c>
      <c r="AJ108" t="s">
        <v>241</v>
      </c>
      <c r="AK108" t="s">
        <v>242</v>
      </c>
      <c r="AL108" t="s">
        <v>234</v>
      </c>
      <c r="AM108" t="s">
        <v>243</v>
      </c>
      <c r="AN108" t="s">
        <v>244</v>
      </c>
      <c r="AO108" t="s">
        <v>245</v>
      </c>
      <c r="BO108">
        <v>1.384030418</v>
      </c>
      <c r="BP108">
        <v>1.4760651259999999</v>
      </c>
      <c r="BQ108">
        <v>1.5680998340000001</v>
      </c>
      <c r="BR108">
        <v>1.660134542</v>
      </c>
      <c r="BS108">
        <v>1.7521692499999999</v>
      </c>
      <c r="BT108">
        <v>1.844203958</v>
      </c>
      <c r="BU108">
        <v>1.9362386659999999</v>
      </c>
      <c r="BV108">
        <v>2.0282733739999999</v>
      </c>
      <c r="BW108">
        <v>2.1203080820000002</v>
      </c>
      <c r="BX108">
        <v>2.2123427900000001</v>
      </c>
      <c r="BY108">
        <v>2.304377498</v>
      </c>
      <c r="BZ108">
        <v>2.3964122059999999</v>
      </c>
      <c r="CA108">
        <v>2.4884469139999998</v>
      </c>
      <c r="CB108">
        <v>2.5804816220000002</v>
      </c>
      <c r="CC108">
        <v>2.575411914</v>
      </c>
      <c r="CD108">
        <v>2.5703422050000002</v>
      </c>
      <c r="CE108">
        <v>2.8441064639999998</v>
      </c>
      <c r="CF108">
        <v>3.1178707220000001</v>
      </c>
      <c r="CG108">
        <v>3.3916349810000002</v>
      </c>
      <c r="CH108">
        <v>3.3916349810000002</v>
      </c>
      <c r="CI108">
        <v>3.3916349810000002</v>
      </c>
      <c r="CJ108">
        <v>3.3916349810000002</v>
      </c>
      <c r="CK108">
        <v>3.3916349810000002</v>
      </c>
      <c r="CL108">
        <v>3.3916349810000002</v>
      </c>
      <c r="CM108">
        <v>3.3916349810000002</v>
      </c>
      <c r="CN108">
        <v>3.3916349810000002</v>
      </c>
      <c r="CO108">
        <v>3.3916349810000002</v>
      </c>
      <c r="CP108">
        <v>3.3916349810000002</v>
      </c>
      <c r="CQ108">
        <v>3.3916349810000002</v>
      </c>
      <c r="CR108">
        <v>3.3916349810000002</v>
      </c>
      <c r="CS108">
        <v>3.3916349810000002</v>
      </c>
      <c r="CT108">
        <v>3.3916349810000002</v>
      </c>
      <c r="CU108">
        <v>3.3916349810000002</v>
      </c>
      <c r="CV108">
        <v>3.3916349810000002</v>
      </c>
      <c r="CW108">
        <v>3.3916349810000002</v>
      </c>
      <c r="CX108">
        <v>3.3916349810000002</v>
      </c>
    </row>
    <row r="109" spans="1:102" x14ac:dyDescent="0.3">
      <c r="A109" t="s">
        <v>220</v>
      </c>
      <c r="B109" t="s">
        <v>221</v>
      </c>
      <c r="C109" t="s">
        <v>222</v>
      </c>
      <c r="D109" t="s">
        <v>223</v>
      </c>
      <c r="E109" t="s">
        <v>458</v>
      </c>
      <c r="F109" t="s">
        <v>225</v>
      </c>
      <c r="G109" t="s">
        <v>226</v>
      </c>
      <c r="H109" t="s">
        <v>226</v>
      </c>
      <c r="I109" t="s">
        <v>226</v>
      </c>
      <c r="J109" t="s">
        <v>227</v>
      </c>
      <c r="K109" t="s">
        <v>228</v>
      </c>
      <c r="L109" t="s">
        <v>228</v>
      </c>
      <c r="M109" t="s">
        <v>228</v>
      </c>
      <c r="N109" t="s">
        <v>228</v>
      </c>
      <c r="O109" t="s">
        <v>229</v>
      </c>
      <c r="P109">
        <v>2</v>
      </c>
      <c r="Q109" t="s">
        <v>230</v>
      </c>
      <c r="R109" t="s">
        <v>231</v>
      </c>
      <c r="S109" t="s">
        <v>232</v>
      </c>
      <c r="T109">
        <v>0</v>
      </c>
      <c r="U109" t="s">
        <v>230</v>
      </c>
      <c r="V109" t="s">
        <v>233</v>
      </c>
      <c r="W109" t="s">
        <v>223</v>
      </c>
      <c r="X109" t="s">
        <v>234</v>
      </c>
      <c r="Y109" t="s">
        <v>459</v>
      </c>
      <c r="Z109" t="s">
        <v>232</v>
      </c>
      <c r="AA109" t="s">
        <v>236</v>
      </c>
      <c r="AB109" t="s">
        <v>237</v>
      </c>
      <c r="AC109" t="s">
        <v>236</v>
      </c>
      <c r="AD109" t="s">
        <v>238</v>
      </c>
      <c r="AE109" t="s">
        <v>239</v>
      </c>
      <c r="AF109" t="s">
        <v>239</v>
      </c>
      <c r="AG109" t="s">
        <v>239</v>
      </c>
      <c r="AH109" t="s">
        <v>239</v>
      </c>
      <c r="AI109" t="s">
        <v>240</v>
      </c>
      <c r="AJ109" t="s">
        <v>241</v>
      </c>
      <c r="AK109" t="s">
        <v>242</v>
      </c>
      <c r="AL109" t="s">
        <v>234</v>
      </c>
      <c r="AM109" t="s">
        <v>243</v>
      </c>
      <c r="AN109" t="s">
        <v>244</v>
      </c>
      <c r="AO109" t="s">
        <v>245</v>
      </c>
      <c r="BM109">
        <v>0.42787286099999999</v>
      </c>
      <c r="BN109">
        <v>0.483190709</v>
      </c>
      <c r="BO109">
        <v>0.53850855799999997</v>
      </c>
      <c r="BP109">
        <v>0.59382640600000003</v>
      </c>
      <c r="BQ109">
        <v>0.649877751</v>
      </c>
      <c r="BR109">
        <v>0.70446210300000001</v>
      </c>
      <c r="BS109">
        <v>0.76008557499999996</v>
      </c>
      <c r="BT109">
        <v>0.77842298300000001</v>
      </c>
      <c r="BU109">
        <v>0.79676039099999996</v>
      </c>
      <c r="BV109">
        <v>0.81509779999999998</v>
      </c>
      <c r="BW109">
        <v>0.83343520800000004</v>
      </c>
      <c r="BX109">
        <v>0.81570904700000002</v>
      </c>
      <c r="BY109">
        <v>0.84015892400000003</v>
      </c>
      <c r="BZ109">
        <v>0.86460880200000001</v>
      </c>
      <c r="CA109">
        <v>0.88905867999999999</v>
      </c>
      <c r="CB109">
        <v>0.91595354500000004</v>
      </c>
      <c r="CC109">
        <v>0.88875305599999999</v>
      </c>
      <c r="CD109">
        <v>0.86155256700000005</v>
      </c>
      <c r="CE109">
        <v>0.83379367299999996</v>
      </c>
      <c r="CF109">
        <v>0.80603477800000001</v>
      </c>
      <c r="CG109">
        <v>0.77827588299999995</v>
      </c>
      <c r="CH109">
        <v>0.75051698899999997</v>
      </c>
      <c r="CI109">
        <v>0.72347298000000004</v>
      </c>
      <c r="CJ109">
        <v>0.69585706300000005</v>
      </c>
      <c r="CK109">
        <v>0.66824114499999998</v>
      </c>
      <c r="CL109">
        <v>0.64062522799999999</v>
      </c>
      <c r="CM109">
        <v>0.61300931000000003</v>
      </c>
      <c r="CN109">
        <v>0.58539339300000004</v>
      </c>
      <c r="CO109">
        <v>0.55777747600000005</v>
      </c>
      <c r="CP109">
        <v>0.52844583099999998</v>
      </c>
      <c r="CQ109">
        <v>0.500686937</v>
      </c>
      <c r="CR109">
        <v>0.47292804199999999</v>
      </c>
      <c r="CS109">
        <v>0.44516914699999999</v>
      </c>
      <c r="CT109">
        <v>0.41741025300000001</v>
      </c>
      <c r="CU109">
        <v>0.39208197099999997</v>
      </c>
      <c r="CV109">
        <v>0.36446605399999998</v>
      </c>
      <c r="CW109">
        <v>0.314668328</v>
      </c>
      <c r="CX109">
        <v>0.314668328</v>
      </c>
    </row>
    <row r="110" spans="1:102" x14ac:dyDescent="0.3">
      <c r="A110" t="s">
        <v>220</v>
      </c>
      <c r="B110" t="s">
        <v>221</v>
      </c>
      <c r="C110" t="s">
        <v>222</v>
      </c>
      <c r="D110" t="s">
        <v>223</v>
      </c>
      <c r="E110" t="s">
        <v>460</v>
      </c>
      <c r="F110" t="s">
        <v>225</v>
      </c>
      <c r="G110" t="s">
        <v>226</v>
      </c>
      <c r="H110" t="s">
        <v>226</v>
      </c>
      <c r="I110" t="s">
        <v>226</v>
      </c>
      <c r="J110" t="s">
        <v>227</v>
      </c>
      <c r="K110" t="s">
        <v>228</v>
      </c>
      <c r="L110" t="s">
        <v>228</v>
      </c>
      <c r="M110" t="s">
        <v>228</v>
      </c>
      <c r="N110" t="s">
        <v>228</v>
      </c>
      <c r="O110" t="s">
        <v>229</v>
      </c>
      <c r="P110">
        <v>2</v>
      </c>
      <c r="Q110" t="s">
        <v>230</v>
      </c>
      <c r="R110" t="s">
        <v>231</v>
      </c>
      <c r="S110" t="s">
        <v>232</v>
      </c>
      <c r="T110">
        <v>0</v>
      </c>
      <c r="U110" t="s">
        <v>230</v>
      </c>
      <c r="V110" t="s">
        <v>233</v>
      </c>
      <c r="W110" t="s">
        <v>223</v>
      </c>
      <c r="X110" t="s">
        <v>234</v>
      </c>
      <c r="Y110" t="s">
        <v>461</v>
      </c>
      <c r="Z110" t="s">
        <v>232</v>
      </c>
      <c r="AA110" t="s">
        <v>236</v>
      </c>
      <c r="AB110" t="s">
        <v>237</v>
      </c>
      <c r="AC110" t="s">
        <v>236</v>
      </c>
      <c r="AD110" t="s">
        <v>238</v>
      </c>
      <c r="AE110" t="s">
        <v>239</v>
      </c>
      <c r="AF110" t="s">
        <v>239</v>
      </c>
      <c r="AG110" t="s">
        <v>239</v>
      </c>
      <c r="AH110" t="s">
        <v>239</v>
      </c>
      <c r="AI110" t="s">
        <v>240</v>
      </c>
      <c r="AJ110" t="s">
        <v>241</v>
      </c>
      <c r="AK110" t="s">
        <v>242</v>
      </c>
      <c r="AL110" t="s">
        <v>234</v>
      </c>
      <c r="AM110" t="s">
        <v>243</v>
      </c>
      <c r="AN110" t="s">
        <v>244</v>
      </c>
      <c r="AO110" t="s">
        <v>245</v>
      </c>
      <c r="BP110">
        <v>2.1331058020000002</v>
      </c>
      <c r="BQ110">
        <v>2.2544669750000002</v>
      </c>
      <c r="BR110">
        <v>2.375828147</v>
      </c>
      <c r="BS110">
        <v>2.4971893189999999</v>
      </c>
      <c r="BT110">
        <v>2.6185504919999998</v>
      </c>
      <c r="BU110">
        <v>2.7399116640000001</v>
      </c>
      <c r="BV110">
        <v>2.861272837</v>
      </c>
      <c r="BW110">
        <v>2.9826340089999999</v>
      </c>
      <c r="BX110">
        <v>3.1039951819999998</v>
      </c>
      <c r="BY110">
        <v>3.2253563540000001</v>
      </c>
      <c r="BZ110">
        <v>3.346717527</v>
      </c>
      <c r="CA110">
        <v>3.4680786989999999</v>
      </c>
      <c r="CB110">
        <v>3.5894398719999998</v>
      </c>
      <c r="CC110">
        <v>3.7108010440000001</v>
      </c>
      <c r="CD110">
        <v>3.832162216</v>
      </c>
      <c r="CE110">
        <v>3.9535233889999999</v>
      </c>
      <c r="CF110">
        <v>4.0748845610000002</v>
      </c>
      <c r="CG110">
        <v>4.1962457339999997</v>
      </c>
      <c r="CH110">
        <v>4.446482746</v>
      </c>
      <c r="CI110">
        <v>4.6967197570000003</v>
      </c>
      <c r="CJ110">
        <v>4.9469567689999998</v>
      </c>
      <c r="CK110">
        <v>5.1971937810000002</v>
      </c>
      <c r="CL110">
        <v>5.4474307929999997</v>
      </c>
      <c r="CM110">
        <v>5.6976678039999999</v>
      </c>
      <c r="CN110">
        <v>5.9479048160000003</v>
      </c>
      <c r="CO110">
        <v>6.1981418279999998</v>
      </c>
      <c r="CP110">
        <v>6.4483788400000002</v>
      </c>
      <c r="CQ110">
        <v>7.3442832769999997</v>
      </c>
      <c r="CR110">
        <v>7.453924915</v>
      </c>
      <c r="CS110">
        <v>6.7461134810000001</v>
      </c>
      <c r="CT110">
        <v>10.37334044</v>
      </c>
      <c r="CU110">
        <v>11.02093771</v>
      </c>
      <c r="CV110">
        <v>11.02093771</v>
      </c>
      <c r="CW110">
        <v>11.02093771</v>
      </c>
      <c r="CX110">
        <v>11.02093771</v>
      </c>
    </row>
    <row r="111" spans="1:102" x14ac:dyDescent="0.3">
      <c r="A111" t="s">
        <v>220</v>
      </c>
      <c r="B111" t="s">
        <v>221</v>
      </c>
      <c r="C111" t="s">
        <v>222</v>
      </c>
      <c r="D111" t="s">
        <v>223</v>
      </c>
      <c r="E111" t="s">
        <v>462</v>
      </c>
      <c r="F111" t="s">
        <v>225</v>
      </c>
      <c r="G111" t="s">
        <v>226</v>
      </c>
      <c r="H111" t="s">
        <v>226</v>
      </c>
      <c r="I111" t="s">
        <v>226</v>
      </c>
      <c r="J111" t="s">
        <v>227</v>
      </c>
      <c r="K111" t="s">
        <v>228</v>
      </c>
      <c r="L111" t="s">
        <v>228</v>
      </c>
      <c r="M111" t="s">
        <v>228</v>
      </c>
      <c r="N111" t="s">
        <v>228</v>
      </c>
      <c r="O111" t="s">
        <v>229</v>
      </c>
      <c r="P111">
        <v>2</v>
      </c>
      <c r="Q111" t="s">
        <v>230</v>
      </c>
      <c r="R111" t="s">
        <v>231</v>
      </c>
      <c r="S111" t="s">
        <v>232</v>
      </c>
      <c r="T111">
        <v>0</v>
      </c>
      <c r="U111" t="s">
        <v>230</v>
      </c>
      <c r="V111" t="s">
        <v>233</v>
      </c>
      <c r="W111" t="s">
        <v>223</v>
      </c>
      <c r="X111" t="s">
        <v>234</v>
      </c>
      <c r="Y111" t="s">
        <v>463</v>
      </c>
      <c r="Z111" t="s">
        <v>232</v>
      </c>
      <c r="AA111" t="s">
        <v>236</v>
      </c>
      <c r="AB111" t="s">
        <v>237</v>
      </c>
      <c r="AC111" t="s">
        <v>236</v>
      </c>
      <c r="AD111" t="s">
        <v>238</v>
      </c>
      <c r="AE111" t="s">
        <v>239</v>
      </c>
      <c r="AF111" t="s">
        <v>239</v>
      </c>
      <c r="AG111" t="s">
        <v>239</v>
      </c>
      <c r="AH111" t="s">
        <v>239</v>
      </c>
      <c r="AI111" t="s">
        <v>240</v>
      </c>
      <c r="AJ111" t="s">
        <v>241</v>
      </c>
      <c r="AK111" t="s">
        <v>242</v>
      </c>
      <c r="AL111" t="s">
        <v>234</v>
      </c>
      <c r="AM111" t="s">
        <v>243</v>
      </c>
      <c r="AN111" t="s">
        <v>244</v>
      </c>
      <c r="AO111" t="s">
        <v>245</v>
      </c>
      <c r="BS111">
        <v>63.421052629999998</v>
      </c>
      <c r="BT111">
        <v>68.460097719999993</v>
      </c>
      <c r="BU111">
        <v>67.899587420000003</v>
      </c>
      <c r="BV111">
        <v>67.434105020000004</v>
      </c>
      <c r="BW111">
        <v>66.928297900000004</v>
      </c>
      <c r="BX111">
        <v>65.467592760000002</v>
      </c>
      <c r="BY111">
        <v>64.943452359999995</v>
      </c>
      <c r="BZ111">
        <v>62.783354950000003</v>
      </c>
      <c r="CA111">
        <v>62.18558642</v>
      </c>
      <c r="CB111">
        <v>61.523133880000003</v>
      </c>
      <c r="CC111">
        <v>61.301870889999996</v>
      </c>
      <c r="CD111">
        <v>60.9343188</v>
      </c>
      <c r="CE111">
        <v>58.862231360000003</v>
      </c>
      <c r="CF111">
        <v>56.944786180000001</v>
      </c>
      <c r="CG111">
        <v>55.287205319999998</v>
      </c>
      <c r="CH111">
        <v>54.457612390000001</v>
      </c>
      <c r="CI111">
        <v>44.209155699999997</v>
      </c>
      <c r="CJ111">
        <v>53.274734100000003</v>
      </c>
      <c r="CK111">
        <v>54.396875000000001</v>
      </c>
      <c r="CL111">
        <v>45.217927629999998</v>
      </c>
      <c r="CM111">
        <v>49.921603619999999</v>
      </c>
      <c r="CN111">
        <v>46.117243700000003</v>
      </c>
      <c r="CO111">
        <v>34.712171050000002</v>
      </c>
      <c r="CP111">
        <v>42.911310309999998</v>
      </c>
      <c r="CQ111">
        <v>40.890083609999998</v>
      </c>
      <c r="CR111">
        <v>33.501918860000004</v>
      </c>
      <c r="CS111">
        <v>38.032351970000001</v>
      </c>
      <c r="CT111">
        <v>36.898484099999997</v>
      </c>
      <c r="CU111">
        <v>35.351657070000002</v>
      </c>
      <c r="CV111">
        <v>35.351657070000002</v>
      </c>
      <c r="CW111">
        <v>35.351657070000002</v>
      </c>
      <c r="CX111">
        <v>35.351657070000002</v>
      </c>
    </row>
    <row r="112" spans="1:102" x14ac:dyDescent="0.3">
      <c r="A112" t="s">
        <v>220</v>
      </c>
      <c r="B112" t="s">
        <v>221</v>
      </c>
      <c r="C112" t="s">
        <v>222</v>
      </c>
      <c r="D112" t="s">
        <v>223</v>
      </c>
      <c r="E112" t="s">
        <v>464</v>
      </c>
      <c r="F112" t="s">
        <v>225</v>
      </c>
      <c r="G112" t="s">
        <v>226</v>
      </c>
      <c r="H112" t="s">
        <v>226</v>
      </c>
      <c r="I112" t="s">
        <v>226</v>
      </c>
      <c r="J112" t="s">
        <v>227</v>
      </c>
      <c r="K112" t="s">
        <v>228</v>
      </c>
      <c r="L112" t="s">
        <v>228</v>
      </c>
      <c r="M112" t="s">
        <v>228</v>
      </c>
      <c r="N112" t="s">
        <v>228</v>
      </c>
      <c r="O112" t="s">
        <v>229</v>
      </c>
      <c r="P112">
        <v>2</v>
      </c>
      <c r="Q112" t="s">
        <v>230</v>
      </c>
      <c r="R112" t="s">
        <v>231</v>
      </c>
      <c r="S112" t="s">
        <v>232</v>
      </c>
      <c r="T112">
        <v>0</v>
      </c>
      <c r="U112" t="s">
        <v>230</v>
      </c>
      <c r="V112" t="s">
        <v>233</v>
      </c>
      <c r="W112" t="s">
        <v>223</v>
      </c>
      <c r="X112" t="s">
        <v>234</v>
      </c>
      <c r="Y112" t="s">
        <v>465</v>
      </c>
      <c r="Z112" t="s">
        <v>232</v>
      </c>
      <c r="AA112" t="s">
        <v>236</v>
      </c>
      <c r="AB112" t="s">
        <v>237</v>
      </c>
      <c r="AC112" t="s">
        <v>236</v>
      </c>
      <c r="AD112" t="s">
        <v>238</v>
      </c>
      <c r="AE112" t="s">
        <v>239</v>
      </c>
      <c r="AF112" t="s">
        <v>239</v>
      </c>
      <c r="AG112" t="s">
        <v>239</v>
      </c>
      <c r="AH112" t="s">
        <v>239</v>
      </c>
      <c r="AI112" t="s">
        <v>240</v>
      </c>
      <c r="AJ112" t="s">
        <v>241</v>
      </c>
      <c r="AK112" t="s">
        <v>242</v>
      </c>
      <c r="AL112" t="s">
        <v>234</v>
      </c>
      <c r="AM112" t="s">
        <v>243</v>
      </c>
      <c r="AN112" t="s">
        <v>244</v>
      </c>
      <c r="AO112" t="s">
        <v>245</v>
      </c>
      <c r="BT112">
        <v>5.1516659889999996</v>
      </c>
      <c r="BU112">
        <v>5.4262567480000001</v>
      </c>
      <c r="BV112">
        <v>5.7009490920000001</v>
      </c>
      <c r="BW112">
        <v>5.9755906430000003</v>
      </c>
      <c r="BX112">
        <v>6.2502321939999996</v>
      </c>
      <c r="BY112">
        <v>6.5248737449999998</v>
      </c>
      <c r="BZ112">
        <v>6.799515296</v>
      </c>
      <c r="CA112">
        <v>7.0741568470000002</v>
      </c>
      <c r="CB112">
        <v>7.3487983979999996</v>
      </c>
      <c r="CC112">
        <v>7.6221764890000001</v>
      </c>
      <c r="CD112">
        <v>7.8955545799999998</v>
      </c>
      <c r="CE112">
        <v>8.1599741689999998</v>
      </c>
      <c r="CF112">
        <v>8.433345911</v>
      </c>
      <c r="CG112">
        <v>8.7067176530000001</v>
      </c>
      <c r="CH112">
        <v>8.9800893950000003</v>
      </c>
      <c r="CI112">
        <v>8.9821210889999996</v>
      </c>
      <c r="CJ112">
        <v>8.9821210889999996</v>
      </c>
      <c r="CK112">
        <v>8.9821210889999996</v>
      </c>
      <c r="CL112">
        <v>8.9821210889999996</v>
      </c>
      <c r="CM112">
        <v>8.9821210889999996</v>
      </c>
      <c r="CN112">
        <v>8.9821210889999996</v>
      </c>
      <c r="CO112">
        <v>8.9821210889999996</v>
      </c>
      <c r="CP112">
        <v>8.9821210889999996</v>
      </c>
      <c r="CQ112">
        <v>8.9821210889999996</v>
      </c>
      <c r="CR112">
        <v>8.9821210889999996</v>
      </c>
      <c r="CS112">
        <v>8.9821210889999996</v>
      </c>
      <c r="CT112">
        <v>8.9821210889999996</v>
      </c>
      <c r="CU112">
        <v>8.9821210889999996</v>
      </c>
      <c r="CV112">
        <v>8.9821210889999996</v>
      </c>
      <c r="CW112">
        <v>8.9821210889999996</v>
      </c>
      <c r="CX112">
        <v>8.9821210889999996</v>
      </c>
    </row>
    <row r="113" spans="1:102" x14ac:dyDescent="0.3">
      <c r="A113" t="s">
        <v>220</v>
      </c>
      <c r="B113" t="s">
        <v>221</v>
      </c>
      <c r="C113" t="s">
        <v>222</v>
      </c>
      <c r="D113" t="s">
        <v>223</v>
      </c>
      <c r="E113" t="s">
        <v>466</v>
      </c>
      <c r="F113" t="s">
        <v>225</v>
      </c>
      <c r="G113" t="s">
        <v>226</v>
      </c>
      <c r="H113" t="s">
        <v>226</v>
      </c>
      <c r="I113" t="s">
        <v>226</v>
      </c>
      <c r="J113" t="s">
        <v>227</v>
      </c>
      <c r="K113" t="s">
        <v>228</v>
      </c>
      <c r="L113" t="s">
        <v>228</v>
      </c>
      <c r="M113" t="s">
        <v>228</v>
      </c>
      <c r="N113" t="s">
        <v>228</v>
      </c>
      <c r="O113" t="s">
        <v>229</v>
      </c>
      <c r="P113">
        <v>2</v>
      </c>
      <c r="Q113" t="s">
        <v>230</v>
      </c>
      <c r="R113" t="s">
        <v>231</v>
      </c>
      <c r="S113" t="s">
        <v>232</v>
      </c>
      <c r="T113">
        <v>0</v>
      </c>
      <c r="U113" t="s">
        <v>230</v>
      </c>
      <c r="V113" t="s">
        <v>233</v>
      </c>
      <c r="W113" t="s">
        <v>223</v>
      </c>
      <c r="X113" t="s">
        <v>234</v>
      </c>
      <c r="Y113" t="s">
        <v>467</v>
      </c>
      <c r="Z113" t="s">
        <v>232</v>
      </c>
      <c r="AA113" t="s">
        <v>236</v>
      </c>
      <c r="AB113" t="s">
        <v>237</v>
      </c>
      <c r="AC113" t="s">
        <v>236</v>
      </c>
      <c r="AD113" t="s">
        <v>238</v>
      </c>
      <c r="AE113" t="s">
        <v>239</v>
      </c>
      <c r="AF113" t="s">
        <v>239</v>
      </c>
      <c r="AG113" t="s">
        <v>239</v>
      </c>
      <c r="AH113" t="s">
        <v>239</v>
      </c>
      <c r="AI113" t="s">
        <v>240</v>
      </c>
      <c r="AJ113" t="s">
        <v>241</v>
      </c>
      <c r="AK113" t="s">
        <v>242</v>
      </c>
      <c r="AL113" t="s">
        <v>234</v>
      </c>
      <c r="AM113" t="s">
        <v>243</v>
      </c>
      <c r="AN113" t="s">
        <v>244</v>
      </c>
      <c r="AO113" t="s">
        <v>245</v>
      </c>
      <c r="BC113">
        <v>9.9084668189999991</v>
      </c>
      <c r="BD113">
        <v>9.9016018310000007</v>
      </c>
      <c r="BE113">
        <v>9.8947368420000004</v>
      </c>
      <c r="BF113">
        <v>9.8878718540000001</v>
      </c>
      <c r="BG113">
        <v>9.8810068649999998</v>
      </c>
      <c r="BH113">
        <v>9.8741418759999995</v>
      </c>
      <c r="BI113">
        <v>9.9176201370000001</v>
      </c>
      <c r="BJ113">
        <v>9.9610983980000007</v>
      </c>
      <c r="BK113">
        <v>10.00457666</v>
      </c>
      <c r="BL113">
        <v>10.04805492</v>
      </c>
      <c r="BM113">
        <v>10.091533180000001</v>
      </c>
      <c r="BN113">
        <v>10.11823036</v>
      </c>
      <c r="BO113">
        <v>10.144927539999999</v>
      </c>
      <c r="BP113">
        <v>10.17162471</v>
      </c>
      <c r="BQ113">
        <v>10.198321890000001</v>
      </c>
      <c r="BR113">
        <v>10.22501907</v>
      </c>
      <c r="BS113">
        <v>10.251716249999999</v>
      </c>
      <c r="BT113">
        <v>10.27841342</v>
      </c>
      <c r="BU113">
        <v>10.17398932</v>
      </c>
      <c r="BV113">
        <v>10.069565219999999</v>
      </c>
      <c r="BW113">
        <v>9.9651411139999997</v>
      </c>
      <c r="BX113">
        <v>9.8607170100000001</v>
      </c>
      <c r="BY113">
        <v>9.7562929060000005</v>
      </c>
      <c r="BZ113">
        <v>9.7257055680000004</v>
      </c>
      <c r="CA113">
        <v>9.6951182300000003</v>
      </c>
      <c r="CB113">
        <v>9.6645308920000002</v>
      </c>
      <c r="CC113">
        <v>9.6339435550000001</v>
      </c>
      <c r="CD113">
        <v>9.603356217</v>
      </c>
      <c r="CE113">
        <v>9.4075133490000002</v>
      </c>
      <c r="CF113">
        <v>9.2116704810000005</v>
      </c>
      <c r="CG113">
        <v>9.0158276130000008</v>
      </c>
      <c r="CH113">
        <v>8.8199847449999993</v>
      </c>
      <c r="CI113">
        <v>8.6241418759999995</v>
      </c>
      <c r="CJ113">
        <v>8.4282990079999998</v>
      </c>
      <c r="CK113">
        <v>8.23245614</v>
      </c>
      <c r="CL113">
        <v>8.0366132720000003</v>
      </c>
      <c r="CM113">
        <v>7.8407704039999997</v>
      </c>
      <c r="CN113">
        <v>7.6277650650000002</v>
      </c>
      <c r="CO113">
        <v>6.5598779560000002</v>
      </c>
      <c r="CP113">
        <v>6.4988558349999996</v>
      </c>
      <c r="CQ113">
        <v>6.506167048</v>
      </c>
      <c r="CR113">
        <v>6.4988558349999996</v>
      </c>
      <c r="CS113">
        <v>6.4988558349999996</v>
      </c>
      <c r="CT113">
        <v>6.4988558349999996</v>
      </c>
      <c r="CU113">
        <v>6.4988558349999996</v>
      </c>
      <c r="CV113">
        <v>6.4988558349999996</v>
      </c>
      <c r="CW113">
        <v>6.4988558349999996</v>
      </c>
      <c r="CX113">
        <v>6.4988558349999996</v>
      </c>
    </row>
    <row r="114" spans="1:102" x14ac:dyDescent="0.3">
      <c r="A114" t="s">
        <v>220</v>
      </c>
      <c r="B114" t="s">
        <v>221</v>
      </c>
      <c r="C114" t="s">
        <v>222</v>
      </c>
      <c r="D114" t="s">
        <v>223</v>
      </c>
      <c r="E114" t="s">
        <v>468</v>
      </c>
      <c r="F114" t="s">
        <v>225</v>
      </c>
      <c r="G114" t="s">
        <v>226</v>
      </c>
      <c r="H114" t="s">
        <v>226</v>
      </c>
      <c r="I114" t="s">
        <v>226</v>
      </c>
      <c r="J114" t="s">
        <v>227</v>
      </c>
      <c r="K114" t="s">
        <v>228</v>
      </c>
      <c r="L114" t="s">
        <v>228</v>
      </c>
      <c r="M114" t="s">
        <v>228</v>
      </c>
      <c r="N114" t="s">
        <v>228</v>
      </c>
      <c r="O114" t="s">
        <v>229</v>
      </c>
      <c r="P114">
        <v>2</v>
      </c>
      <c r="Q114" t="s">
        <v>230</v>
      </c>
      <c r="R114" t="s">
        <v>231</v>
      </c>
      <c r="S114" t="s">
        <v>232</v>
      </c>
      <c r="T114">
        <v>0</v>
      </c>
      <c r="U114" t="s">
        <v>230</v>
      </c>
      <c r="V114" t="s">
        <v>233</v>
      </c>
      <c r="W114" t="s">
        <v>223</v>
      </c>
      <c r="X114" t="s">
        <v>234</v>
      </c>
      <c r="Y114" t="s">
        <v>469</v>
      </c>
      <c r="Z114" t="s">
        <v>232</v>
      </c>
      <c r="AA114" t="s">
        <v>236</v>
      </c>
      <c r="AB114" t="s">
        <v>237</v>
      </c>
      <c r="AC114" t="s">
        <v>236</v>
      </c>
      <c r="AD114" t="s">
        <v>238</v>
      </c>
      <c r="AE114" t="s">
        <v>239</v>
      </c>
      <c r="AF114" t="s">
        <v>239</v>
      </c>
      <c r="AG114" t="s">
        <v>239</v>
      </c>
      <c r="AH114" t="s">
        <v>239</v>
      </c>
      <c r="AI114" t="s">
        <v>240</v>
      </c>
      <c r="AJ114" t="s">
        <v>241</v>
      </c>
      <c r="AK114" t="s">
        <v>242</v>
      </c>
      <c r="AL114" t="s">
        <v>234</v>
      </c>
      <c r="AM114" t="s">
        <v>243</v>
      </c>
      <c r="AN114" t="s">
        <v>244</v>
      </c>
      <c r="AO114" t="s">
        <v>245</v>
      </c>
      <c r="BO114">
        <v>0.105078809</v>
      </c>
      <c r="BP114">
        <v>0.119008487</v>
      </c>
      <c r="BQ114">
        <v>0.132938165</v>
      </c>
      <c r="BR114">
        <v>0.146867843</v>
      </c>
      <c r="BS114">
        <v>0.160797521</v>
      </c>
      <c r="BT114">
        <v>0.174727199</v>
      </c>
      <c r="BU114">
        <v>0.188656877</v>
      </c>
      <c r="BV114">
        <v>0.202586555</v>
      </c>
      <c r="BW114">
        <v>0.216516233</v>
      </c>
      <c r="BX114">
        <v>0.230445911</v>
      </c>
      <c r="BY114">
        <v>0.244375589</v>
      </c>
      <c r="BZ114">
        <v>0.25830526700000001</v>
      </c>
      <c r="CA114">
        <v>0.27223494500000001</v>
      </c>
      <c r="CB114">
        <v>0.28616462399999998</v>
      </c>
      <c r="CC114">
        <v>0.28840630499999997</v>
      </c>
      <c r="CD114">
        <v>0.29064798600000002</v>
      </c>
      <c r="CE114">
        <v>0.29288966700000002</v>
      </c>
      <c r="CF114">
        <v>0.29513134899999999</v>
      </c>
      <c r="CG114">
        <v>0.29737302999999998</v>
      </c>
      <c r="CH114">
        <v>0.29737302999999998</v>
      </c>
      <c r="CI114">
        <v>0.29737302999999998</v>
      </c>
      <c r="CJ114">
        <v>0.29737302999999998</v>
      </c>
      <c r="CK114">
        <v>0.29737302999999998</v>
      </c>
      <c r="CL114">
        <v>0.29737302999999998</v>
      </c>
      <c r="CM114">
        <v>0.29737302999999998</v>
      </c>
      <c r="CN114">
        <v>0.29737302999999998</v>
      </c>
      <c r="CO114">
        <v>0.29737302999999998</v>
      </c>
      <c r="CP114">
        <v>0.29737302999999998</v>
      </c>
      <c r="CQ114">
        <v>0.29737302999999998</v>
      </c>
      <c r="CR114">
        <v>0.29737302999999998</v>
      </c>
      <c r="CS114">
        <v>0.29737302999999998</v>
      </c>
      <c r="CT114">
        <v>0.29737302999999998</v>
      </c>
      <c r="CU114">
        <v>0.29737302999999998</v>
      </c>
      <c r="CV114">
        <v>0.29737302999999998</v>
      </c>
      <c r="CW114">
        <v>0.29737302999999998</v>
      </c>
      <c r="CX114">
        <v>0.29737302999999998</v>
      </c>
    </row>
    <row r="115" spans="1:102" x14ac:dyDescent="0.3">
      <c r="A115" t="s">
        <v>220</v>
      </c>
      <c r="B115" t="s">
        <v>221</v>
      </c>
      <c r="C115" t="s">
        <v>222</v>
      </c>
      <c r="D115" t="s">
        <v>223</v>
      </c>
      <c r="E115" t="s">
        <v>470</v>
      </c>
      <c r="F115" t="s">
        <v>225</v>
      </c>
      <c r="G115" t="s">
        <v>226</v>
      </c>
      <c r="H115" t="s">
        <v>226</v>
      </c>
      <c r="I115" t="s">
        <v>226</v>
      </c>
      <c r="J115" t="s">
        <v>227</v>
      </c>
      <c r="K115" t="s">
        <v>228</v>
      </c>
      <c r="L115" t="s">
        <v>228</v>
      </c>
      <c r="M115" t="s">
        <v>228</v>
      </c>
      <c r="N115" t="s">
        <v>228</v>
      </c>
      <c r="O115" t="s">
        <v>229</v>
      </c>
      <c r="P115">
        <v>2</v>
      </c>
      <c r="Q115" t="s">
        <v>230</v>
      </c>
      <c r="R115" t="s">
        <v>231</v>
      </c>
      <c r="S115" t="s">
        <v>232</v>
      </c>
      <c r="T115">
        <v>0</v>
      </c>
      <c r="U115" t="s">
        <v>230</v>
      </c>
      <c r="V115" t="s">
        <v>233</v>
      </c>
      <c r="W115" t="s">
        <v>223</v>
      </c>
      <c r="X115" t="s">
        <v>234</v>
      </c>
      <c r="Y115" t="s">
        <v>471</v>
      </c>
      <c r="Z115" t="s">
        <v>232</v>
      </c>
      <c r="AA115" t="s">
        <v>236</v>
      </c>
      <c r="AB115" t="s">
        <v>237</v>
      </c>
      <c r="AC115" t="s">
        <v>236</v>
      </c>
      <c r="AD115" t="s">
        <v>238</v>
      </c>
      <c r="AE115" t="s">
        <v>239</v>
      </c>
      <c r="AF115" t="s">
        <v>239</v>
      </c>
      <c r="AG115" t="s">
        <v>239</v>
      </c>
      <c r="AH115" t="s">
        <v>239</v>
      </c>
      <c r="AI115" t="s">
        <v>240</v>
      </c>
      <c r="AJ115" t="s">
        <v>241</v>
      </c>
      <c r="AK115" t="s">
        <v>242</v>
      </c>
      <c r="AL115" t="s">
        <v>234</v>
      </c>
      <c r="AM115" t="s">
        <v>243</v>
      </c>
      <c r="AN115" t="s">
        <v>244</v>
      </c>
      <c r="AO115" t="s">
        <v>245</v>
      </c>
      <c r="CB115">
        <v>4.9668874169999997</v>
      </c>
      <c r="CC115">
        <v>5.6410247470000003</v>
      </c>
      <c r="CD115">
        <v>6.3151620770000001</v>
      </c>
      <c r="CE115">
        <v>6.9892994079999999</v>
      </c>
      <c r="CF115">
        <v>7.6634367379999997</v>
      </c>
      <c r="CG115">
        <v>8.3375740680000003</v>
      </c>
      <c r="CH115">
        <v>9.1611437529999993</v>
      </c>
      <c r="CI115">
        <v>9.9847134390000001</v>
      </c>
      <c r="CJ115">
        <v>10.80828313</v>
      </c>
      <c r="CK115">
        <v>11.63185281</v>
      </c>
      <c r="CL115">
        <v>12.455422499999999</v>
      </c>
      <c r="CM115">
        <v>13.278992179999999</v>
      </c>
      <c r="CN115">
        <v>14.102561870000001</v>
      </c>
      <c r="CO115">
        <v>14.926131549999999</v>
      </c>
      <c r="CP115">
        <v>15.74970124</v>
      </c>
      <c r="CQ115">
        <v>16.57327093</v>
      </c>
      <c r="CR115">
        <v>17.396840610000002</v>
      </c>
      <c r="CS115">
        <v>18.220410300000001</v>
      </c>
      <c r="CT115">
        <v>19.04397998</v>
      </c>
      <c r="CU115">
        <v>20.1986755</v>
      </c>
      <c r="CV115">
        <v>20.1986755</v>
      </c>
      <c r="CW115">
        <v>20.1986755</v>
      </c>
      <c r="CX115">
        <v>20.1986755</v>
      </c>
    </row>
    <row r="116" spans="1:102" x14ac:dyDescent="0.3">
      <c r="A116" t="s">
        <v>220</v>
      </c>
      <c r="B116" t="s">
        <v>221</v>
      </c>
      <c r="C116" t="s">
        <v>222</v>
      </c>
      <c r="D116" t="s">
        <v>223</v>
      </c>
      <c r="E116" t="s">
        <v>472</v>
      </c>
      <c r="F116" t="s">
        <v>225</v>
      </c>
      <c r="G116" t="s">
        <v>226</v>
      </c>
      <c r="H116" t="s">
        <v>226</v>
      </c>
      <c r="I116" t="s">
        <v>226</v>
      </c>
      <c r="J116" t="s">
        <v>227</v>
      </c>
      <c r="K116" t="s">
        <v>228</v>
      </c>
      <c r="L116" t="s">
        <v>228</v>
      </c>
      <c r="M116" t="s">
        <v>228</v>
      </c>
      <c r="N116" t="s">
        <v>228</v>
      </c>
      <c r="O116" t="s">
        <v>229</v>
      </c>
      <c r="P116">
        <v>2</v>
      </c>
      <c r="Q116" t="s">
        <v>230</v>
      </c>
      <c r="R116" t="s">
        <v>231</v>
      </c>
      <c r="S116" t="s">
        <v>232</v>
      </c>
      <c r="T116">
        <v>0</v>
      </c>
      <c r="U116" t="s">
        <v>230</v>
      </c>
      <c r="V116" t="s">
        <v>233</v>
      </c>
      <c r="W116" t="s">
        <v>223</v>
      </c>
      <c r="X116" t="s">
        <v>234</v>
      </c>
      <c r="Y116" t="s">
        <v>473</v>
      </c>
      <c r="Z116" t="s">
        <v>232</v>
      </c>
      <c r="AA116" t="s">
        <v>236</v>
      </c>
      <c r="AB116" t="s">
        <v>237</v>
      </c>
      <c r="AC116" t="s">
        <v>236</v>
      </c>
      <c r="AD116" t="s">
        <v>238</v>
      </c>
      <c r="AE116" t="s">
        <v>239</v>
      </c>
      <c r="AF116" t="s">
        <v>239</v>
      </c>
      <c r="AG116" t="s">
        <v>239</v>
      </c>
      <c r="AH116" t="s">
        <v>239</v>
      </c>
      <c r="AI116" t="s">
        <v>240</v>
      </c>
      <c r="AJ116" t="s">
        <v>241</v>
      </c>
      <c r="AK116" t="s">
        <v>242</v>
      </c>
      <c r="AL116" t="s">
        <v>234</v>
      </c>
      <c r="AM116" t="s">
        <v>243</v>
      </c>
      <c r="AN116" t="s">
        <v>244</v>
      </c>
      <c r="AO116" t="s">
        <v>245</v>
      </c>
      <c r="BH116">
        <v>5.1491819059999999</v>
      </c>
      <c r="BI116">
        <v>5.1856180390000004</v>
      </c>
      <c r="BJ116">
        <v>5.2220541730000001</v>
      </c>
      <c r="BK116">
        <v>5.2584903069999998</v>
      </c>
      <c r="BL116">
        <v>5.2949264400000002</v>
      </c>
      <c r="BM116">
        <v>5.3313625739999999</v>
      </c>
      <c r="BN116">
        <v>5.3677987079999996</v>
      </c>
      <c r="BO116">
        <v>5.4042348410000001</v>
      </c>
      <c r="BP116">
        <v>5.4406709749999997</v>
      </c>
      <c r="BQ116">
        <v>5.4771071090000003</v>
      </c>
      <c r="BR116">
        <v>5.5135432419999999</v>
      </c>
      <c r="BS116">
        <v>5.5499793759999996</v>
      </c>
      <c r="BT116">
        <v>5.5864155090000001</v>
      </c>
      <c r="BU116">
        <v>5.6228516429999997</v>
      </c>
      <c r="BV116">
        <v>5.6592877770000003</v>
      </c>
      <c r="BW116">
        <v>5.4943564619999998</v>
      </c>
      <c r="BX116">
        <v>5.3294251470000003</v>
      </c>
      <c r="BY116">
        <v>5.1644938319999998</v>
      </c>
      <c r="BZ116">
        <v>4.9995625160000001</v>
      </c>
      <c r="CA116">
        <v>4.8346312009999997</v>
      </c>
      <c r="CB116">
        <v>4.6696998860000001</v>
      </c>
      <c r="CC116">
        <v>4.5047685709999996</v>
      </c>
      <c r="CD116">
        <v>4.339837256</v>
      </c>
      <c r="CE116">
        <v>4.1749059409999996</v>
      </c>
      <c r="CF116">
        <v>4.009974626</v>
      </c>
      <c r="CG116">
        <v>3.845043311</v>
      </c>
      <c r="CH116">
        <v>3.6790182869999999</v>
      </c>
      <c r="CI116">
        <v>3.5129932629999998</v>
      </c>
      <c r="CJ116">
        <v>3.5779595770000001</v>
      </c>
      <c r="CK116">
        <v>3.6429258899999999</v>
      </c>
      <c r="CL116">
        <v>4.0011763450000002</v>
      </c>
      <c r="CM116">
        <v>4.3594267990000004</v>
      </c>
      <c r="CN116">
        <v>4.7176772539999998</v>
      </c>
      <c r="CO116">
        <v>5.075927708</v>
      </c>
      <c r="CP116">
        <v>5.4341781630000003</v>
      </c>
      <c r="CQ116">
        <v>5.7924286169999997</v>
      </c>
      <c r="CR116">
        <v>6.150679072</v>
      </c>
      <c r="CS116">
        <v>6.5089295260000002</v>
      </c>
      <c r="CT116">
        <v>6.8671799809999996</v>
      </c>
      <c r="CU116">
        <v>7.4013474500000003</v>
      </c>
      <c r="CV116">
        <v>7.4302213669999997</v>
      </c>
      <c r="CW116">
        <v>7.6082771899999999</v>
      </c>
      <c r="CX116">
        <v>8.0510105870000004</v>
      </c>
    </row>
    <row r="117" spans="1:102" x14ac:dyDescent="0.3">
      <c r="A117" t="s">
        <v>220</v>
      </c>
      <c r="B117" t="s">
        <v>221</v>
      </c>
      <c r="C117" t="s">
        <v>222</v>
      </c>
      <c r="D117" t="s">
        <v>223</v>
      </c>
      <c r="E117" t="s">
        <v>474</v>
      </c>
      <c r="F117" t="s">
        <v>225</v>
      </c>
      <c r="G117" t="s">
        <v>226</v>
      </c>
      <c r="H117" t="s">
        <v>226</v>
      </c>
      <c r="I117" t="s">
        <v>226</v>
      </c>
      <c r="J117" t="s">
        <v>227</v>
      </c>
      <c r="K117" t="s">
        <v>228</v>
      </c>
      <c r="L117" t="s">
        <v>228</v>
      </c>
      <c r="M117" t="s">
        <v>228</v>
      </c>
      <c r="N117" t="s">
        <v>228</v>
      </c>
      <c r="O117" t="s">
        <v>229</v>
      </c>
      <c r="P117">
        <v>2</v>
      </c>
      <c r="Q117" t="s">
        <v>230</v>
      </c>
      <c r="R117" t="s">
        <v>231</v>
      </c>
      <c r="S117" t="s">
        <v>232</v>
      </c>
      <c r="T117">
        <v>0</v>
      </c>
      <c r="U117" t="s">
        <v>230</v>
      </c>
      <c r="V117" t="s">
        <v>233</v>
      </c>
      <c r="W117" t="s">
        <v>223</v>
      </c>
      <c r="X117" t="s">
        <v>234</v>
      </c>
      <c r="Y117" t="s">
        <v>475</v>
      </c>
      <c r="Z117" t="s">
        <v>232</v>
      </c>
      <c r="AA117" t="s">
        <v>236</v>
      </c>
      <c r="AB117" t="s">
        <v>237</v>
      </c>
      <c r="AC117" t="s">
        <v>236</v>
      </c>
      <c r="AD117" t="s">
        <v>238</v>
      </c>
      <c r="AE117" t="s">
        <v>239</v>
      </c>
      <c r="AF117" t="s">
        <v>239</v>
      </c>
      <c r="AG117" t="s">
        <v>239</v>
      </c>
      <c r="AH117" t="s">
        <v>239</v>
      </c>
      <c r="AI117" t="s">
        <v>240</v>
      </c>
      <c r="AJ117" t="s">
        <v>241</v>
      </c>
      <c r="AK117" t="s">
        <v>242</v>
      </c>
      <c r="AL117" t="s">
        <v>234</v>
      </c>
      <c r="AM117" t="s">
        <v>243</v>
      </c>
      <c r="AN117" t="s">
        <v>244</v>
      </c>
      <c r="AO117" t="s">
        <v>245</v>
      </c>
      <c r="BU117">
        <v>23.060076049999999</v>
      </c>
      <c r="BV117">
        <v>21.960456270000002</v>
      </c>
      <c r="BW117">
        <v>20.860836500000001</v>
      </c>
      <c r="BX117">
        <v>19.907604559999999</v>
      </c>
      <c r="BY117">
        <v>37.902980540000001</v>
      </c>
      <c r="BZ117">
        <v>36.125608270000001</v>
      </c>
      <c r="CA117">
        <v>34.348236010000001</v>
      </c>
      <c r="CB117">
        <v>32.570863750000001</v>
      </c>
      <c r="CC117">
        <v>30.79349148</v>
      </c>
      <c r="CD117">
        <v>29.01611922</v>
      </c>
      <c r="CE117">
        <v>29.203163020000002</v>
      </c>
      <c r="CF117">
        <v>29.390206809999999</v>
      </c>
      <c r="CG117">
        <v>29.57725061</v>
      </c>
      <c r="CH117">
        <v>29.764294400000001</v>
      </c>
      <c r="CI117">
        <v>29.951338199999999</v>
      </c>
      <c r="CJ117">
        <v>30.231143549999999</v>
      </c>
      <c r="CK117">
        <v>29.607664230000001</v>
      </c>
      <c r="CL117">
        <v>29.66849148</v>
      </c>
      <c r="CM117">
        <v>28.695255469999999</v>
      </c>
      <c r="CN117">
        <v>27.986618</v>
      </c>
      <c r="CO117">
        <v>25.095802920000001</v>
      </c>
      <c r="CP117">
        <v>25.091240880000001</v>
      </c>
      <c r="CQ117">
        <v>24.382603410000002</v>
      </c>
      <c r="CR117">
        <v>24.860097320000001</v>
      </c>
      <c r="CS117">
        <v>24.787104620000001</v>
      </c>
      <c r="CT117">
        <v>24.178832119999999</v>
      </c>
      <c r="CU117">
        <v>22.901459849999998</v>
      </c>
      <c r="CV117">
        <v>20.772506079999999</v>
      </c>
      <c r="CW117">
        <v>20.513990270000001</v>
      </c>
      <c r="CX117">
        <v>21.973844280000002</v>
      </c>
    </row>
    <row r="118" spans="1:102" x14ac:dyDescent="0.3">
      <c r="A118" t="s">
        <v>220</v>
      </c>
      <c r="B118" t="s">
        <v>221</v>
      </c>
      <c r="C118" t="s">
        <v>222</v>
      </c>
      <c r="D118" t="s">
        <v>223</v>
      </c>
      <c r="E118" t="s">
        <v>476</v>
      </c>
      <c r="F118" t="s">
        <v>225</v>
      </c>
      <c r="G118" t="s">
        <v>226</v>
      </c>
      <c r="H118" t="s">
        <v>226</v>
      </c>
      <c r="I118" t="s">
        <v>226</v>
      </c>
      <c r="J118" t="s">
        <v>227</v>
      </c>
      <c r="K118" t="s">
        <v>228</v>
      </c>
      <c r="L118" t="s">
        <v>228</v>
      </c>
      <c r="M118" t="s">
        <v>228</v>
      </c>
      <c r="N118" t="s">
        <v>228</v>
      </c>
      <c r="O118" t="s">
        <v>229</v>
      </c>
      <c r="P118">
        <v>2</v>
      </c>
      <c r="Q118" t="s">
        <v>230</v>
      </c>
      <c r="R118" t="s">
        <v>231</v>
      </c>
      <c r="S118" t="s">
        <v>232</v>
      </c>
      <c r="T118">
        <v>0</v>
      </c>
      <c r="U118" t="s">
        <v>230</v>
      </c>
      <c r="V118" t="s">
        <v>233</v>
      </c>
      <c r="W118" t="s">
        <v>223</v>
      </c>
      <c r="X118" t="s">
        <v>234</v>
      </c>
      <c r="Y118" t="s">
        <v>477</v>
      </c>
      <c r="Z118" t="s">
        <v>232</v>
      </c>
      <c r="AA118" t="s">
        <v>236</v>
      </c>
      <c r="AB118" t="s">
        <v>237</v>
      </c>
      <c r="AC118" t="s">
        <v>236</v>
      </c>
      <c r="AD118" t="s">
        <v>238</v>
      </c>
      <c r="AE118" t="s">
        <v>239</v>
      </c>
      <c r="AF118" t="s">
        <v>239</v>
      </c>
      <c r="AG118" t="s">
        <v>239</v>
      </c>
      <c r="AH118" t="s">
        <v>239</v>
      </c>
      <c r="AI118" t="s">
        <v>240</v>
      </c>
      <c r="AJ118" t="s">
        <v>241</v>
      </c>
      <c r="AK118" t="s">
        <v>242</v>
      </c>
      <c r="AL118" t="s">
        <v>234</v>
      </c>
      <c r="AM118" t="s">
        <v>243</v>
      </c>
      <c r="AN118" t="s">
        <v>244</v>
      </c>
      <c r="AO118" t="s">
        <v>245</v>
      </c>
      <c r="AS118">
        <v>1.7379679139999999</v>
      </c>
      <c r="AT118">
        <v>1.9679144390000001</v>
      </c>
      <c r="AU118">
        <v>2.1978609630000001</v>
      </c>
      <c r="AV118">
        <v>2.4278074869999999</v>
      </c>
      <c r="AW118">
        <v>2.6577540110000002</v>
      </c>
      <c r="AX118">
        <v>2.887700535</v>
      </c>
      <c r="AY118">
        <v>3.1176470589999998</v>
      </c>
      <c r="AZ118">
        <v>3.3475935830000001</v>
      </c>
      <c r="BA118">
        <v>3.5775401069999999</v>
      </c>
      <c r="BB118">
        <v>3.8074866310000002</v>
      </c>
      <c r="BC118">
        <v>4.0374331550000004</v>
      </c>
      <c r="BD118">
        <v>4.2673796790000003</v>
      </c>
      <c r="BE118">
        <v>4.4973262030000001</v>
      </c>
      <c r="BF118">
        <v>4.7272727269999999</v>
      </c>
      <c r="BG118">
        <v>4.9572192509999997</v>
      </c>
      <c r="BH118">
        <v>5.1871657750000004</v>
      </c>
      <c r="BI118">
        <v>5.4171123000000003</v>
      </c>
      <c r="BJ118">
        <v>5.6470588240000001</v>
      </c>
      <c r="BK118">
        <v>5.877005348</v>
      </c>
      <c r="BL118">
        <v>6.1069518719999998</v>
      </c>
      <c r="BM118">
        <v>6.3368983959999996</v>
      </c>
      <c r="BN118">
        <v>6.5668449200000003</v>
      </c>
      <c r="BO118">
        <v>6.7967914440000001</v>
      </c>
      <c r="BP118">
        <v>7.0267379679999999</v>
      </c>
      <c r="BQ118">
        <v>7.2566844919999998</v>
      </c>
      <c r="BR118">
        <v>7.4866310159999996</v>
      </c>
      <c r="BS118">
        <v>7.7165775400000003</v>
      </c>
      <c r="BT118">
        <v>7.9465240640000001</v>
      </c>
      <c r="BU118">
        <v>8.1764705880000008</v>
      </c>
      <c r="BV118">
        <v>8.4064171119999997</v>
      </c>
      <c r="BW118">
        <v>8.6363636360000005</v>
      </c>
      <c r="BX118">
        <v>8.8663101599999994</v>
      </c>
      <c r="BY118">
        <v>9.0962566850000002</v>
      </c>
      <c r="BZ118">
        <v>9.3262032090000009</v>
      </c>
      <c r="CA118">
        <v>9.5561497329999998</v>
      </c>
      <c r="CB118">
        <v>9.7860962570000005</v>
      </c>
      <c r="CC118">
        <v>9.8783899399999999</v>
      </c>
      <c r="CD118">
        <v>9.9706836239999994</v>
      </c>
      <c r="CE118">
        <v>10.062977310000001</v>
      </c>
      <c r="CF118">
        <v>10.15527099</v>
      </c>
      <c r="CG118">
        <v>10.24756468</v>
      </c>
      <c r="CH118">
        <v>10.339858359999999</v>
      </c>
      <c r="CI118">
        <v>10.43215204</v>
      </c>
      <c r="CJ118">
        <v>10.52444573</v>
      </c>
      <c r="CK118">
        <v>10.616739409999999</v>
      </c>
      <c r="CL118">
        <v>10.70903309</v>
      </c>
      <c r="CM118">
        <v>10.80132678</v>
      </c>
      <c r="CN118">
        <v>10.893620459999999</v>
      </c>
      <c r="CO118">
        <v>10.98591414</v>
      </c>
      <c r="CP118">
        <v>11.07820783</v>
      </c>
      <c r="CQ118">
        <v>11.170501509999999</v>
      </c>
      <c r="CR118">
        <v>11.262795199999999</v>
      </c>
      <c r="CS118">
        <v>11.35508888</v>
      </c>
      <c r="CT118">
        <v>11.447382559999999</v>
      </c>
      <c r="CU118">
        <v>11.539676249999999</v>
      </c>
      <c r="CV118">
        <v>11.63196993</v>
      </c>
      <c r="CW118">
        <v>11.81576149</v>
      </c>
      <c r="CX118">
        <v>12.05201437</v>
      </c>
    </row>
    <row r="119" spans="1:102" x14ac:dyDescent="0.3">
      <c r="A119" t="s">
        <v>220</v>
      </c>
      <c r="B119" t="s">
        <v>221</v>
      </c>
      <c r="C119" t="s">
        <v>222</v>
      </c>
      <c r="D119" t="s">
        <v>223</v>
      </c>
      <c r="E119" t="s">
        <v>478</v>
      </c>
      <c r="F119" t="s">
        <v>225</v>
      </c>
      <c r="G119" t="s">
        <v>226</v>
      </c>
      <c r="H119" t="s">
        <v>226</v>
      </c>
      <c r="I119" t="s">
        <v>226</v>
      </c>
      <c r="J119" t="s">
        <v>227</v>
      </c>
      <c r="K119" t="s">
        <v>228</v>
      </c>
      <c r="L119" t="s">
        <v>228</v>
      </c>
      <c r="M119" t="s">
        <v>228</v>
      </c>
      <c r="N119" t="s">
        <v>228</v>
      </c>
      <c r="O119" t="s">
        <v>229</v>
      </c>
      <c r="P119">
        <v>2</v>
      </c>
      <c r="Q119" t="s">
        <v>230</v>
      </c>
      <c r="R119" t="s">
        <v>231</v>
      </c>
      <c r="S119" t="s">
        <v>232</v>
      </c>
      <c r="T119">
        <v>0</v>
      </c>
      <c r="U119" t="s">
        <v>230</v>
      </c>
      <c r="V119" t="s">
        <v>233</v>
      </c>
      <c r="W119" t="s">
        <v>223</v>
      </c>
      <c r="X119" t="s">
        <v>234</v>
      </c>
      <c r="Y119" t="s">
        <v>479</v>
      </c>
      <c r="Z119" t="s">
        <v>232</v>
      </c>
      <c r="AA119" t="s">
        <v>236</v>
      </c>
      <c r="AB119" t="s">
        <v>237</v>
      </c>
      <c r="AC119" t="s">
        <v>236</v>
      </c>
      <c r="AD119" t="s">
        <v>238</v>
      </c>
      <c r="AE119" t="s">
        <v>239</v>
      </c>
      <c r="AF119" t="s">
        <v>239</v>
      </c>
      <c r="AG119" t="s">
        <v>239</v>
      </c>
      <c r="AH119" t="s">
        <v>239</v>
      </c>
      <c r="AI119" t="s">
        <v>240</v>
      </c>
      <c r="AJ119" t="s">
        <v>241</v>
      </c>
      <c r="AK119" t="s">
        <v>242</v>
      </c>
      <c r="AL119" t="s">
        <v>234</v>
      </c>
      <c r="AM119" t="s">
        <v>243</v>
      </c>
      <c r="AN119" t="s">
        <v>244</v>
      </c>
      <c r="AO119" t="s">
        <v>245</v>
      </c>
      <c r="BU119">
        <v>7.4588661040000002</v>
      </c>
      <c r="BV119">
        <v>8.4882187370000004</v>
      </c>
      <c r="BW119">
        <v>7.9815842379999999</v>
      </c>
      <c r="BX119">
        <v>8.9104141539999997</v>
      </c>
      <c r="BY119">
        <v>8.8171290710000001</v>
      </c>
      <c r="BZ119">
        <v>8.7745074390000006</v>
      </c>
      <c r="CA119">
        <v>8.7318858059999993</v>
      </c>
      <c r="CB119">
        <v>8.7089827100000008</v>
      </c>
      <c r="CC119">
        <v>8.6586248490000006</v>
      </c>
      <c r="CD119">
        <v>8.3770808199999998</v>
      </c>
      <c r="CE119">
        <v>8.0955367910000007</v>
      </c>
      <c r="CF119">
        <v>7.8139927619999998</v>
      </c>
      <c r="CG119">
        <v>7.5324487329999998</v>
      </c>
      <c r="CH119">
        <v>7.0593687169999999</v>
      </c>
      <c r="CI119">
        <v>6.586288701</v>
      </c>
      <c r="CJ119">
        <v>6.113208685</v>
      </c>
      <c r="CK119">
        <v>5.6401286690000001</v>
      </c>
      <c r="CL119">
        <v>5.2975472459999997</v>
      </c>
      <c r="CM119">
        <v>5.3136308809999999</v>
      </c>
      <c r="CN119">
        <v>6.3803779650000001</v>
      </c>
      <c r="CO119">
        <v>7.6992360270000004</v>
      </c>
      <c r="CP119">
        <v>7.4238037800000001</v>
      </c>
      <c r="CQ119">
        <v>3.7072778450000001</v>
      </c>
      <c r="CR119">
        <v>4.2714113390000001</v>
      </c>
      <c r="CS119">
        <v>4.8486696299999998</v>
      </c>
      <c r="CT119">
        <v>4.9577804580000002</v>
      </c>
      <c r="CU119">
        <v>4.2460796140000001</v>
      </c>
      <c r="CV119">
        <v>3.3695215119999999</v>
      </c>
      <c r="CW119">
        <v>4.4471250500000004</v>
      </c>
      <c r="CX119">
        <v>4.6722959389999996</v>
      </c>
    </row>
    <row r="120" spans="1:102" x14ac:dyDescent="0.3">
      <c r="A120" t="s">
        <v>220</v>
      </c>
      <c r="B120" t="s">
        <v>221</v>
      </c>
      <c r="C120" t="s">
        <v>222</v>
      </c>
      <c r="D120" t="s">
        <v>223</v>
      </c>
      <c r="E120" t="s">
        <v>480</v>
      </c>
      <c r="F120" t="s">
        <v>225</v>
      </c>
      <c r="G120" t="s">
        <v>226</v>
      </c>
      <c r="H120" t="s">
        <v>226</v>
      </c>
      <c r="I120" t="s">
        <v>226</v>
      </c>
      <c r="J120" t="s">
        <v>227</v>
      </c>
      <c r="K120" t="s">
        <v>228</v>
      </c>
      <c r="L120" t="s">
        <v>228</v>
      </c>
      <c r="M120" t="s">
        <v>228</v>
      </c>
      <c r="N120" t="s">
        <v>228</v>
      </c>
      <c r="O120" t="s">
        <v>229</v>
      </c>
      <c r="P120">
        <v>2</v>
      </c>
      <c r="Q120" t="s">
        <v>230</v>
      </c>
      <c r="R120" t="s">
        <v>231</v>
      </c>
      <c r="S120" t="s">
        <v>232</v>
      </c>
      <c r="T120">
        <v>0</v>
      </c>
      <c r="U120" t="s">
        <v>230</v>
      </c>
      <c r="V120" t="s">
        <v>233</v>
      </c>
      <c r="W120" t="s">
        <v>223</v>
      </c>
      <c r="X120" t="s">
        <v>234</v>
      </c>
      <c r="Y120" t="s">
        <v>481</v>
      </c>
      <c r="Z120" t="s">
        <v>232</v>
      </c>
      <c r="AA120" t="s">
        <v>236</v>
      </c>
      <c r="AB120" t="s">
        <v>237</v>
      </c>
      <c r="AC120" t="s">
        <v>236</v>
      </c>
      <c r="AD120" t="s">
        <v>238</v>
      </c>
      <c r="AE120" t="s">
        <v>239</v>
      </c>
      <c r="AF120" t="s">
        <v>239</v>
      </c>
      <c r="AG120" t="s">
        <v>239</v>
      </c>
      <c r="AH120" t="s">
        <v>239</v>
      </c>
      <c r="AI120" t="s">
        <v>240</v>
      </c>
      <c r="AJ120" t="s">
        <v>241</v>
      </c>
      <c r="AK120" t="s">
        <v>242</v>
      </c>
      <c r="AL120" t="s">
        <v>234</v>
      </c>
      <c r="AM120" t="s">
        <v>243</v>
      </c>
      <c r="AN120" t="s">
        <v>244</v>
      </c>
      <c r="AO120" t="s">
        <v>245</v>
      </c>
      <c r="BS120">
        <v>0.14188034199999999</v>
      </c>
      <c r="BT120">
        <v>0.41264957299999999</v>
      </c>
      <c r="BU120">
        <v>0.68341880300000002</v>
      </c>
      <c r="BV120">
        <v>0.95418803399999996</v>
      </c>
      <c r="BW120">
        <v>1.224957265</v>
      </c>
      <c r="BX120">
        <v>1.4957264960000001</v>
      </c>
      <c r="BY120">
        <v>1.4957264960000001</v>
      </c>
      <c r="BZ120">
        <v>1.4957264960000001</v>
      </c>
      <c r="CA120">
        <v>1.4957264960000001</v>
      </c>
      <c r="CB120">
        <v>1.4957264960000001</v>
      </c>
      <c r="CC120">
        <v>1.4957264960000001</v>
      </c>
      <c r="CD120">
        <v>1.4957264960000001</v>
      </c>
      <c r="CE120">
        <v>1.4957264960000001</v>
      </c>
      <c r="CF120">
        <v>1.4957264960000001</v>
      </c>
      <c r="CG120">
        <v>1.4957264960000001</v>
      </c>
      <c r="CH120">
        <v>1.4957264960000001</v>
      </c>
      <c r="CI120">
        <v>1.4957264960000001</v>
      </c>
      <c r="CJ120">
        <v>1.4957264960000001</v>
      </c>
      <c r="CK120">
        <v>1.4957264960000001</v>
      </c>
      <c r="CL120">
        <v>1.4957264960000001</v>
      </c>
      <c r="CM120">
        <v>1.4957264960000001</v>
      </c>
      <c r="CN120">
        <v>1.4957264960000001</v>
      </c>
      <c r="CO120">
        <v>1.4957264960000001</v>
      </c>
      <c r="CP120">
        <v>1.4957264960000001</v>
      </c>
      <c r="CQ120">
        <v>1.4957264960000001</v>
      </c>
      <c r="CR120">
        <v>1.4957264960000001</v>
      </c>
      <c r="CS120">
        <v>1.4957264960000001</v>
      </c>
      <c r="CT120">
        <v>1.4957264960000001</v>
      </c>
      <c r="CU120">
        <v>1.4957264960000001</v>
      </c>
      <c r="CV120">
        <v>1.4957264960000001</v>
      </c>
      <c r="CW120">
        <v>1.4957264960000001</v>
      </c>
      <c r="CX120">
        <v>1.4957264960000001</v>
      </c>
    </row>
    <row r="121" spans="1:102" x14ac:dyDescent="0.3">
      <c r="A121" t="s">
        <v>220</v>
      </c>
      <c r="B121" t="s">
        <v>221</v>
      </c>
      <c r="C121" t="s">
        <v>222</v>
      </c>
      <c r="D121" t="s">
        <v>223</v>
      </c>
      <c r="E121" t="s">
        <v>482</v>
      </c>
      <c r="F121" t="s">
        <v>225</v>
      </c>
      <c r="G121" t="s">
        <v>226</v>
      </c>
      <c r="H121" t="s">
        <v>226</v>
      </c>
      <c r="I121" t="s">
        <v>226</v>
      </c>
      <c r="J121" t="s">
        <v>227</v>
      </c>
      <c r="K121" t="s">
        <v>228</v>
      </c>
      <c r="L121" t="s">
        <v>228</v>
      </c>
      <c r="M121" t="s">
        <v>228</v>
      </c>
      <c r="N121" t="s">
        <v>228</v>
      </c>
      <c r="O121" t="s">
        <v>229</v>
      </c>
      <c r="P121">
        <v>2</v>
      </c>
      <c r="Q121" t="s">
        <v>230</v>
      </c>
      <c r="R121" t="s">
        <v>231</v>
      </c>
      <c r="S121" t="s">
        <v>232</v>
      </c>
      <c r="T121">
        <v>0</v>
      </c>
      <c r="U121" t="s">
        <v>230</v>
      </c>
      <c r="V121" t="s">
        <v>233</v>
      </c>
      <c r="W121" t="s">
        <v>223</v>
      </c>
      <c r="X121" t="s">
        <v>234</v>
      </c>
      <c r="Y121" t="s">
        <v>483</v>
      </c>
      <c r="Z121" t="s">
        <v>232</v>
      </c>
      <c r="AA121" t="s">
        <v>236</v>
      </c>
      <c r="AB121" t="s">
        <v>237</v>
      </c>
      <c r="AC121" t="s">
        <v>236</v>
      </c>
      <c r="AD121" t="s">
        <v>238</v>
      </c>
      <c r="AE121" t="s">
        <v>239</v>
      </c>
      <c r="AF121" t="s">
        <v>239</v>
      </c>
      <c r="AG121" t="s">
        <v>239</v>
      </c>
      <c r="AH121" t="s">
        <v>239</v>
      </c>
      <c r="AI121" t="s">
        <v>240</v>
      </c>
      <c r="AJ121" t="s">
        <v>241</v>
      </c>
      <c r="AK121" t="s">
        <v>242</v>
      </c>
      <c r="AL121" t="s">
        <v>234</v>
      </c>
      <c r="AM121" t="s">
        <v>243</v>
      </c>
      <c r="AN121" t="s">
        <v>244</v>
      </c>
      <c r="AO121" t="s">
        <v>245</v>
      </c>
      <c r="CA121">
        <v>0.83333333300000001</v>
      </c>
      <c r="CB121">
        <v>0.83333333300000001</v>
      </c>
      <c r="CC121">
        <v>0.83333333300000001</v>
      </c>
      <c r="CD121">
        <v>0.83333333300000001</v>
      </c>
      <c r="CE121">
        <v>0.83333333300000001</v>
      </c>
      <c r="CF121">
        <v>0.83333333300000001</v>
      </c>
      <c r="CG121">
        <v>0.83333333300000001</v>
      </c>
      <c r="CH121">
        <v>0.83333333300000001</v>
      </c>
      <c r="CI121">
        <v>0.83333333300000001</v>
      </c>
      <c r="CJ121">
        <v>0.83333333300000001</v>
      </c>
      <c r="CK121">
        <v>0.83333333300000001</v>
      </c>
      <c r="CL121">
        <v>0.83333333300000001</v>
      </c>
      <c r="CM121">
        <v>0.83333333300000001</v>
      </c>
      <c r="CN121">
        <v>0.83333333300000001</v>
      </c>
      <c r="CO121">
        <v>0.83333333300000001</v>
      </c>
      <c r="CP121">
        <v>0.83333333300000001</v>
      </c>
      <c r="CQ121">
        <v>0.83333333300000001</v>
      </c>
      <c r="CR121">
        <v>0.83333333300000001</v>
      </c>
      <c r="CS121">
        <v>0.83333333300000001</v>
      </c>
      <c r="CT121">
        <v>0.83333333300000001</v>
      </c>
      <c r="CU121">
        <v>0.83333333300000001</v>
      </c>
      <c r="CV121">
        <v>0.83333333300000001</v>
      </c>
      <c r="CW121">
        <v>0.83333333300000001</v>
      </c>
      <c r="CX121">
        <v>0.83333333300000001</v>
      </c>
    </row>
    <row r="122" spans="1:102" x14ac:dyDescent="0.3">
      <c r="A122" t="s">
        <v>220</v>
      </c>
      <c r="B122" t="s">
        <v>221</v>
      </c>
      <c r="C122" t="s">
        <v>222</v>
      </c>
      <c r="D122" t="s">
        <v>223</v>
      </c>
      <c r="E122" t="s">
        <v>484</v>
      </c>
      <c r="F122" t="s">
        <v>225</v>
      </c>
      <c r="G122" t="s">
        <v>226</v>
      </c>
      <c r="H122" t="s">
        <v>226</v>
      </c>
      <c r="I122" t="s">
        <v>226</v>
      </c>
      <c r="J122" t="s">
        <v>227</v>
      </c>
      <c r="K122" t="s">
        <v>228</v>
      </c>
      <c r="L122" t="s">
        <v>228</v>
      </c>
      <c r="M122" t="s">
        <v>228</v>
      </c>
      <c r="N122" t="s">
        <v>228</v>
      </c>
      <c r="O122" t="s">
        <v>229</v>
      </c>
      <c r="P122">
        <v>2</v>
      </c>
      <c r="Q122" t="s">
        <v>230</v>
      </c>
      <c r="R122" t="s">
        <v>231</v>
      </c>
      <c r="S122" t="s">
        <v>232</v>
      </c>
      <c r="T122">
        <v>0</v>
      </c>
      <c r="U122" t="s">
        <v>230</v>
      </c>
      <c r="V122" t="s">
        <v>233</v>
      </c>
      <c r="W122" t="s">
        <v>223</v>
      </c>
      <c r="X122" t="s">
        <v>234</v>
      </c>
      <c r="Y122" t="s">
        <v>485</v>
      </c>
      <c r="Z122" t="s">
        <v>232</v>
      </c>
      <c r="AA122" t="s">
        <v>236</v>
      </c>
      <c r="AB122" t="s">
        <v>237</v>
      </c>
      <c r="AC122" t="s">
        <v>236</v>
      </c>
      <c r="AD122" t="s">
        <v>238</v>
      </c>
      <c r="AE122" t="s">
        <v>239</v>
      </c>
      <c r="AF122" t="s">
        <v>239</v>
      </c>
      <c r="AG122" t="s">
        <v>239</v>
      </c>
      <c r="AH122" t="s">
        <v>239</v>
      </c>
      <c r="AI122" t="s">
        <v>240</v>
      </c>
      <c r="AJ122" t="s">
        <v>241</v>
      </c>
      <c r="AK122" t="s">
        <v>242</v>
      </c>
      <c r="AL122" t="s">
        <v>234</v>
      </c>
      <c r="AM122" t="s">
        <v>243</v>
      </c>
      <c r="AN122" t="s">
        <v>244</v>
      </c>
      <c r="AO122" t="s">
        <v>245</v>
      </c>
      <c r="BC122">
        <v>56.966292129999999</v>
      </c>
      <c r="BD122">
        <v>57.032303370000001</v>
      </c>
      <c r="BE122">
        <v>57.098314610000003</v>
      </c>
      <c r="BF122">
        <v>57.164325839999997</v>
      </c>
      <c r="BG122">
        <v>57.230337079999998</v>
      </c>
      <c r="BH122">
        <v>57.296348309999999</v>
      </c>
      <c r="BI122">
        <v>57.359550560000002</v>
      </c>
      <c r="BJ122">
        <v>57.422752809999999</v>
      </c>
      <c r="BK122">
        <v>57.485955060000002</v>
      </c>
      <c r="BL122">
        <v>57.549157299999997</v>
      </c>
      <c r="BM122">
        <v>57.612359550000001</v>
      </c>
      <c r="BN122">
        <v>58.112359550000001</v>
      </c>
      <c r="BO122">
        <v>58.612359550000001</v>
      </c>
      <c r="BP122">
        <v>59.112359550000001</v>
      </c>
      <c r="BQ122">
        <v>59.612359550000001</v>
      </c>
      <c r="BR122">
        <v>60.112359550000001</v>
      </c>
      <c r="BS122">
        <v>63.370786520000003</v>
      </c>
      <c r="BT122">
        <v>66.629213480000004</v>
      </c>
      <c r="BU122">
        <v>69.887640450000006</v>
      </c>
      <c r="BV122">
        <v>73.146067419999994</v>
      </c>
      <c r="BW122">
        <v>76.404494380000003</v>
      </c>
      <c r="BX122">
        <v>79.662921350000005</v>
      </c>
      <c r="BY122">
        <v>82.910955060000006</v>
      </c>
      <c r="BZ122">
        <v>86.16938202</v>
      </c>
      <c r="CA122">
        <v>89.427808990000003</v>
      </c>
      <c r="CB122">
        <v>92.686235960000005</v>
      </c>
      <c r="CC122">
        <v>90.07742777</v>
      </c>
      <c r="CD122">
        <v>87.468619579999995</v>
      </c>
      <c r="CE122">
        <v>84.859811399999998</v>
      </c>
      <c r="CF122">
        <v>82.251003209999993</v>
      </c>
      <c r="CG122">
        <v>79.642195020000003</v>
      </c>
      <c r="CH122">
        <v>77.033386840000006</v>
      </c>
      <c r="CI122">
        <v>74.424578650000001</v>
      </c>
      <c r="CJ122">
        <v>71.815770470000004</v>
      </c>
      <c r="CK122">
        <v>69.206962279999999</v>
      </c>
      <c r="CL122">
        <v>66.598154089999994</v>
      </c>
      <c r="CM122">
        <v>63.989345909999997</v>
      </c>
      <c r="CN122">
        <v>61.373515249999997</v>
      </c>
      <c r="CO122">
        <v>58.764707059999999</v>
      </c>
      <c r="CP122">
        <v>56.155898880000002</v>
      </c>
      <c r="CQ122">
        <v>49.02247191</v>
      </c>
      <c r="CR122">
        <v>54.087078650000002</v>
      </c>
      <c r="CS122">
        <v>60.481741569999997</v>
      </c>
      <c r="CT122">
        <v>47.140449439999998</v>
      </c>
      <c r="CU122">
        <v>79.519662920000002</v>
      </c>
      <c r="CV122">
        <v>63.258426970000002</v>
      </c>
      <c r="CW122">
        <v>59.58384831</v>
      </c>
      <c r="CX122">
        <v>59.58384831</v>
      </c>
    </row>
    <row r="123" spans="1:102" x14ac:dyDescent="0.3">
      <c r="A123" t="s">
        <v>220</v>
      </c>
      <c r="B123" t="s">
        <v>221</v>
      </c>
      <c r="C123" t="s">
        <v>222</v>
      </c>
      <c r="D123" t="s">
        <v>223</v>
      </c>
      <c r="E123" t="s">
        <v>486</v>
      </c>
      <c r="F123" t="s">
        <v>225</v>
      </c>
      <c r="G123" t="s">
        <v>226</v>
      </c>
      <c r="H123" t="s">
        <v>226</v>
      </c>
      <c r="I123" t="s">
        <v>226</v>
      </c>
      <c r="J123" t="s">
        <v>227</v>
      </c>
      <c r="K123" t="s">
        <v>228</v>
      </c>
      <c r="L123" t="s">
        <v>228</v>
      </c>
      <c r="M123" t="s">
        <v>228</v>
      </c>
      <c r="N123" t="s">
        <v>228</v>
      </c>
      <c r="O123" t="s">
        <v>229</v>
      </c>
      <c r="P123">
        <v>2</v>
      </c>
      <c r="Q123" t="s">
        <v>230</v>
      </c>
      <c r="R123" t="s">
        <v>231</v>
      </c>
      <c r="S123" t="s">
        <v>232</v>
      </c>
      <c r="T123">
        <v>0</v>
      </c>
      <c r="U123" t="s">
        <v>230</v>
      </c>
      <c r="V123" t="s">
        <v>233</v>
      </c>
      <c r="W123" t="s">
        <v>223</v>
      </c>
      <c r="X123" t="s">
        <v>234</v>
      </c>
      <c r="Y123" t="s">
        <v>487</v>
      </c>
      <c r="Z123" t="s">
        <v>232</v>
      </c>
      <c r="AA123" t="s">
        <v>236</v>
      </c>
      <c r="AB123" t="s">
        <v>237</v>
      </c>
      <c r="AC123" t="s">
        <v>236</v>
      </c>
      <c r="AD123" t="s">
        <v>238</v>
      </c>
      <c r="AE123" t="s">
        <v>239</v>
      </c>
      <c r="AF123" t="s">
        <v>239</v>
      </c>
      <c r="AG123" t="s">
        <v>239</v>
      </c>
      <c r="AH123" t="s">
        <v>239</v>
      </c>
      <c r="AI123" t="s">
        <v>240</v>
      </c>
      <c r="AJ123" t="s">
        <v>241</v>
      </c>
      <c r="AK123" t="s">
        <v>242</v>
      </c>
      <c r="AL123" t="s">
        <v>234</v>
      </c>
      <c r="AM123" t="s">
        <v>243</v>
      </c>
      <c r="AN123" t="s">
        <v>244</v>
      </c>
      <c r="AO123" t="s">
        <v>245</v>
      </c>
      <c r="CJ123">
        <v>5.7233394820000001</v>
      </c>
      <c r="CK123">
        <v>5.7233394820000001</v>
      </c>
      <c r="CL123">
        <v>5.7233394820000001</v>
      </c>
      <c r="CM123">
        <v>5.7233394820000001</v>
      </c>
      <c r="CN123">
        <v>5.7233394820000001</v>
      </c>
      <c r="CO123">
        <v>5.7233394820000001</v>
      </c>
      <c r="CP123">
        <v>5.7233394820000001</v>
      </c>
      <c r="CQ123">
        <v>5.7233394820000001</v>
      </c>
      <c r="CR123">
        <v>5.7233394820000001</v>
      </c>
      <c r="CS123">
        <v>5.7233394820000001</v>
      </c>
      <c r="CT123">
        <v>5.7233394820000001</v>
      </c>
      <c r="CU123">
        <v>5.7233394820000001</v>
      </c>
      <c r="CV123">
        <v>5.7233394820000001</v>
      </c>
      <c r="CW123">
        <v>5.7233394820000001</v>
      </c>
      <c r="CX123">
        <v>5.7233394820000001</v>
      </c>
    </row>
    <row r="124" spans="1:102" x14ac:dyDescent="0.3">
      <c r="A124" t="s">
        <v>220</v>
      </c>
      <c r="B124" t="s">
        <v>221</v>
      </c>
      <c r="C124" t="s">
        <v>222</v>
      </c>
      <c r="D124" t="s">
        <v>223</v>
      </c>
      <c r="E124" t="s">
        <v>488</v>
      </c>
      <c r="F124" t="s">
        <v>225</v>
      </c>
      <c r="G124" t="s">
        <v>226</v>
      </c>
      <c r="H124" t="s">
        <v>226</v>
      </c>
      <c r="I124" t="s">
        <v>226</v>
      </c>
      <c r="J124" t="s">
        <v>227</v>
      </c>
      <c r="K124" t="s">
        <v>228</v>
      </c>
      <c r="L124" t="s">
        <v>228</v>
      </c>
      <c r="M124" t="s">
        <v>228</v>
      </c>
      <c r="N124" t="s">
        <v>228</v>
      </c>
      <c r="O124" t="s">
        <v>229</v>
      </c>
      <c r="P124">
        <v>2</v>
      </c>
      <c r="Q124" t="s">
        <v>230</v>
      </c>
      <c r="R124" t="s">
        <v>231</v>
      </c>
      <c r="S124" t="s">
        <v>232</v>
      </c>
      <c r="T124">
        <v>0</v>
      </c>
      <c r="U124" t="s">
        <v>230</v>
      </c>
      <c r="V124" t="s">
        <v>233</v>
      </c>
      <c r="W124" t="s">
        <v>223</v>
      </c>
      <c r="X124" t="s">
        <v>234</v>
      </c>
      <c r="Y124" t="s">
        <v>489</v>
      </c>
      <c r="Z124" t="s">
        <v>232</v>
      </c>
      <c r="AA124" t="s">
        <v>236</v>
      </c>
      <c r="AB124" t="s">
        <v>237</v>
      </c>
      <c r="AC124" t="s">
        <v>236</v>
      </c>
      <c r="AD124" t="s">
        <v>238</v>
      </c>
      <c r="AE124" t="s">
        <v>239</v>
      </c>
      <c r="AF124" t="s">
        <v>239</v>
      </c>
      <c r="AG124" t="s">
        <v>239</v>
      </c>
      <c r="AH124" t="s">
        <v>239</v>
      </c>
      <c r="AI124" t="s">
        <v>240</v>
      </c>
      <c r="AJ124" t="s">
        <v>241</v>
      </c>
      <c r="AK124" t="s">
        <v>242</v>
      </c>
      <c r="AL124" t="s">
        <v>234</v>
      </c>
      <c r="AM124" t="s">
        <v>243</v>
      </c>
      <c r="AN124" t="s">
        <v>244</v>
      </c>
      <c r="AO124" t="s">
        <v>245</v>
      </c>
      <c r="CH124">
        <v>2.3875770649999999</v>
      </c>
      <c r="CI124">
        <v>4.4604981400000003</v>
      </c>
      <c r="CJ124">
        <v>5.2868252</v>
      </c>
      <c r="CK124">
        <v>5.2225853710000001</v>
      </c>
      <c r="CL124">
        <v>4.980277246</v>
      </c>
      <c r="CM124">
        <v>5.3533190580000003</v>
      </c>
      <c r="CN124">
        <v>4.9622450130000004</v>
      </c>
      <c r="CO124">
        <v>5.3071114619999999</v>
      </c>
      <c r="CP124">
        <v>4.4348022089999999</v>
      </c>
      <c r="CQ124">
        <v>5.2845711709999996</v>
      </c>
      <c r="CR124">
        <v>5.3041812239999997</v>
      </c>
      <c r="CS124">
        <v>6.0599571729999999</v>
      </c>
      <c r="CT124">
        <v>6.2633832979999999</v>
      </c>
      <c r="CU124">
        <v>6.3315676769999998</v>
      </c>
      <c r="CV124">
        <v>5.7455201169999999</v>
      </c>
      <c r="CW124">
        <v>5.4446072350000003</v>
      </c>
      <c r="CX124">
        <v>5.7376310149999998</v>
      </c>
    </row>
    <row r="125" spans="1:102" x14ac:dyDescent="0.3">
      <c r="A125" t="s">
        <v>220</v>
      </c>
      <c r="B125" t="s">
        <v>221</v>
      </c>
      <c r="C125" t="s">
        <v>222</v>
      </c>
      <c r="D125" t="s">
        <v>223</v>
      </c>
      <c r="E125" t="s">
        <v>490</v>
      </c>
      <c r="F125" t="s">
        <v>225</v>
      </c>
      <c r="G125" t="s">
        <v>226</v>
      </c>
      <c r="H125" t="s">
        <v>226</v>
      </c>
      <c r="I125" t="s">
        <v>226</v>
      </c>
      <c r="J125" t="s">
        <v>227</v>
      </c>
      <c r="K125" t="s">
        <v>228</v>
      </c>
      <c r="L125" t="s">
        <v>228</v>
      </c>
      <c r="M125" t="s">
        <v>228</v>
      </c>
      <c r="N125" t="s">
        <v>228</v>
      </c>
      <c r="O125" t="s">
        <v>229</v>
      </c>
      <c r="P125">
        <v>2</v>
      </c>
      <c r="Q125" t="s">
        <v>230</v>
      </c>
      <c r="R125" t="s">
        <v>231</v>
      </c>
      <c r="S125" t="s">
        <v>232</v>
      </c>
      <c r="T125">
        <v>0</v>
      </c>
      <c r="U125" t="s">
        <v>230</v>
      </c>
      <c r="V125" t="s">
        <v>233</v>
      </c>
      <c r="W125" t="s">
        <v>223</v>
      </c>
      <c r="X125" t="s">
        <v>234</v>
      </c>
      <c r="Y125" t="s">
        <v>491</v>
      </c>
      <c r="Z125" t="s">
        <v>232</v>
      </c>
      <c r="AA125" t="s">
        <v>236</v>
      </c>
      <c r="AB125" t="s">
        <v>237</v>
      </c>
      <c r="AC125" t="s">
        <v>236</v>
      </c>
      <c r="AD125" t="s">
        <v>238</v>
      </c>
      <c r="AE125" t="s">
        <v>239</v>
      </c>
      <c r="AF125" t="s">
        <v>239</v>
      </c>
      <c r="AG125" t="s">
        <v>239</v>
      </c>
      <c r="AH125" t="s">
        <v>239</v>
      </c>
      <c r="AI125" t="s">
        <v>240</v>
      </c>
      <c r="AJ125" t="s">
        <v>241</v>
      </c>
      <c r="AK125" t="s">
        <v>242</v>
      </c>
      <c r="AL125" t="s">
        <v>234</v>
      </c>
      <c r="AM125" t="s">
        <v>243</v>
      </c>
      <c r="AN125" t="s">
        <v>244</v>
      </c>
      <c r="AO125" t="s">
        <v>245</v>
      </c>
      <c r="CB125">
        <v>8.3690705409999993</v>
      </c>
      <c r="CC125">
        <v>8.3576229649999991</v>
      </c>
      <c r="CD125">
        <v>8.3461753900000009</v>
      </c>
      <c r="CE125">
        <v>8.3347278140000007</v>
      </c>
      <c r="CF125">
        <v>8.3232802380000006</v>
      </c>
      <c r="CG125">
        <v>8.3118326620000005</v>
      </c>
      <c r="CH125">
        <v>8.3118326620000005</v>
      </c>
      <c r="CI125">
        <v>8.3118326620000005</v>
      </c>
      <c r="CJ125">
        <v>8.3118326620000005</v>
      </c>
      <c r="CK125">
        <v>8.3118326620000005</v>
      </c>
      <c r="CL125">
        <v>8.3118326620000005</v>
      </c>
      <c r="CM125">
        <v>8.3118326620000005</v>
      </c>
      <c r="CN125">
        <v>8.3118326620000005</v>
      </c>
      <c r="CO125">
        <v>8.3118326620000005</v>
      </c>
      <c r="CP125">
        <v>8.3118326620000005</v>
      </c>
      <c r="CQ125">
        <v>8.3118326620000005</v>
      </c>
      <c r="CR125">
        <v>8.3118326620000005</v>
      </c>
      <c r="CS125">
        <v>8.3118326620000005</v>
      </c>
      <c r="CT125">
        <v>8.3118326620000005</v>
      </c>
      <c r="CU125">
        <v>8.3118326620000005</v>
      </c>
      <c r="CV125">
        <v>8.3118326620000005</v>
      </c>
      <c r="CW125">
        <v>8.3118326620000005</v>
      </c>
      <c r="CX125">
        <v>8.3118326620000005</v>
      </c>
    </row>
    <row r="126" spans="1:102" x14ac:dyDescent="0.3">
      <c r="A126" t="s">
        <v>220</v>
      </c>
      <c r="B126" t="s">
        <v>221</v>
      </c>
      <c r="C126" t="s">
        <v>222</v>
      </c>
      <c r="D126" t="s">
        <v>223</v>
      </c>
      <c r="E126" t="s">
        <v>492</v>
      </c>
      <c r="F126" t="s">
        <v>225</v>
      </c>
      <c r="G126" t="s">
        <v>226</v>
      </c>
      <c r="H126" t="s">
        <v>226</v>
      </c>
      <c r="I126" t="s">
        <v>226</v>
      </c>
      <c r="J126" t="s">
        <v>227</v>
      </c>
      <c r="K126" t="s">
        <v>228</v>
      </c>
      <c r="L126" t="s">
        <v>228</v>
      </c>
      <c r="M126" t="s">
        <v>228</v>
      </c>
      <c r="N126" t="s">
        <v>228</v>
      </c>
      <c r="O126" t="s">
        <v>229</v>
      </c>
      <c r="P126">
        <v>2</v>
      </c>
      <c r="Q126" t="s">
        <v>230</v>
      </c>
      <c r="R126" t="s">
        <v>231</v>
      </c>
      <c r="S126" t="s">
        <v>232</v>
      </c>
      <c r="T126">
        <v>0</v>
      </c>
      <c r="U126" t="s">
        <v>230</v>
      </c>
      <c r="V126" t="s">
        <v>233</v>
      </c>
      <c r="W126" t="s">
        <v>223</v>
      </c>
      <c r="X126" t="s">
        <v>234</v>
      </c>
      <c r="Y126" t="s">
        <v>493</v>
      </c>
      <c r="Z126" t="s">
        <v>232</v>
      </c>
      <c r="AA126" t="s">
        <v>236</v>
      </c>
      <c r="AB126" t="s">
        <v>237</v>
      </c>
      <c r="AC126" t="s">
        <v>236</v>
      </c>
      <c r="AD126" t="s">
        <v>238</v>
      </c>
      <c r="AE126" t="s">
        <v>239</v>
      </c>
      <c r="AF126" t="s">
        <v>239</v>
      </c>
      <c r="AG126" t="s">
        <v>239</v>
      </c>
      <c r="AH126" t="s">
        <v>239</v>
      </c>
      <c r="AI126" t="s">
        <v>240</v>
      </c>
      <c r="AJ126" t="s">
        <v>241</v>
      </c>
      <c r="AK126" t="s">
        <v>242</v>
      </c>
      <c r="AL126" t="s">
        <v>234</v>
      </c>
      <c r="AM126" t="s">
        <v>243</v>
      </c>
      <c r="AN126" t="s">
        <v>244</v>
      </c>
      <c r="AO126" t="s">
        <v>245</v>
      </c>
      <c r="BO126">
        <v>0.86448598099999996</v>
      </c>
      <c r="BP126">
        <v>0.75047088399999995</v>
      </c>
      <c r="BQ126">
        <v>0.63645578700000005</v>
      </c>
      <c r="BR126">
        <v>0.52244069000000004</v>
      </c>
      <c r="BS126">
        <v>0.40842559299999998</v>
      </c>
      <c r="BT126">
        <v>0.29441049600000002</v>
      </c>
      <c r="BU126">
        <v>0.312778577</v>
      </c>
      <c r="BV126">
        <v>0.33114665700000001</v>
      </c>
      <c r="BW126">
        <v>0.34951473799999999</v>
      </c>
      <c r="BX126">
        <v>0.367882818</v>
      </c>
      <c r="BY126">
        <v>0.38625089899999998</v>
      </c>
      <c r="BZ126">
        <v>0.40461897899999999</v>
      </c>
      <c r="CA126">
        <v>0.42298706000000003</v>
      </c>
      <c r="CB126">
        <v>0.44135513999999998</v>
      </c>
      <c r="CC126">
        <v>0.45224299099999998</v>
      </c>
      <c r="CD126">
        <v>0.46313084100000002</v>
      </c>
      <c r="CE126">
        <v>0.47401869200000002</v>
      </c>
      <c r="CF126">
        <v>0.484906542</v>
      </c>
      <c r="CG126">
        <v>0.495794393</v>
      </c>
      <c r="CH126">
        <v>0.495794393</v>
      </c>
      <c r="CI126">
        <v>0.495794393</v>
      </c>
      <c r="CJ126">
        <v>0.495794393</v>
      </c>
      <c r="CK126">
        <v>0.495794393</v>
      </c>
      <c r="CL126">
        <v>0.495794393</v>
      </c>
      <c r="CM126">
        <v>0.495794393</v>
      </c>
      <c r="CN126">
        <v>0.495794393</v>
      </c>
      <c r="CO126">
        <v>0.495794393</v>
      </c>
      <c r="CP126">
        <v>0.495794393</v>
      </c>
      <c r="CQ126">
        <v>0.495794393</v>
      </c>
      <c r="CR126">
        <v>0.495794393</v>
      </c>
      <c r="CS126">
        <v>0.495794393</v>
      </c>
      <c r="CT126">
        <v>0.495794393</v>
      </c>
      <c r="CU126">
        <v>0.495794393</v>
      </c>
      <c r="CV126">
        <v>0.495794393</v>
      </c>
      <c r="CW126">
        <v>0.495794393</v>
      </c>
      <c r="CX126">
        <v>0.495794393</v>
      </c>
    </row>
    <row r="127" spans="1:102" x14ac:dyDescent="0.3">
      <c r="A127" t="s">
        <v>220</v>
      </c>
      <c r="B127" t="s">
        <v>221</v>
      </c>
      <c r="C127" t="s">
        <v>222</v>
      </c>
      <c r="D127" t="s">
        <v>223</v>
      </c>
      <c r="E127" t="s">
        <v>494</v>
      </c>
      <c r="F127" t="s">
        <v>225</v>
      </c>
      <c r="G127" t="s">
        <v>226</v>
      </c>
      <c r="H127" t="s">
        <v>226</v>
      </c>
      <c r="I127" t="s">
        <v>226</v>
      </c>
      <c r="J127" t="s">
        <v>227</v>
      </c>
      <c r="K127" t="s">
        <v>228</v>
      </c>
      <c r="L127" t="s">
        <v>228</v>
      </c>
      <c r="M127" t="s">
        <v>228</v>
      </c>
      <c r="N127" t="s">
        <v>228</v>
      </c>
      <c r="O127" t="s">
        <v>229</v>
      </c>
      <c r="P127">
        <v>2</v>
      </c>
      <c r="Q127" t="s">
        <v>230</v>
      </c>
      <c r="R127" t="s">
        <v>231</v>
      </c>
      <c r="S127" t="s">
        <v>232</v>
      </c>
      <c r="T127">
        <v>0</v>
      </c>
      <c r="U127" t="s">
        <v>230</v>
      </c>
      <c r="V127" t="s">
        <v>233</v>
      </c>
      <c r="W127" t="s">
        <v>223</v>
      </c>
      <c r="X127" t="s">
        <v>234</v>
      </c>
      <c r="Y127" t="s">
        <v>495</v>
      </c>
      <c r="Z127" t="s">
        <v>232</v>
      </c>
      <c r="AA127" t="s">
        <v>236</v>
      </c>
      <c r="AB127" t="s">
        <v>237</v>
      </c>
      <c r="AC127" t="s">
        <v>236</v>
      </c>
      <c r="AD127" t="s">
        <v>238</v>
      </c>
      <c r="AE127" t="s">
        <v>239</v>
      </c>
      <c r="AF127" t="s">
        <v>239</v>
      </c>
      <c r="AG127" t="s">
        <v>239</v>
      </c>
      <c r="AH127" t="s">
        <v>239</v>
      </c>
      <c r="AI127" t="s">
        <v>240</v>
      </c>
      <c r="AJ127" t="s">
        <v>241</v>
      </c>
      <c r="AK127" t="s">
        <v>242</v>
      </c>
      <c r="AL127" t="s">
        <v>234</v>
      </c>
      <c r="AM127" t="s">
        <v>243</v>
      </c>
      <c r="AN127" t="s">
        <v>244</v>
      </c>
      <c r="AO127" t="s">
        <v>245</v>
      </c>
      <c r="CI127">
        <v>14.3</v>
      </c>
      <c r="CJ127">
        <v>14.3</v>
      </c>
      <c r="CK127">
        <v>14.3</v>
      </c>
      <c r="CL127">
        <v>14.3</v>
      </c>
      <c r="CM127">
        <v>14.3</v>
      </c>
      <c r="CN127">
        <v>14.3</v>
      </c>
      <c r="CO127">
        <v>14.3</v>
      </c>
      <c r="CP127">
        <v>14.3</v>
      </c>
      <c r="CQ127">
        <v>14.3</v>
      </c>
      <c r="CR127">
        <v>14.3</v>
      </c>
      <c r="CS127">
        <v>14.3</v>
      </c>
      <c r="CT127">
        <v>14.3</v>
      </c>
      <c r="CU127">
        <v>14.3</v>
      </c>
      <c r="CV127">
        <v>14.3</v>
      </c>
      <c r="CW127">
        <v>14.3</v>
      </c>
      <c r="CX127">
        <v>14.3</v>
      </c>
    </row>
    <row r="128" spans="1:102" x14ac:dyDescent="0.3">
      <c r="A128" t="s">
        <v>220</v>
      </c>
      <c r="B128" t="s">
        <v>221</v>
      </c>
      <c r="C128" t="s">
        <v>222</v>
      </c>
      <c r="D128" t="s">
        <v>223</v>
      </c>
      <c r="E128" t="s">
        <v>496</v>
      </c>
      <c r="F128" t="s">
        <v>225</v>
      </c>
      <c r="G128" t="s">
        <v>226</v>
      </c>
      <c r="H128" t="s">
        <v>226</v>
      </c>
      <c r="I128" t="s">
        <v>226</v>
      </c>
      <c r="J128" t="s">
        <v>227</v>
      </c>
      <c r="K128" t="s">
        <v>228</v>
      </c>
      <c r="L128" t="s">
        <v>228</v>
      </c>
      <c r="M128" t="s">
        <v>228</v>
      </c>
      <c r="N128" t="s">
        <v>228</v>
      </c>
      <c r="O128" t="s">
        <v>229</v>
      </c>
      <c r="P128">
        <v>2</v>
      </c>
      <c r="Q128" t="s">
        <v>230</v>
      </c>
      <c r="R128" t="s">
        <v>231</v>
      </c>
      <c r="S128" t="s">
        <v>232</v>
      </c>
      <c r="T128">
        <v>0</v>
      </c>
      <c r="U128" t="s">
        <v>230</v>
      </c>
      <c r="V128" t="s">
        <v>233</v>
      </c>
      <c r="W128" t="s">
        <v>223</v>
      </c>
      <c r="X128" t="s">
        <v>234</v>
      </c>
      <c r="Y128" t="s">
        <v>497</v>
      </c>
      <c r="Z128" t="s">
        <v>232</v>
      </c>
      <c r="AA128" t="s">
        <v>236</v>
      </c>
      <c r="AB128" t="s">
        <v>237</v>
      </c>
      <c r="AC128" t="s">
        <v>236</v>
      </c>
      <c r="AD128" t="s">
        <v>238</v>
      </c>
      <c r="AE128" t="s">
        <v>239</v>
      </c>
      <c r="AF128" t="s">
        <v>239</v>
      </c>
      <c r="AG128" t="s">
        <v>239</v>
      </c>
      <c r="AH128" t="s">
        <v>239</v>
      </c>
      <c r="AI128" t="s">
        <v>240</v>
      </c>
      <c r="AJ128" t="s">
        <v>241</v>
      </c>
      <c r="AK128" t="s">
        <v>242</v>
      </c>
      <c r="AL128" t="s">
        <v>234</v>
      </c>
      <c r="AM128" t="s">
        <v>243</v>
      </c>
      <c r="AN128" t="s">
        <v>244</v>
      </c>
      <c r="AO128" t="s">
        <v>245</v>
      </c>
      <c r="AX128">
        <v>35.005192110000003</v>
      </c>
      <c r="AY128">
        <v>37.372101069999999</v>
      </c>
      <c r="AZ128">
        <v>39.739010039999997</v>
      </c>
      <c r="BA128">
        <v>42.105919</v>
      </c>
      <c r="BB128">
        <v>44.472827969999997</v>
      </c>
      <c r="BC128">
        <v>46.839736930000001</v>
      </c>
      <c r="BD128">
        <v>47.946694360000002</v>
      </c>
      <c r="BE128">
        <v>49.053651780000003</v>
      </c>
      <c r="BF128">
        <v>50.160609209999997</v>
      </c>
      <c r="BG128">
        <v>51.267566629999997</v>
      </c>
      <c r="BH128">
        <v>52.374524059999999</v>
      </c>
      <c r="BI128">
        <v>53.262028379999997</v>
      </c>
      <c r="BJ128">
        <v>54.149532710000003</v>
      </c>
      <c r="BK128">
        <v>55.037037040000001</v>
      </c>
      <c r="BL128">
        <v>55.924541359999999</v>
      </c>
      <c r="BM128">
        <v>56.812045689999998</v>
      </c>
      <c r="BN128">
        <v>55.949463479999999</v>
      </c>
      <c r="BO128">
        <v>55.086881269999999</v>
      </c>
      <c r="BP128">
        <v>54.224299070000001</v>
      </c>
      <c r="BQ128">
        <v>53.361716860000001</v>
      </c>
      <c r="BR128">
        <v>52.499134650000002</v>
      </c>
      <c r="BS128">
        <v>49.406368989999997</v>
      </c>
      <c r="BT128">
        <v>46.313603319999999</v>
      </c>
      <c r="BU128">
        <v>45.907234340000002</v>
      </c>
      <c r="BV128">
        <v>45.500865349999998</v>
      </c>
      <c r="BW128">
        <v>45.094496370000002</v>
      </c>
      <c r="BX128">
        <v>44.688127379999997</v>
      </c>
      <c r="BY128">
        <v>44.28175839</v>
      </c>
      <c r="BZ128">
        <v>43.538248529999997</v>
      </c>
      <c r="CA128">
        <v>42.79473866</v>
      </c>
      <c r="CB128">
        <v>42.051228799999997</v>
      </c>
      <c r="CC128">
        <v>41.30771893</v>
      </c>
      <c r="CD128">
        <v>40.564209069999997</v>
      </c>
      <c r="CE128">
        <v>40.770508829999997</v>
      </c>
      <c r="CF128">
        <v>40.976808579999997</v>
      </c>
      <c r="CG128">
        <v>41.183108339999997</v>
      </c>
      <c r="CH128">
        <v>41.389408099999997</v>
      </c>
      <c r="CI128">
        <v>41.595707859999997</v>
      </c>
      <c r="CJ128">
        <v>39.321564559999999</v>
      </c>
      <c r="CK128">
        <v>39.830391140000003</v>
      </c>
      <c r="CL128">
        <v>37.611630320000003</v>
      </c>
      <c r="CM128">
        <v>41.225337490000001</v>
      </c>
      <c r="CN128">
        <v>39.695396330000001</v>
      </c>
      <c r="CO128">
        <v>38.906195920000002</v>
      </c>
      <c r="CP128">
        <v>36.79820007</v>
      </c>
      <c r="CQ128">
        <v>36.164762889999999</v>
      </c>
      <c r="CR128">
        <v>35.614399450000001</v>
      </c>
      <c r="CS128">
        <v>34.890965729999998</v>
      </c>
      <c r="CT128">
        <v>33.222568359999997</v>
      </c>
      <c r="CU128">
        <v>31.097192799999998</v>
      </c>
      <c r="CV128">
        <v>30</v>
      </c>
      <c r="CW128">
        <v>32.076843199999999</v>
      </c>
      <c r="CX128">
        <v>32.485289029999997</v>
      </c>
    </row>
    <row r="129" spans="1:102" x14ac:dyDescent="0.3">
      <c r="A129" t="s">
        <v>220</v>
      </c>
      <c r="B129" t="s">
        <v>221</v>
      </c>
      <c r="C129" t="s">
        <v>222</v>
      </c>
      <c r="D129" t="s">
        <v>223</v>
      </c>
      <c r="E129" t="s">
        <v>498</v>
      </c>
      <c r="F129" t="s">
        <v>225</v>
      </c>
      <c r="G129" t="s">
        <v>226</v>
      </c>
      <c r="H129" t="s">
        <v>226</v>
      </c>
      <c r="I129" t="s">
        <v>226</v>
      </c>
      <c r="J129" t="s">
        <v>227</v>
      </c>
      <c r="K129" t="s">
        <v>228</v>
      </c>
      <c r="L129" t="s">
        <v>228</v>
      </c>
      <c r="M129" t="s">
        <v>228</v>
      </c>
      <c r="N129" t="s">
        <v>228</v>
      </c>
      <c r="O129" t="s">
        <v>229</v>
      </c>
      <c r="P129">
        <v>2</v>
      </c>
      <c r="Q129" t="s">
        <v>230</v>
      </c>
      <c r="R129" t="s">
        <v>231</v>
      </c>
      <c r="S129" t="s">
        <v>232</v>
      </c>
      <c r="T129">
        <v>0</v>
      </c>
      <c r="U129" t="s">
        <v>230</v>
      </c>
      <c r="V129" t="s">
        <v>233</v>
      </c>
      <c r="W129" t="s">
        <v>223</v>
      </c>
      <c r="X129" t="s">
        <v>234</v>
      </c>
      <c r="Y129" t="s">
        <v>499</v>
      </c>
      <c r="Z129" t="s">
        <v>232</v>
      </c>
      <c r="AA129" t="s">
        <v>236</v>
      </c>
      <c r="AB129" t="s">
        <v>237</v>
      </c>
      <c r="AC129" t="s">
        <v>236</v>
      </c>
      <c r="AD129" t="s">
        <v>238</v>
      </c>
      <c r="AE129" t="s">
        <v>239</v>
      </c>
      <c r="AF129" t="s">
        <v>239</v>
      </c>
      <c r="AG129" t="s">
        <v>239</v>
      </c>
      <c r="AH129" t="s">
        <v>239</v>
      </c>
      <c r="AI129" t="s">
        <v>240</v>
      </c>
      <c r="AJ129" t="s">
        <v>241</v>
      </c>
      <c r="AK129" t="s">
        <v>242</v>
      </c>
      <c r="AL129" t="s">
        <v>234</v>
      </c>
      <c r="AM129" t="s">
        <v>243</v>
      </c>
      <c r="AN129" t="s">
        <v>244</v>
      </c>
      <c r="AO129" t="s">
        <v>245</v>
      </c>
      <c r="CI129">
        <v>23.013935180000001</v>
      </c>
      <c r="CJ129">
        <v>23.013935180000001</v>
      </c>
      <c r="CK129">
        <v>23.013935180000001</v>
      </c>
      <c r="CL129">
        <v>23.013935180000001</v>
      </c>
      <c r="CM129">
        <v>23.013935180000001</v>
      </c>
      <c r="CN129">
        <v>23.013935180000001</v>
      </c>
      <c r="CO129">
        <v>23.013935180000001</v>
      </c>
      <c r="CP129">
        <v>23.013935180000001</v>
      </c>
      <c r="CQ129">
        <v>23.013935180000001</v>
      </c>
      <c r="CR129">
        <v>23.013935180000001</v>
      </c>
      <c r="CS129">
        <v>23.013935180000001</v>
      </c>
      <c r="CT129">
        <v>23.013935180000001</v>
      </c>
      <c r="CU129">
        <v>23.013935180000001</v>
      </c>
      <c r="CV129">
        <v>23.013935180000001</v>
      </c>
      <c r="CW129">
        <v>23.013935180000001</v>
      </c>
      <c r="CX129">
        <v>23.013935180000001</v>
      </c>
    </row>
    <row r="130" spans="1:102" x14ac:dyDescent="0.3">
      <c r="A130" t="s">
        <v>220</v>
      </c>
      <c r="B130" t="s">
        <v>221</v>
      </c>
      <c r="C130" t="s">
        <v>222</v>
      </c>
      <c r="D130" t="s">
        <v>223</v>
      </c>
      <c r="E130" t="s">
        <v>500</v>
      </c>
      <c r="F130" t="s">
        <v>225</v>
      </c>
      <c r="G130" t="s">
        <v>226</v>
      </c>
      <c r="H130" t="s">
        <v>226</v>
      </c>
      <c r="I130" t="s">
        <v>226</v>
      </c>
      <c r="J130" t="s">
        <v>227</v>
      </c>
      <c r="K130" t="s">
        <v>228</v>
      </c>
      <c r="L130" t="s">
        <v>228</v>
      </c>
      <c r="M130" t="s">
        <v>228</v>
      </c>
      <c r="N130" t="s">
        <v>228</v>
      </c>
      <c r="O130" t="s">
        <v>229</v>
      </c>
      <c r="P130">
        <v>2</v>
      </c>
      <c r="Q130" t="s">
        <v>230</v>
      </c>
      <c r="R130" t="s">
        <v>231</v>
      </c>
      <c r="S130" t="s">
        <v>232</v>
      </c>
      <c r="T130">
        <v>0</v>
      </c>
      <c r="U130" t="s">
        <v>230</v>
      </c>
      <c r="V130" t="s">
        <v>233</v>
      </c>
      <c r="W130" t="s">
        <v>223</v>
      </c>
      <c r="X130" t="s">
        <v>234</v>
      </c>
      <c r="Y130" t="s">
        <v>501</v>
      </c>
      <c r="Z130" t="s">
        <v>232</v>
      </c>
      <c r="AA130" t="s">
        <v>236</v>
      </c>
      <c r="AB130" t="s">
        <v>237</v>
      </c>
      <c r="AC130" t="s">
        <v>236</v>
      </c>
      <c r="AD130" t="s">
        <v>238</v>
      </c>
      <c r="AE130" t="s">
        <v>239</v>
      </c>
      <c r="AF130" t="s">
        <v>239</v>
      </c>
      <c r="AG130" t="s">
        <v>239</v>
      </c>
      <c r="AH130" t="s">
        <v>239</v>
      </c>
      <c r="AI130" t="s">
        <v>240</v>
      </c>
      <c r="AJ130" t="s">
        <v>241</v>
      </c>
      <c r="AK130" t="s">
        <v>242</v>
      </c>
      <c r="AL130" t="s">
        <v>234</v>
      </c>
      <c r="AM130" t="s">
        <v>243</v>
      </c>
      <c r="AN130" t="s">
        <v>244</v>
      </c>
      <c r="AO130" t="s">
        <v>245</v>
      </c>
      <c r="BD130">
        <v>7.6573077349999998</v>
      </c>
      <c r="BE130">
        <v>7.6716075090000002</v>
      </c>
      <c r="BF130">
        <v>7.6859072829999997</v>
      </c>
      <c r="BG130">
        <v>7.7002070570000001</v>
      </c>
      <c r="BH130">
        <v>7.7145068309999996</v>
      </c>
      <c r="BI130">
        <v>7.7288066049999999</v>
      </c>
      <c r="BJ130">
        <v>7.7431063790000003</v>
      </c>
      <c r="BK130">
        <v>7.7574061529999998</v>
      </c>
      <c r="BL130">
        <v>7.7717059270000002</v>
      </c>
      <c r="BM130">
        <v>7.7860057009999997</v>
      </c>
      <c r="BN130">
        <v>7.800305475</v>
      </c>
      <c r="BO130">
        <v>7.8146052490000004</v>
      </c>
      <c r="BP130">
        <v>7.8289050229999999</v>
      </c>
      <c r="BQ130">
        <v>7.8432047970000003</v>
      </c>
      <c r="BR130">
        <v>7.8574534629999997</v>
      </c>
      <c r="BS130">
        <v>7.8718043440000001</v>
      </c>
      <c r="BT130">
        <v>7.8861041180000004</v>
      </c>
      <c r="BU130">
        <v>7.9004038919999999</v>
      </c>
      <c r="BV130">
        <v>7.9147036660000003</v>
      </c>
      <c r="BW130">
        <v>7.9290034399999998</v>
      </c>
      <c r="BX130">
        <v>8.0281836089999992</v>
      </c>
      <c r="BY130">
        <v>8.1273637779999994</v>
      </c>
      <c r="BZ130">
        <v>8.2265439459999996</v>
      </c>
      <c r="CA130">
        <v>8.3257241149999999</v>
      </c>
      <c r="CB130">
        <v>8.4249042840000001</v>
      </c>
      <c r="CC130">
        <v>8.6095668429999996</v>
      </c>
      <c r="CD130">
        <v>8.7942294010000008</v>
      </c>
      <c r="CE130">
        <v>8.9788919600000003</v>
      </c>
      <c r="CF130">
        <v>9.1635545189999998</v>
      </c>
      <c r="CG130">
        <v>9.3482170779999993</v>
      </c>
      <c r="CH130">
        <v>9.5328796370000006</v>
      </c>
      <c r="CI130">
        <v>9.7175421960000001</v>
      </c>
      <c r="CJ130">
        <v>9.9022047549999996</v>
      </c>
      <c r="CK130">
        <v>10.086867310000001</v>
      </c>
      <c r="CL130">
        <v>10.27152987</v>
      </c>
      <c r="CM130">
        <v>10.456664079999999</v>
      </c>
      <c r="CN130">
        <v>10.456664079999999</v>
      </c>
      <c r="CO130">
        <v>10.456664079999999</v>
      </c>
      <c r="CP130">
        <v>10.456664079999999</v>
      </c>
      <c r="CQ130">
        <v>10.456664079999999</v>
      </c>
      <c r="CR130">
        <v>10.456664079999999</v>
      </c>
      <c r="CS130">
        <v>10.456664079999999</v>
      </c>
      <c r="CT130">
        <v>10.456664079999999</v>
      </c>
      <c r="CU130">
        <v>10.456664079999999</v>
      </c>
      <c r="CV130">
        <v>10.456664079999999</v>
      </c>
      <c r="CW130">
        <v>10.456664079999999</v>
      </c>
      <c r="CX130">
        <v>10.456664079999999</v>
      </c>
    </row>
    <row r="131" spans="1:102" x14ac:dyDescent="0.3">
      <c r="A131" t="s">
        <v>220</v>
      </c>
      <c r="B131" t="s">
        <v>221</v>
      </c>
      <c r="C131" t="s">
        <v>222</v>
      </c>
      <c r="D131" t="s">
        <v>223</v>
      </c>
      <c r="E131" t="s">
        <v>502</v>
      </c>
      <c r="F131" t="s">
        <v>225</v>
      </c>
      <c r="G131" t="s">
        <v>226</v>
      </c>
      <c r="H131" t="s">
        <v>226</v>
      </c>
      <c r="I131" t="s">
        <v>226</v>
      </c>
      <c r="J131" t="s">
        <v>227</v>
      </c>
      <c r="K131" t="s">
        <v>228</v>
      </c>
      <c r="L131" t="s">
        <v>228</v>
      </c>
      <c r="M131" t="s">
        <v>228</v>
      </c>
      <c r="N131" t="s">
        <v>228</v>
      </c>
      <c r="O131" t="s">
        <v>229</v>
      </c>
      <c r="P131">
        <v>2</v>
      </c>
      <c r="Q131" t="s">
        <v>230</v>
      </c>
      <c r="R131" t="s">
        <v>231</v>
      </c>
      <c r="S131" t="s">
        <v>232</v>
      </c>
      <c r="T131">
        <v>0</v>
      </c>
      <c r="U131" t="s">
        <v>230</v>
      </c>
      <c r="V131" t="s">
        <v>233</v>
      </c>
      <c r="W131" t="s">
        <v>223</v>
      </c>
      <c r="X131" t="s">
        <v>234</v>
      </c>
      <c r="Y131" t="s">
        <v>503</v>
      </c>
      <c r="Z131" t="s">
        <v>232</v>
      </c>
      <c r="AA131" t="s">
        <v>236</v>
      </c>
      <c r="AB131" t="s">
        <v>237</v>
      </c>
      <c r="AC131" t="s">
        <v>236</v>
      </c>
      <c r="AD131" t="s">
        <v>238</v>
      </c>
      <c r="AE131" t="s">
        <v>239</v>
      </c>
      <c r="AF131" t="s">
        <v>239</v>
      </c>
      <c r="AG131" t="s">
        <v>239</v>
      </c>
      <c r="AH131" t="s">
        <v>239</v>
      </c>
      <c r="AI131" t="s">
        <v>240</v>
      </c>
      <c r="AJ131" t="s">
        <v>241</v>
      </c>
      <c r="AK131" t="s">
        <v>242</v>
      </c>
      <c r="AL131" t="s">
        <v>234</v>
      </c>
      <c r="AM131" t="s">
        <v>243</v>
      </c>
      <c r="AN131" t="s">
        <v>244</v>
      </c>
      <c r="AO131" t="s">
        <v>245</v>
      </c>
      <c r="BC131">
        <v>39.022386529999999</v>
      </c>
      <c r="BD131">
        <v>40.220784559999998</v>
      </c>
      <c r="BE131">
        <v>41.419182579999998</v>
      </c>
      <c r="BF131">
        <v>42.617580609999997</v>
      </c>
      <c r="BG131">
        <v>43.815978639999997</v>
      </c>
      <c r="BH131">
        <v>45.014376669999997</v>
      </c>
      <c r="BI131">
        <v>46.212774699999997</v>
      </c>
      <c r="BJ131">
        <v>47.411172729999997</v>
      </c>
      <c r="BK131">
        <v>48.609570750000003</v>
      </c>
      <c r="BL131">
        <v>49.807968780000003</v>
      </c>
      <c r="BM131">
        <v>51.006366810000003</v>
      </c>
      <c r="BN131">
        <v>51.074142530000003</v>
      </c>
      <c r="BO131">
        <v>51.141918259999997</v>
      </c>
      <c r="BP131">
        <v>51.209693979999997</v>
      </c>
      <c r="BQ131">
        <v>51.277469709999998</v>
      </c>
      <c r="BR131">
        <v>51.345245429999999</v>
      </c>
      <c r="BS131">
        <v>52.478943309999998</v>
      </c>
      <c r="BT131">
        <v>53.612641199999999</v>
      </c>
      <c r="BU131">
        <v>54.746339079999998</v>
      </c>
      <c r="BV131">
        <v>55.880036969999999</v>
      </c>
      <c r="BW131">
        <v>57.013734849999999</v>
      </c>
      <c r="BX131">
        <v>58.147432739999999</v>
      </c>
      <c r="BY131">
        <v>59.281130619999999</v>
      </c>
      <c r="BZ131">
        <v>60.41482851</v>
      </c>
      <c r="CA131">
        <v>61.548526389999999</v>
      </c>
      <c r="CB131">
        <v>62.68222428</v>
      </c>
      <c r="CC131">
        <v>64.22874204</v>
      </c>
      <c r="CD131">
        <v>65.775259809999994</v>
      </c>
      <c r="CE131">
        <v>67.321777569999995</v>
      </c>
      <c r="CF131">
        <v>64.206171699999999</v>
      </c>
      <c r="CG131">
        <v>64.587158549999998</v>
      </c>
      <c r="CH131">
        <v>64.968145410000005</v>
      </c>
      <c r="CI131">
        <v>65.349132269999998</v>
      </c>
      <c r="CJ131">
        <v>65.730119119999998</v>
      </c>
      <c r="CK131">
        <v>66.111105980000005</v>
      </c>
      <c r="CL131">
        <v>66.492092830000004</v>
      </c>
      <c r="CM131">
        <v>66.492092830000004</v>
      </c>
      <c r="CN131">
        <v>66.492092830000004</v>
      </c>
      <c r="CO131">
        <v>66.492092830000004</v>
      </c>
      <c r="CP131">
        <v>66.492092830000004</v>
      </c>
      <c r="CQ131">
        <v>66.492092830000004</v>
      </c>
      <c r="CR131">
        <v>66.492092830000004</v>
      </c>
      <c r="CS131">
        <v>66.492092830000004</v>
      </c>
      <c r="CT131">
        <v>66.492092830000004</v>
      </c>
      <c r="CU131">
        <v>66.492092830000004</v>
      </c>
      <c r="CV131">
        <v>66.492092830000004</v>
      </c>
      <c r="CW131">
        <v>66.492092830000004</v>
      </c>
      <c r="CX131">
        <v>66.492092830000004</v>
      </c>
    </row>
    <row r="132" spans="1:102" x14ac:dyDescent="0.3">
      <c r="A132" t="s">
        <v>220</v>
      </c>
      <c r="B132" t="s">
        <v>221</v>
      </c>
      <c r="C132" t="s">
        <v>222</v>
      </c>
      <c r="D132" t="s">
        <v>223</v>
      </c>
      <c r="E132" t="s">
        <v>504</v>
      </c>
      <c r="F132" t="s">
        <v>225</v>
      </c>
      <c r="G132" t="s">
        <v>226</v>
      </c>
      <c r="H132" t="s">
        <v>226</v>
      </c>
      <c r="I132" t="s">
        <v>226</v>
      </c>
      <c r="J132" t="s">
        <v>227</v>
      </c>
      <c r="K132" t="s">
        <v>228</v>
      </c>
      <c r="L132" t="s">
        <v>228</v>
      </c>
      <c r="M132" t="s">
        <v>228</v>
      </c>
      <c r="N132" t="s">
        <v>228</v>
      </c>
      <c r="O132" t="s">
        <v>229</v>
      </c>
      <c r="P132">
        <v>2</v>
      </c>
      <c r="Q132" t="s">
        <v>230</v>
      </c>
      <c r="R132" t="s">
        <v>231</v>
      </c>
      <c r="S132" t="s">
        <v>232</v>
      </c>
      <c r="T132">
        <v>0</v>
      </c>
      <c r="U132" t="s">
        <v>230</v>
      </c>
      <c r="V132" t="s">
        <v>233</v>
      </c>
      <c r="W132" t="s">
        <v>223</v>
      </c>
      <c r="X132" t="s">
        <v>234</v>
      </c>
      <c r="Y132" t="s">
        <v>505</v>
      </c>
      <c r="Z132" t="s">
        <v>232</v>
      </c>
      <c r="AA132" t="s">
        <v>236</v>
      </c>
      <c r="AB132" t="s">
        <v>237</v>
      </c>
      <c r="AC132" t="s">
        <v>236</v>
      </c>
      <c r="AD132" t="s">
        <v>238</v>
      </c>
      <c r="AE132" t="s">
        <v>239</v>
      </c>
      <c r="AF132" t="s">
        <v>239</v>
      </c>
      <c r="AG132" t="s">
        <v>239</v>
      </c>
      <c r="AH132" t="s">
        <v>239</v>
      </c>
      <c r="AI132" t="s">
        <v>240</v>
      </c>
      <c r="AJ132" t="s">
        <v>241</v>
      </c>
      <c r="AK132" t="s">
        <v>242</v>
      </c>
      <c r="AL132" t="s">
        <v>234</v>
      </c>
      <c r="AM132" t="s">
        <v>243</v>
      </c>
      <c r="AN132" t="s">
        <v>244</v>
      </c>
      <c r="AO132" t="s">
        <v>245</v>
      </c>
      <c r="BO132">
        <v>9.2678406000000005E-2</v>
      </c>
      <c r="BP132">
        <v>9.7953946E-2</v>
      </c>
      <c r="BQ132">
        <v>0.103229486</v>
      </c>
      <c r="BR132">
        <v>0.108505026</v>
      </c>
      <c r="BS132">
        <v>0.113780566</v>
      </c>
      <c r="BT132">
        <v>0.11905610599999999</v>
      </c>
      <c r="BU132">
        <v>0.124331646</v>
      </c>
      <c r="BV132">
        <v>0.12960718600000001</v>
      </c>
      <c r="BW132">
        <v>0.13488272600000001</v>
      </c>
      <c r="BX132">
        <v>0.140158266</v>
      </c>
      <c r="BY132">
        <v>0.145433806</v>
      </c>
      <c r="BZ132">
        <v>0.15070934599999999</v>
      </c>
      <c r="CA132">
        <v>0.15598488599999999</v>
      </c>
      <c r="CB132">
        <v>0.16126042600000001</v>
      </c>
      <c r="CC132">
        <v>0.16570899</v>
      </c>
      <c r="CD132">
        <v>0.17015755299999999</v>
      </c>
      <c r="CE132">
        <v>0.17460611700000001</v>
      </c>
      <c r="CF132">
        <v>0.17905467999999999</v>
      </c>
      <c r="CG132">
        <v>0.18350324400000001</v>
      </c>
      <c r="CH132">
        <v>0.18350324400000001</v>
      </c>
      <c r="CI132">
        <v>0.18350324400000001</v>
      </c>
      <c r="CJ132">
        <v>0.18350324400000001</v>
      </c>
      <c r="CK132">
        <v>0.18350324400000001</v>
      </c>
      <c r="CL132">
        <v>0.18350324400000001</v>
      </c>
      <c r="CM132">
        <v>0.18350324400000001</v>
      </c>
      <c r="CN132">
        <v>0.18350324400000001</v>
      </c>
      <c r="CO132">
        <v>0.18350324400000001</v>
      </c>
      <c r="CP132">
        <v>0.18350324400000001</v>
      </c>
      <c r="CQ132">
        <v>0.18350324400000001</v>
      </c>
      <c r="CR132">
        <v>0.18350324400000001</v>
      </c>
      <c r="CS132">
        <v>0.18350324400000001</v>
      </c>
      <c r="CT132">
        <v>0.18350324400000001</v>
      </c>
      <c r="CU132">
        <v>0.18350324400000001</v>
      </c>
      <c r="CV132">
        <v>0.18350324400000001</v>
      </c>
      <c r="CW132">
        <v>0.18350324400000001</v>
      </c>
      <c r="CX132">
        <v>0.18350324400000001</v>
      </c>
    </row>
    <row r="133" spans="1:102" x14ac:dyDescent="0.3">
      <c r="A133" t="s">
        <v>220</v>
      </c>
      <c r="B133" t="s">
        <v>221</v>
      </c>
      <c r="C133" t="s">
        <v>222</v>
      </c>
      <c r="D133" t="s">
        <v>223</v>
      </c>
      <c r="E133" t="s">
        <v>506</v>
      </c>
      <c r="F133" t="s">
        <v>225</v>
      </c>
      <c r="G133" t="s">
        <v>226</v>
      </c>
      <c r="H133" t="s">
        <v>226</v>
      </c>
      <c r="I133" t="s">
        <v>226</v>
      </c>
      <c r="J133" t="s">
        <v>227</v>
      </c>
      <c r="K133" t="s">
        <v>228</v>
      </c>
      <c r="L133" t="s">
        <v>228</v>
      </c>
      <c r="M133" t="s">
        <v>228</v>
      </c>
      <c r="N133" t="s">
        <v>228</v>
      </c>
      <c r="O133" t="s">
        <v>229</v>
      </c>
      <c r="P133">
        <v>2</v>
      </c>
      <c r="Q133" t="s">
        <v>230</v>
      </c>
      <c r="R133" t="s">
        <v>231</v>
      </c>
      <c r="S133" t="s">
        <v>232</v>
      </c>
      <c r="T133">
        <v>0</v>
      </c>
      <c r="U133" t="s">
        <v>230</v>
      </c>
      <c r="V133" t="s">
        <v>233</v>
      </c>
      <c r="W133" t="s">
        <v>223</v>
      </c>
      <c r="X133" t="s">
        <v>234</v>
      </c>
      <c r="Y133" t="s">
        <v>507</v>
      </c>
      <c r="Z133" t="s">
        <v>232</v>
      </c>
      <c r="AA133" t="s">
        <v>236</v>
      </c>
      <c r="AB133" t="s">
        <v>237</v>
      </c>
      <c r="AC133" t="s">
        <v>236</v>
      </c>
      <c r="AD133" t="s">
        <v>238</v>
      </c>
      <c r="AE133" t="s">
        <v>239</v>
      </c>
      <c r="AF133" t="s">
        <v>239</v>
      </c>
      <c r="AG133" t="s">
        <v>239</v>
      </c>
      <c r="AH133" t="s">
        <v>239</v>
      </c>
      <c r="AI133" t="s">
        <v>240</v>
      </c>
      <c r="AJ133" t="s">
        <v>241</v>
      </c>
      <c r="AK133" t="s">
        <v>242</v>
      </c>
      <c r="AL133" t="s">
        <v>234</v>
      </c>
      <c r="AM133" t="s">
        <v>243</v>
      </c>
      <c r="AN133" t="s">
        <v>244</v>
      </c>
      <c r="AO133" t="s">
        <v>245</v>
      </c>
      <c r="BT133">
        <v>71.547803049999999</v>
      </c>
      <c r="BU133">
        <v>72.14837713</v>
      </c>
      <c r="BV133">
        <v>64.619121219999997</v>
      </c>
      <c r="BW133">
        <v>61.691322589999999</v>
      </c>
      <c r="BX133">
        <v>59.425921840000001</v>
      </c>
      <c r="BY133">
        <v>55.279311110000002</v>
      </c>
      <c r="BZ133">
        <v>45.197615370000001</v>
      </c>
      <c r="CA133">
        <v>52.850518880000003</v>
      </c>
      <c r="CB133">
        <v>48.5316847</v>
      </c>
      <c r="CC133">
        <v>43.819827779999997</v>
      </c>
      <c r="CD133">
        <v>43.802163829999998</v>
      </c>
      <c r="CE133">
        <v>46.447339370000002</v>
      </c>
      <c r="CF133">
        <v>49.348642079999998</v>
      </c>
      <c r="CG133">
        <v>52.108633249999997</v>
      </c>
      <c r="CH133">
        <v>53.627732389999998</v>
      </c>
      <c r="CI133">
        <v>53.367189230000001</v>
      </c>
      <c r="CJ133">
        <v>50.916317069999998</v>
      </c>
      <c r="CK133">
        <v>49.19408258</v>
      </c>
      <c r="CL133">
        <v>48.443364979999998</v>
      </c>
      <c r="CM133">
        <v>49.882976370000002</v>
      </c>
      <c r="CN133">
        <v>52.881430780000002</v>
      </c>
      <c r="CO133">
        <v>52.965334509999998</v>
      </c>
      <c r="CP133">
        <v>51.190108189999997</v>
      </c>
      <c r="CQ133">
        <v>51.618458820000001</v>
      </c>
      <c r="CR133">
        <v>52.453080149999998</v>
      </c>
      <c r="CS133">
        <v>53.521748729999999</v>
      </c>
      <c r="CT133">
        <v>53.729300070000001</v>
      </c>
      <c r="CU133">
        <v>55.597262090000001</v>
      </c>
      <c r="CV133">
        <v>53.888628840000003</v>
      </c>
      <c r="CW133">
        <v>57.265886510000001</v>
      </c>
      <c r="CX133">
        <v>57.52704791</v>
      </c>
    </row>
    <row r="134" spans="1:102" x14ac:dyDescent="0.3">
      <c r="A134" t="s">
        <v>220</v>
      </c>
      <c r="B134" t="s">
        <v>221</v>
      </c>
      <c r="C134" t="s">
        <v>222</v>
      </c>
      <c r="D134" t="s">
        <v>223</v>
      </c>
      <c r="E134" t="s">
        <v>508</v>
      </c>
      <c r="F134" t="s">
        <v>225</v>
      </c>
      <c r="G134" t="s">
        <v>226</v>
      </c>
      <c r="H134" t="s">
        <v>226</v>
      </c>
      <c r="I134" t="s">
        <v>226</v>
      </c>
      <c r="J134" t="s">
        <v>227</v>
      </c>
      <c r="K134" t="s">
        <v>228</v>
      </c>
      <c r="L134" t="s">
        <v>228</v>
      </c>
      <c r="M134" t="s">
        <v>228</v>
      </c>
      <c r="N134" t="s">
        <v>228</v>
      </c>
      <c r="O134" t="s">
        <v>229</v>
      </c>
      <c r="P134">
        <v>2</v>
      </c>
      <c r="Q134" t="s">
        <v>230</v>
      </c>
      <c r="R134" t="s">
        <v>231</v>
      </c>
      <c r="S134" t="s">
        <v>232</v>
      </c>
      <c r="T134">
        <v>0</v>
      </c>
      <c r="U134" t="s">
        <v>230</v>
      </c>
      <c r="V134" t="s">
        <v>233</v>
      </c>
      <c r="W134" t="s">
        <v>223</v>
      </c>
      <c r="X134" t="s">
        <v>234</v>
      </c>
      <c r="Y134" t="s">
        <v>509</v>
      </c>
      <c r="Z134" t="s">
        <v>232</v>
      </c>
      <c r="AA134" t="s">
        <v>236</v>
      </c>
      <c r="AB134" t="s">
        <v>237</v>
      </c>
      <c r="AC134" t="s">
        <v>236</v>
      </c>
      <c r="AD134" t="s">
        <v>238</v>
      </c>
      <c r="AE134" t="s">
        <v>239</v>
      </c>
      <c r="AF134" t="s">
        <v>239</v>
      </c>
      <c r="AG134" t="s">
        <v>239</v>
      </c>
      <c r="AH134" t="s">
        <v>239</v>
      </c>
      <c r="AI134" t="s">
        <v>240</v>
      </c>
      <c r="AJ134" t="s">
        <v>241</v>
      </c>
      <c r="AK134" t="s">
        <v>242</v>
      </c>
      <c r="AL134" t="s">
        <v>234</v>
      </c>
      <c r="AM134" t="s">
        <v>243</v>
      </c>
      <c r="AN134" t="s">
        <v>244</v>
      </c>
      <c r="AO134" t="s">
        <v>245</v>
      </c>
      <c r="BT134">
        <v>23.471365970000001</v>
      </c>
      <c r="BU134">
        <v>23.972607459999999</v>
      </c>
      <c r="BV134">
        <v>24.473848960000002</v>
      </c>
      <c r="BW134">
        <v>24.975090460000001</v>
      </c>
      <c r="BX134">
        <v>25.47633196</v>
      </c>
      <c r="BY134">
        <v>25.977573459999999</v>
      </c>
      <c r="BZ134">
        <v>26.47881495</v>
      </c>
      <c r="CA134">
        <v>26.980056449999999</v>
      </c>
      <c r="CB134">
        <v>31.196612940000001</v>
      </c>
      <c r="CC134">
        <v>30.408650869999999</v>
      </c>
      <c r="CD134">
        <v>29.6206888</v>
      </c>
      <c r="CE134">
        <v>28.832726730000001</v>
      </c>
      <c r="CF134">
        <v>29.3679591</v>
      </c>
      <c r="CG134">
        <v>29.903191459999999</v>
      </c>
      <c r="CH134">
        <v>30.438423830000001</v>
      </c>
      <c r="CI134">
        <v>30.802662850000001</v>
      </c>
      <c r="CJ134">
        <v>31.166901880000001</v>
      </c>
      <c r="CK134">
        <v>33.521503379999999</v>
      </c>
      <c r="CL134">
        <v>34.880784370000001</v>
      </c>
      <c r="CM134">
        <v>36.199212660000001</v>
      </c>
      <c r="CN134">
        <v>37.51764094</v>
      </c>
      <c r="CO134">
        <v>38.059867789999998</v>
      </c>
      <c r="CP134">
        <v>38.602094630000003</v>
      </c>
      <c r="CQ134">
        <v>39.894525739999999</v>
      </c>
      <c r="CR134">
        <v>44.276907080000001</v>
      </c>
      <c r="CS134">
        <v>43.667076430000002</v>
      </c>
      <c r="CT134">
        <v>45.378875440000002</v>
      </c>
      <c r="CU134">
        <v>46.301582109999998</v>
      </c>
      <c r="CV134">
        <v>46.128099229999997</v>
      </c>
      <c r="CW134">
        <v>43.378147519999999</v>
      </c>
      <c r="CX134">
        <v>47.886533460000003</v>
      </c>
    </row>
    <row r="135" spans="1:102" x14ac:dyDescent="0.3">
      <c r="A135" t="s">
        <v>220</v>
      </c>
      <c r="B135" t="s">
        <v>221</v>
      </c>
      <c r="C135" t="s">
        <v>222</v>
      </c>
      <c r="D135" t="s">
        <v>223</v>
      </c>
      <c r="E135" t="s">
        <v>510</v>
      </c>
      <c r="F135" t="s">
        <v>225</v>
      </c>
      <c r="G135" t="s">
        <v>226</v>
      </c>
      <c r="H135" t="s">
        <v>226</v>
      </c>
      <c r="I135" t="s">
        <v>226</v>
      </c>
      <c r="J135" t="s">
        <v>227</v>
      </c>
      <c r="K135" t="s">
        <v>228</v>
      </c>
      <c r="L135" t="s">
        <v>228</v>
      </c>
      <c r="M135" t="s">
        <v>228</v>
      </c>
      <c r="N135" t="s">
        <v>228</v>
      </c>
      <c r="O135" t="s">
        <v>229</v>
      </c>
      <c r="P135">
        <v>2</v>
      </c>
      <c r="Q135" t="s">
        <v>230</v>
      </c>
      <c r="R135" t="s">
        <v>231</v>
      </c>
      <c r="S135" t="s">
        <v>232</v>
      </c>
      <c r="T135">
        <v>0</v>
      </c>
      <c r="U135" t="s">
        <v>230</v>
      </c>
      <c r="V135" t="s">
        <v>233</v>
      </c>
      <c r="W135" t="s">
        <v>223</v>
      </c>
      <c r="X135" t="s">
        <v>234</v>
      </c>
      <c r="Y135" t="s">
        <v>511</v>
      </c>
      <c r="Z135" t="s">
        <v>232</v>
      </c>
      <c r="AA135" t="s">
        <v>236</v>
      </c>
      <c r="AB135" t="s">
        <v>237</v>
      </c>
      <c r="AC135" t="s">
        <v>236</v>
      </c>
      <c r="AD135" t="s">
        <v>238</v>
      </c>
      <c r="AE135" t="s">
        <v>239</v>
      </c>
      <c r="AF135" t="s">
        <v>239</v>
      </c>
      <c r="AG135" t="s">
        <v>239</v>
      </c>
      <c r="AH135" t="s">
        <v>239</v>
      </c>
      <c r="AI135" t="s">
        <v>240</v>
      </c>
      <c r="AJ135" t="s">
        <v>241</v>
      </c>
      <c r="AK135" t="s">
        <v>242</v>
      </c>
      <c r="AL135" t="s">
        <v>234</v>
      </c>
      <c r="AM135" t="s">
        <v>243</v>
      </c>
      <c r="AN135" t="s">
        <v>244</v>
      </c>
      <c r="AO135" t="s">
        <v>245</v>
      </c>
      <c r="BO135">
        <v>1.1384615389999999</v>
      </c>
      <c r="BP135">
        <v>1.1192899409999999</v>
      </c>
      <c r="BQ135">
        <v>1.1001183430000001</v>
      </c>
      <c r="BR135">
        <v>1.080946746</v>
      </c>
      <c r="BS135">
        <v>1.0617751479999999</v>
      </c>
      <c r="BT135">
        <v>1.0426035499999999</v>
      </c>
      <c r="BU135">
        <v>1.023431953</v>
      </c>
      <c r="BV135">
        <v>1.004260355</v>
      </c>
      <c r="BW135">
        <v>0.98508875699999998</v>
      </c>
      <c r="BX135">
        <v>0.96591716000000005</v>
      </c>
      <c r="BY135">
        <v>0.94674556200000004</v>
      </c>
      <c r="BZ135">
        <v>0.927573965</v>
      </c>
      <c r="CA135">
        <v>0.90840236699999999</v>
      </c>
      <c r="CB135">
        <v>0.88923076899999998</v>
      </c>
      <c r="CC135">
        <v>0.85692307700000003</v>
      </c>
      <c r="CD135">
        <v>0.863461539</v>
      </c>
      <c r="CE135">
        <v>0.87</v>
      </c>
      <c r="CF135">
        <v>0.87653846199999996</v>
      </c>
      <c r="CG135">
        <v>0.88307692299999996</v>
      </c>
      <c r="CH135">
        <v>0.92047337299999998</v>
      </c>
      <c r="CI135">
        <v>0.95786982300000001</v>
      </c>
      <c r="CJ135">
        <v>0.99526627199999995</v>
      </c>
      <c r="CK135">
        <v>1.032662722</v>
      </c>
      <c r="CL135">
        <v>1.0700591719999999</v>
      </c>
      <c r="CM135">
        <v>1.1074556209999999</v>
      </c>
      <c r="CN135">
        <v>1.1448520710000001</v>
      </c>
      <c r="CO135">
        <v>1.182248521</v>
      </c>
      <c r="CP135">
        <v>1.2196449700000001</v>
      </c>
      <c r="CQ135">
        <v>1.25704142</v>
      </c>
      <c r="CR135">
        <v>1.2944378700000001</v>
      </c>
      <c r="CS135">
        <v>1.33183432</v>
      </c>
      <c r="CT135">
        <v>1.3692307690000001</v>
      </c>
      <c r="CU135">
        <v>1.3692307690000001</v>
      </c>
      <c r="CV135">
        <v>1.3692307690000001</v>
      </c>
      <c r="CW135">
        <v>1.3692307690000001</v>
      </c>
      <c r="CX135">
        <v>1.3692307690000001</v>
      </c>
    </row>
    <row r="136" spans="1:102" x14ac:dyDescent="0.3">
      <c r="A136" t="s">
        <v>220</v>
      </c>
      <c r="B136" t="s">
        <v>221</v>
      </c>
      <c r="C136" t="s">
        <v>222</v>
      </c>
      <c r="D136" t="s">
        <v>223</v>
      </c>
      <c r="E136" t="s">
        <v>512</v>
      </c>
      <c r="F136" t="s">
        <v>225</v>
      </c>
      <c r="G136" t="s">
        <v>226</v>
      </c>
      <c r="H136" t="s">
        <v>226</v>
      </c>
      <c r="I136" t="s">
        <v>226</v>
      </c>
      <c r="J136" t="s">
        <v>227</v>
      </c>
      <c r="K136" t="s">
        <v>228</v>
      </c>
      <c r="L136" t="s">
        <v>228</v>
      </c>
      <c r="M136" t="s">
        <v>228</v>
      </c>
      <c r="N136" t="s">
        <v>228</v>
      </c>
      <c r="O136" t="s">
        <v>229</v>
      </c>
      <c r="P136">
        <v>2</v>
      </c>
      <c r="Q136" t="s">
        <v>230</v>
      </c>
      <c r="R136" t="s">
        <v>231</v>
      </c>
      <c r="S136" t="s">
        <v>232</v>
      </c>
      <c r="T136">
        <v>0</v>
      </c>
      <c r="U136" t="s">
        <v>230</v>
      </c>
      <c r="V136" t="s">
        <v>233</v>
      </c>
      <c r="W136" t="s">
        <v>223</v>
      </c>
      <c r="X136" t="s">
        <v>234</v>
      </c>
      <c r="Y136" t="s">
        <v>513</v>
      </c>
      <c r="Z136" t="s">
        <v>232</v>
      </c>
      <c r="AA136" t="s">
        <v>236</v>
      </c>
      <c r="AB136" t="s">
        <v>237</v>
      </c>
      <c r="AC136" t="s">
        <v>236</v>
      </c>
      <c r="AD136" t="s">
        <v>238</v>
      </c>
      <c r="AE136" t="s">
        <v>239</v>
      </c>
      <c r="AF136" t="s">
        <v>239</v>
      </c>
      <c r="AG136" t="s">
        <v>239</v>
      </c>
      <c r="AH136" t="s">
        <v>239</v>
      </c>
      <c r="AI136" t="s">
        <v>240</v>
      </c>
      <c r="AJ136" t="s">
        <v>241</v>
      </c>
      <c r="AK136" t="s">
        <v>242</v>
      </c>
      <c r="AL136" t="s">
        <v>234</v>
      </c>
      <c r="AM136" t="s">
        <v>243</v>
      </c>
      <c r="AN136" t="s">
        <v>244</v>
      </c>
      <c r="AO136" t="s">
        <v>245</v>
      </c>
      <c r="BM136">
        <v>2.6666666669999999</v>
      </c>
      <c r="BN136">
        <v>2.9111111109999999</v>
      </c>
      <c r="BO136">
        <v>3.1555555559999999</v>
      </c>
      <c r="BP136">
        <v>3.4</v>
      </c>
      <c r="BQ136">
        <v>3.6444444439999999</v>
      </c>
      <c r="BR136">
        <v>3.888888889</v>
      </c>
      <c r="BS136">
        <v>4.1333333330000004</v>
      </c>
      <c r="BT136">
        <v>4.3777777779999996</v>
      </c>
      <c r="BU136">
        <v>4.6222222220000004</v>
      </c>
      <c r="BV136">
        <v>4.8333333329999997</v>
      </c>
      <c r="BW136">
        <v>5.1111111109999996</v>
      </c>
      <c r="BX136">
        <v>5.3555555559999997</v>
      </c>
      <c r="BY136">
        <v>5.6</v>
      </c>
      <c r="BZ136">
        <v>5.8111111109999998</v>
      </c>
      <c r="CA136">
        <v>6.0888888889999997</v>
      </c>
      <c r="CB136">
        <v>6.3333333329999997</v>
      </c>
      <c r="CC136">
        <v>6.3333333329999997</v>
      </c>
      <c r="CD136">
        <v>6.3333333329999997</v>
      </c>
      <c r="CE136">
        <v>6.3333333329999997</v>
      </c>
      <c r="CF136">
        <v>6.3333333329999997</v>
      </c>
      <c r="CG136">
        <v>6.3333333329999997</v>
      </c>
      <c r="CH136">
        <v>6.3333333329999997</v>
      </c>
      <c r="CI136">
        <v>6.3333333329999997</v>
      </c>
      <c r="CJ136">
        <v>6.3333333329999997</v>
      </c>
      <c r="CK136">
        <v>6.3333333329999997</v>
      </c>
      <c r="CL136">
        <v>6.3333333329999997</v>
      </c>
      <c r="CM136">
        <v>6.3333333329999997</v>
      </c>
      <c r="CN136">
        <v>6.3333333329999997</v>
      </c>
      <c r="CO136">
        <v>6.3333333329999997</v>
      </c>
      <c r="CP136">
        <v>6.3333333329999997</v>
      </c>
      <c r="CQ136">
        <v>6.3333333329999997</v>
      </c>
      <c r="CR136">
        <v>6.3333333329999997</v>
      </c>
      <c r="CS136">
        <v>6.3333333329999997</v>
      </c>
      <c r="CT136">
        <v>6.3333333329999997</v>
      </c>
      <c r="CU136">
        <v>6.3333333329999997</v>
      </c>
      <c r="CV136">
        <v>6.3333333329999997</v>
      </c>
      <c r="CW136">
        <v>6.3333333329999997</v>
      </c>
      <c r="CX136">
        <v>6.3333333329999997</v>
      </c>
    </row>
    <row r="137" spans="1:102" x14ac:dyDescent="0.3">
      <c r="A137" t="s">
        <v>220</v>
      </c>
      <c r="B137" t="s">
        <v>221</v>
      </c>
      <c r="C137" t="s">
        <v>222</v>
      </c>
      <c r="D137" t="s">
        <v>223</v>
      </c>
      <c r="E137" t="s">
        <v>514</v>
      </c>
      <c r="F137" t="s">
        <v>225</v>
      </c>
      <c r="G137" t="s">
        <v>226</v>
      </c>
      <c r="H137" t="s">
        <v>226</v>
      </c>
      <c r="I137" t="s">
        <v>226</v>
      </c>
      <c r="J137" t="s">
        <v>227</v>
      </c>
      <c r="K137" t="s">
        <v>228</v>
      </c>
      <c r="L137" t="s">
        <v>228</v>
      </c>
      <c r="M137" t="s">
        <v>228</v>
      </c>
      <c r="N137" t="s">
        <v>228</v>
      </c>
      <c r="O137" t="s">
        <v>229</v>
      </c>
      <c r="P137">
        <v>2</v>
      </c>
      <c r="Q137" t="s">
        <v>230</v>
      </c>
      <c r="R137" t="s">
        <v>231</v>
      </c>
      <c r="S137" t="s">
        <v>232</v>
      </c>
      <c r="T137">
        <v>0</v>
      </c>
      <c r="U137" t="s">
        <v>230</v>
      </c>
      <c r="V137" t="s">
        <v>233</v>
      </c>
      <c r="W137" t="s">
        <v>223</v>
      </c>
      <c r="X137" t="s">
        <v>234</v>
      </c>
      <c r="Y137" t="s">
        <v>515</v>
      </c>
      <c r="Z137" t="s">
        <v>232</v>
      </c>
      <c r="AA137" t="s">
        <v>236</v>
      </c>
      <c r="AB137" t="s">
        <v>237</v>
      </c>
      <c r="AC137" t="s">
        <v>236</v>
      </c>
      <c r="AD137" t="s">
        <v>238</v>
      </c>
      <c r="AE137" t="s">
        <v>239</v>
      </c>
      <c r="AF137" t="s">
        <v>239</v>
      </c>
      <c r="AG137" t="s">
        <v>239</v>
      </c>
      <c r="AH137" t="s">
        <v>239</v>
      </c>
      <c r="AI137" t="s">
        <v>240</v>
      </c>
      <c r="AJ137" t="s">
        <v>241</v>
      </c>
      <c r="AK137" t="s">
        <v>242</v>
      </c>
      <c r="AL137" t="s">
        <v>234</v>
      </c>
      <c r="AM137" t="s">
        <v>243</v>
      </c>
      <c r="AN137" t="s">
        <v>244</v>
      </c>
      <c r="AO137" t="s">
        <v>245</v>
      </c>
      <c r="BU137">
        <v>3.1377245509999998</v>
      </c>
      <c r="BV137">
        <v>2.9520958080000002</v>
      </c>
      <c r="BW137">
        <v>2.7664670660000001</v>
      </c>
      <c r="BX137">
        <v>2.6906187629999998</v>
      </c>
      <c r="BY137">
        <v>5.6368330469999997</v>
      </c>
      <c r="BZ137">
        <v>5.4381812969999999</v>
      </c>
      <c r="CA137">
        <v>5.2395295470000001</v>
      </c>
      <c r="CB137">
        <v>5.0408777970000003</v>
      </c>
      <c r="CC137">
        <v>4.875</v>
      </c>
      <c r="CD137">
        <v>4.7091222029999997</v>
      </c>
      <c r="CE137">
        <v>4.4401893289999999</v>
      </c>
      <c r="CF137">
        <v>4.1712564539999999</v>
      </c>
      <c r="CG137">
        <v>3.90232358</v>
      </c>
      <c r="CH137">
        <v>3.4311531839999998</v>
      </c>
      <c r="CI137">
        <v>2.959982788</v>
      </c>
      <c r="CJ137">
        <v>2.8558519790000001</v>
      </c>
      <c r="CK137">
        <v>2.7026678139999998</v>
      </c>
      <c r="CL137">
        <v>2.5847676420000001</v>
      </c>
      <c r="CM137">
        <v>2.552065405</v>
      </c>
      <c r="CN137">
        <v>2.862736661</v>
      </c>
      <c r="CO137">
        <v>2.7426850260000002</v>
      </c>
      <c r="CP137">
        <v>2.4066265059999998</v>
      </c>
      <c r="CQ137">
        <v>2.4681583479999998</v>
      </c>
      <c r="CR137">
        <v>2.3894148020000001</v>
      </c>
      <c r="CS137">
        <v>2.3937177279999999</v>
      </c>
      <c r="CT137">
        <v>2.3945783129999998</v>
      </c>
      <c r="CU137">
        <v>2.4036144579999998</v>
      </c>
      <c r="CV137">
        <v>2.3881239239999998</v>
      </c>
      <c r="CW137">
        <v>2.436631239</v>
      </c>
      <c r="CX137">
        <v>2.4252302929999998</v>
      </c>
    </row>
    <row r="138" spans="1:102" x14ac:dyDescent="0.3">
      <c r="A138" t="s">
        <v>220</v>
      </c>
      <c r="B138" t="s">
        <v>221</v>
      </c>
      <c r="C138" t="s">
        <v>222</v>
      </c>
      <c r="D138" t="s">
        <v>223</v>
      </c>
      <c r="E138" t="s">
        <v>516</v>
      </c>
      <c r="F138" t="s">
        <v>225</v>
      </c>
      <c r="G138" t="s">
        <v>226</v>
      </c>
      <c r="H138" t="s">
        <v>226</v>
      </c>
      <c r="I138" t="s">
        <v>226</v>
      </c>
      <c r="J138" t="s">
        <v>227</v>
      </c>
      <c r="K138" t="s">
        <v>228</v>
      </c>
      <c r="L138" t="s">
        <v>228</v>
      </c>
      <c r="M138" t="s">
        <v>228</v>
      </c>
      <c r="N138" t="s">
        <v>228</v>
      </c>
      <c r="O138" t="s">
        <v>229</v>
      </c>
      <c r="P138">
        <v>2</v>
      </c>
      <c r="Q138" t="s">
        <v>230</v>
      </c>
      <c r="R138" t="s">
        <v>231</v>
      </c>
      <c r="S138" t="s">
        <v>232</v>
      </c>
      <c r="T138">
        <v>0</v>
      </c>
      <c r="U138" t="s">
        <v>230</v>
      </c>
      <c r="V138" t="s">
        <v>233</v>
      </c>
      <c r="W138" t="s">
        <v>223</v>
      </c>
      <c r="X138" t="s">
        <v>234</v>
      </c>
      <c r="Y138" t="s">
        <v>517</v>
      </c>
      <c r="Z138" t="s">
        <v>232</v>
      </c>
      <c r="AA138" t="s">
        <v>236</v>
      </c>
      <c r="AB138" t="s">
        <v>237</v>
      </c>
      <c r="AC138" t="s">
        <v>236</v>
      </c>
      <c r="AD138" t="s">
        <v>238</v>
      </c>
      <c r="AE138" t="s">
        <v>239</v>
      </c>
      <c r="AF138" t="s">
        <v>239</v>
      </c>
      <c r="AG138" t="s">
        <v>239</v>
      </c>
      <c r="AH138" t="s">
        <v>239</v>
      </c>
      <c r="AI138" t="s">
        <v>240</v>
      </c>
      <c r="AJ138" t="s">
        <v>241</v>
      </c>
      <c r="AK138" t="s">
        <v>242</v>
      </c>
      <c r="AL138" t="s">
        <v>234</v>
      </c>
      <c r="AM138" t="s">
        <v>243</v>
      </c>
      <c r="AN138" t="s">
        <v>244</v>
      </c>
      <c r="AO138" t="s">
        <v>245</v>
      </c>
      <c r="CN138">
        <v>4.2260757870000001</v>
      </c>
      <c r="CO138">
        <v>4.2260757870000001</v>
      </c>
      <c r="CP138">
        <v>4.2260757870000001</v>
      </c>
      <c r="CQ138">
        <v>4.2260757870000001</v>
      </c>
      <c r="CR138">
        <v>4.2260757870000001</v>
      </c>
      <c r="CS138">
        <v>4.2260757870000001</v>
      </c>
      <c r="CT138">
        <v>4.2260757870000001</v>
      </c>
      <c r="CU138">
        <v>4.2260757870000001</v>
      </c>
      <c r="CV138">
        <v>4.2260757870000001</v>
      </c>
      <c r="CW138">
        <v>4.2260757870000001</v>
      </c>
      <c r="CX138">
        <v>4.2260757870000001</v>
      </c>
    </row>
    <row r="139" spans="1:102" x14ac:dyDescent="0.3">
      <c r="A139" t="s">
        <v>220</v>
      </c>
      <c r="B139" t="s">
        <v>221</v>
      </c>
      <c r="C139" t="s">
        <v>222</v>
      </c>
      <c r="D139" t="s">
        <v>223</v>
      </c>
      <c r="E139" t="s">
        <v>518</v>
      </c>
      <c r="F139" t="s">
        <v>225</v>
      </c>
      <c r="G139" t="s">
        <v>226</v>
      </c>
      <c r="H139" t="s">
        <v>226</v>
      </c>
      <c r="I139" t="s">
        <v>226</v>
      </c>
      <c r="J139" t="s">
        <v>227</v>
      </c>
      <c r="K139" t="s">
        <v>228</v>
      </c>
      <c r="L139" t="s">
        <v>228</v>
      </c>
      <c r="M139" t="s">
        <v>228</v>
      </c>
      <c r="N139" t="s">
        <v>228</v>
      </c>
      <c r="O139" t="s">
        <v>229</v>
      </c>
      <c r="P139">
        <v>2</v>
      </c>
      <c r="Q139" t="s">
        <v>230</v>
      </c>
      <c r="R139" t="s">
        <v>231</v>
      </c>
      <c r="S139" t="s">
        <v>232</v>
      </c>
      <c r="T139">
        <v>0</v>
      </c>
      <c r="U139" t="s">
        <v>230</v>
      </c>
      <c r="V139" t="s">
        <v>233</v>
      </c>
      <c r="W139" t="s">
        <v>223</v>
      </c>
      <c r="X139" t="s">
        <v>234</v>
      </c>
      <c r="Y139" t="s">
        <v>519</v>
      </c>
      <c r="Z139" t="s">
        <v>232</v>
      </c>
      <c r="AA139" t="s">
        <v>236</v>
      </c>
      <c r="AB139" t="s">
        <v>237</v>
      </c>
      <c r="AC139" t="s">
        <v>236</v>
      </c>
      <c r="AD139" t="s">
        <v>238</v>
      </c>
      <c r="AE139" t="s">
        <v>239</v>
      </c>
      <c r="AF139" t="s">
        <v>239</v>
      </c>
      <c r="AG139" t="s">
        <v>239</v>
      </c>
      <c r="AH139" t="s">
        <v>239</v>
      </c>
      <c r="AI139" t="s">
        <v>240</v>
      </c>
      <c r="AJ139" t="s">
        <v>241</v>
      </c>
      <c r="AK139" t="s">
        <v>242</v>
      </c>
      <c r="AL139" t="s">
        <v>234</v>
      </c>
      <c r="AM139" t="s">
        <v>243</v>
      </c>
      <c r="AN139" t="s">
        <v>244</v>
      </c>
      <c r="AO139" t="s">
        <v>245</v>
      </c>
      <c r="BO139">
        <v>2.950609365</v>
      </c>
      <c r="BP139">
        <v>3.054226082</v>
      </c>
      <c r="BQ139">
        <v>3.157842799</v>
      </c>
      <c r="BR139">
        <v>3.2614595159999999</v>
      </c>
      <c r="BS139">
        <v>3.3650762319999998</v>
      </c>
      <c r="BT139">
        <v>3.4686929489999998</v>
      </c>
      <c r="BU139">
        <v>3.5723096660000002</v>
      </c>
      <c r="BV139">
        <v>3.6759263830000002</v>
      </c>
      <c r="BW139">
        <v>3.7795431000000002</v>
      </c>
      <c r="BX139">
        <v>3.8831598170000001</v>
      </c>
      <c r="BY139">
        <v>3.986776533</v>
      </c>
      <c r="BZ139">
        <v>4.09039325</v>
      </c>
      <c r="CA139">
        <v>4.1940099670000004</v>
      </c>
      <c r="CB139">
        <v>4.2976266839999999</v>
      </c>
      <c r="CC139">
        <v>4.2397904640000004</v>
      </c>
      <c r="CD139">
        <v>4.1819542439999999</v>
      </c>
      <c r="CE139">
        <v>4.1241180240000004</v>
      </c>
      <c r="CF139">
        <v>4.066281805</v>
      </c>
      <c r="CG139">
        <v>4.0084455849999996</v>
      </c>
      <c r="CH139">
        <v>3.950609365</v>
      </c>
      <c r="CI139">
        <v>3.950609365</v>
      </c>
      <c r="CJ139">
        <v>3.950609365</v>
      </c>
      <c r="CK139">
        <v>3.950609365</v>
      </c>
      <c r="CL139">
        <v>3.950609365</v>
      </c>
      <c r="CM139">
        <v>3.950609365</v>
      </c>
      <c r="CN139">
        <v>3.950609365</v>
      </c>
      <c r="CO139">
        <v>3.950609365</v>
      </c>
      <c r="CP139">
        <v>3.950609365</v>
      </c>
      <c r="CQ139">
        <v>3.950609365</v>
      </c>
      <c r="CR139">
        <v>3.950609365</v>
      </c>
      <c r="CS139">
        <v>3.950609365</v>
      </c>
      <c r="CT139">
        <v>3.950609365</v>
      </c>
      <c r="CU139">
        <v>3.950609365</v>
      </c>
      <c r="CV139">
        <v>3.950609365</v>
      </c>
      <c r="CW139">
        <v>3.950609365</v>
      </c>
      <c r="CX139">
        <v>3.950609365</v>
      </c>
    </row>
    <row r="140" spans="1:102" x14ac:dyDescent="0.3">
      <c r="A140" t="s">
        <v>220</v>
      </c>
      <c r="B140" t="s">
        <v>221</v>
      </c>
      <c r="C140" t="s">
        <v>222</v>
      </c>
      <c r="D140" t="s">
        <v>223</v>
      </c>
      <c r="E140" t="s">
        <v>520</v>
      </c>
      <c r="F140" t="s">
        <v>225</v>
      </c>
      <c r="G140" t="s">
        <v>226</v>
      </c>
      <c r="H140" t="s">
        <v>226</v>
      </c>
      <c r="I140" t="s">
        <v>226</v>
      </c>
      <c r="J140" t="s">
        <v>227</v>
      </c>
      <c r="K140" t="s">
        <v>228</v>
      </c>
      <c r="L140" t="s">
        <v>228</v>
      </c>
      <c r="M140" t="s">
        <v>228</v>
      </c>
      <c r="N140" t="s">
        <v>228</v>
      </c>
      <c r="O140" t="s">
        <v>229</v>
      </c>
      <c r="P140">
        <v>2</v>
      </c>
      <c r="Q140" t="s">
        <v>230</v>
      </c>
      <c r="R140" t="s">
        <v>231</v>
      </c>
      <c r="S140" t="s">
        <v>232</v>
      </c>
      <c r="T140">
        <v>0</v>
      </c>
      <c r="U140" t="s">
        <v>230</v>
      </c>
      <c r="V140" t="s">
        <v>233</v>
      </c>
      <c r="W140" t="s">
        <v>223</v>
      </c>
      <c r="X140" t="s">
        <v>234</v>
      </c>
      <c r="Y140" t="s">
        <v>521</v>
      </c>
      <c r="Z140" t="s">
        <v>232</v>
      </c>
      <c r="AA140" t="s">
        <v>236</v>
      </c>
      <c r="AB140" t="s">
        <v>237</v>
      </c>
      <c r="AC140" t="s">
        <v>236</v>
      </c>
      <c r="AD140" t="s">
        <v>238</v>
      </c>
      <c r="AE140" t="s">
        <v>239</v>
      </c>
      <c r="AF140" t="s">
        <v>239</v>
      </c>
      <c r="AG140" t="s">
        <v>239</v>
      </c>
      <c r="AH140" t="s">
        <v>239</v>
      </c>
      <c r="AI140" t="s">
        <v>240</v>
      </c>
      <c r="AJ140" t="s">
        <v>241</v>
      </c>
      <c r="AK140" t="s">
        <v>242</v>
      </c>
      <c r="AL140" t="s">
        <v>234</v>
      </c>
      <c r="AM140" t="s">
        <v>243</v>
      </c>
      <c r="AN140" t="s">
        <v>244</v>
      </c>
      <c r="AO140" t="s">
        <v>245</v>
      </c>
      <c r="AX140">
        <v>19.46998378</v>
      </c>
      <c r="AY140">
        <v>22.093023259999999</v>
      </c>
      <c r="AZ140">
        <v>24.716062740000002</v>
      </c>
      <c r="BA140">
        <v>27.339102220000001</v>
      </c>
      <c r="BB140">
        <v>29.9621417</v>
      </c>
      <c r="BC140">
        <v>32.585181179999999</v>
      </c>
      <c r="BD140">
        <v>32.585181179999999</v>
      </c>
      <c r="BE140">
        <v>32.585181179999999</v>
      </c>
      <c r="BF140">
        <v>32.585181179999999</v>
      </c>
      <c r="BG140">
        <v>32.585181179999999</v>
      </c>
      <c r="BH140">
        <v>32.585181179999999</v>
      </c>
      <c r="BI140">
        <v>35.289345590000003</v>
      </c>
      <c r="BJ140">
        <v>37.993510010000001</v>
      </c>
      <c r="BK140">
        <v>40.697674419999998</v>
      </c>
      <c r="BL140">
        <v>43.401838830000003</v>
      </c>
      <c r="BM140">
        <v>46.106003250000001</v>
      </c>
      <c r="BN140">
        <v>41.148368490000003</v>
      </c>
      <c r="BO140">
        <v>36.190733729999998</v>
      </c>
      <c r="BP140">
        <v>31.23309897</v>
      </c>
      <c r="BQ140">
        <v>33.16797287</v>
      </c>
      <c r="BR140">
        <v>35.102846769999999</v>
      </c>
      <c r="BS140">
        <v>33.6325413</v>
      </c>
      <c r="BT140">
        <v>32.16223583</v>
      </c>
      <c r="BU140">
        <v>30.691930360000001</v>
      </c>
      <c r="BV140">
        <v>29.221624890000001</v>
      </c>
      <c r="BW140">
        <v>27.751319429999999</v>
      </c>
      <c r="BX140">
        <v>26.281013959999999</v>
      </c>
      <c r="BY140">
        <v>24.81070849</v>
      </c>
      <c r="BZ140">
        <v>23.382368849999999</v>
      </c>
      <c r="CA140">
        <v>21.954029210000002</v>
      </c>
      <c r="CB140">
        <v>20.52568956</v>
      </c>
      <c r="CC140">
        <v>19.097349919999999</v>
      </c>
      <c r="CD140">
        <v>17.669010279999998</v>
      </c>
      <c r="CE140">
        <v>17.450874349999999</v>
      </c>
      <c r="CF140">
        <v>17.23273842</v>
      </c>
      <c r="CG140">
        <v>17.014602490000001</v>
      </c>
      <c r="CH140">
        <v>16.01676582</v>
      </c>
      <c r="CI140">
        <v>15.01892915</v>
      </c>
      <c r="CJ140">
        <v>18.820984320000001</v>
      </c>
      <c r="CK140">
        <v>17.83937263</v>
      </c>
      <c r="CL140">
        <v>21.873985940000001</v>
      </c>
      <c r="CM140">
        <v>23.409951329999998</v>
      </c>
      <c r="CN140">
        <v>19.69983775</v>
      </c>
      <c r="CO140">
        <v>27.28501893</v>
      </c>
      <c r="CP140">
        <v>26.749594380000001</v>
      </c>
      <c r="CQ140">
        <v>21.952406710000002</v>
      </c>
      <c r="CR140">
        <v>23.985803140000002</v>
      </c>
      <c r="CS140">
        <v>24.223850729999999</v>
      </c>
      <c r="CT140">
        <v>29.903109789999998</v>
      </c>
      <c r="CU140">
        <v>25.570416439999999</v>
      </c>
      <c r="CV140">
        <v>25.61592753</v>
      </c>
      <c r="CW140">
        <v>25.937398590000001</v>
      </c>
      <c r="CX140">
        <v>25.26636019</v>
      </c>
    </row>
    <row r="141" spans="1:102" x14ac:dyDescent="0.3">
      <c r="A141" t="s">
        <v>220</v>
      </c>
      <c r="B141" t="s">
        <v>221</v>
      </c>
      <c r="C141" t="s">
        <v>222</v>
      </c>
      <c r="D141" t="s">
        <v>223</v>
      </c>
      <c r="E141" t="s">
        <v>522</v>
      </c>
      <c r="F141" t="s">
        <v>225</v>
      </c>
      <c r="G141" t="s">
        <v>226</v>
      </c>
      <c r="H141" t="s">
        <v>226</v>
      </c>
      <c r="I141" t="s">
        <v>226</v>
      </c>
      <c r="J141" t="s">
        <v>227</v>
      </c>
      <c r="K141" t="s">
        <v>228</v>
      </c>
      <c r="L141" t="s">
        <v>228</v>
      </c>
      <c r="M141" t="s">
        <v>228</v>
      </c>
      <c r="N141" t="s">
        <v>228</v>
      </c>
      <c r="O141" t="s">
        <v>229</v>
      </c>
      <c r="P141">
        <v>2</v>
      </c>
      <c r="Q141" t="s">
        <v>230</v>
      </c>
      <c r="R141" t="s">
        <v>231</v>
      </c>
      <c r="S141" t="s">
        <v>232</v>
      </c>
      <c r="T141">
        <v>0</v>
      </c>
      <c r="U141" t="s">
        <v>230</v>
      </c>
      <c r="V141" t="s">
        <v>233</v>
      </c>
      <c r="W141" t="s">
        <v>223</v>
      </c>
      <c r="X141" t="s">
        <v>234</v>
      </c>
      <c r="Y141" t="s">
        <v>523</v>
      </c>
      <c r="Z141" t="s">
        <v>232</v>
      </c>
      <c r="AA141" t="s">
        <v>236</v>
      </c>
      <c r="AB141" t="s">
        <v>237</v>
      </c>
      <c r="AC141" t="s">
        <v>236</v>
      </c>
      <c r="AD141" t="s">
        <v>238</v>
      </c>
      <c r="AE141" t="s">
        <v>239</v>
      </c>
      <c r="AF141" t="s">
        <v>239</v>
      </c>
      <c r="AG141" t="s">
        <v>239</v>
      </c>
      <c r="AH141" t="s">
        <v>239</v>
      </c>
      <c r="AI141" t="s">
        <v>240</v>
      </c>
      <c r="AJ141" t="s">
        <v>241</v>
      </c>
      <c r="AK141" t="s">
        <v>242</v>
      </c>
      <c r="AL141" t="s">
        <v>234</v>
      </c>
      <c r="AM141" t="s">
        <v>243</v>
      </c>
      <c r="AN141" t="s">
        <v>244</v>
      </c>
      <c r="AO141" t="s">
        <v>245</v>
      </c>
      <c r="AX141">
        <v>1.307759372</v>
      </c>
      <c r="AY141">
        <v>1.4068584710000001</v>
      </c>
      <c r="AZ141">
        <v>1.5059575709999999</v>
      </c>
      <c r="BA141">
        <v>1.60505667</v>
      </c>
      <c r="BB141">
        <v>1.704155769</v>
      </c>
      <c r="BC141">
        <v>1.803254868</v>
      </c>
      <c r="BD141">
        <v>1.902353967</v>
      </c>
      <c r="BE141">
        <v>2.0014530659999998</v>
      </c>
      <c r="BF141">
        <v>2.1005521649999999</v>
      </c>
      <c r="BG141">
        <v>2.1996512639999999</v>
      </c>
      <c r="BH141">
        <v>2.2987503629999999</v>
      </c>
      <c r="BI141">
        <v>2.3978494619999999</v>
      </c>
      <c r="BJ141">
        <v>2.496948562</v>
      </c>
      <c r="BK141">
        <v>2.5960476610000001</v>
      </c>
      <c r="BL141">
        <v>2.6951467600000001</v>
      </c>
      <c r="BM141">
        <v>2.7942458590000001</v>
      </c>
      <c r="BN141">
        <v>2.8933449580000001</v>
      </c>
      <c r="BO141">
        <v>2.9924440570000002</v>
      </c>
      <c r="BP141">
        <v>3.0915431560000002</v>
      </c>
      <c r="BQ141">
        <v>3.1906422550000002</v>
      </c>
      <c r="BR141">
        <v>3.2897413539999998</v>
      </c>
      <c r="BS141">
        <v>3.3888404529999998</v>
      </c>
      <c r="BT141">
        <v>3.4879395529999999</v>
      </c>
      <c r="BU141">
        <v>3.5870386519999999</v>
      </c>
      <c r="BV141">
        <v>3.686137751</v>
      </c>
      <c r="BW141">
        <v>3.78523685</v>
      </c>
      <c r="BX141">
        <v>3.884335949</v>
      </c>
      <c r="BY141">
        <v>3.983435048</v>
      </c>
      <c r="BZ141">
        <v>4.0825341469999996</v>
      </c>
      <c r="CA141">
        <v>4.1816332459999996</v>
      </c>
      <c r="CB141">
        <v>4.2807323449999997</v>
      </c>
      <c r="CC141">
        <v>4.398975589</v>
      </c>
      <c r="CD141">
        <v>4.5172188320000002</v>
      </c>
      <c r="CE141">
        <v>4.6354620750000004</v>
      </c>
      <c r="CF141">
        <v>4.7537053179999997</v>
      </c>
      <c r="CG141">
        <v>4.871948562</v>
      </c>
      <c r="CH141">
        <v>4.9901918050000003</v>
      </c>
      <c r="CI141">
        <v>5.1084350479999996</v>
      </c>
      <c r="CJ141">
        <v>5.2266782909999998</v>
      </c>
      <c r="CK141">
        <v>5.344921534</v>
      </c>
      <c r="CL141">
        <v>5.4631647780000003</v>
      </c>
      <c r="CM141">
        <v>5.594485615</v>
      </c>
      <c r="CN141">
        <v>5.7345248470000003</v>
      </c>
      <c r="CO141">
        <v>5.8309721010000004</v>
      </c>
      <c r="CP141">
        <v>5.9326503920000002</v>
      </c>
      <c r="CQ141">
        <v>6.27059721</v>
      </c>
      <c r="CR141">
        <v>6.3147340889999999</v>
      </c>
      <c r="CS141">
        <v>6.3147340889999999</v>
      </c>
      <c r="CT141">
        <v>6.3147340889999999</v>
      </c>
      <c r="CU141">
        <v>6.3147340889999999</v>
      </c>
      <c r="CV141">
        <v>6.3147340889999999</v>
      </c>
      <c r="CW141">
        <v>6.3147340889999999</v>
      </c>
      <c r="CX141">
        <v>6.3147340889999999</v>
      </c>
    </row>
    <row r="142" spans="1:102" x14ac:dyDescent="0.3">
      <c r="A142" t="s">
        <v>220</v>
      </c>
      <c r="B142" t="s">
        <v>221</v>
      </c>
      <c r="C142" t="s">
        <v>222</v>
      </c>
      <c r="D142" t="s">
        <v>223</v>
      </c>
      <c r="E142" t="s">
        <v>524</v>
      </c>
      <c r="F142" t="s">
        <v>225</v>
      </c>
      <c r="G142" t="s">
        <v>226</v>
      </c>
      <c r="H142" t="s">
        <v>226</v>
      </c>
      <c r="I142" t="s">
        <v>226</v>
      </c>
      <c r="J142" t="s">
        <v>227</v>
      </c>
      <c r="K142" t="s">
        <v>228</v>
      </c>
      <c r="L142" t="s">
        <v>228</v>
      </c>
      <c r="M142" t="s">
        <v>228</v>
      </c>
      <c r="N142" t="s">
        <v>228</v>
      </c>
      <c r="O142" t="s">
        <v>229</v>
      </c>
      <c r="P142">
        <v>2</v>
      </c>
      <c r="Q142" t="s">
        <v>230</v>
      </c>
      <c r="R142" t="s">
        <v>231</v>
      </c>
      <c r="S142" t="s">
        <v>232</v>
      </c>
      <c r="T142">
        <v>0</v>
      </c>
      <c r="U142" t="s">
        <v>230</v>
      </c>
      <c r="V142" t="s">
        <v>233</v>
      </c>
      <c r="W142" t="s">
        <v>223</v>
      </c>
      <c r="X142" t="s">
        <v>234</v>
      </c>
      <c r="Y142" t="s">
        <v>525</v>
      </c>
      <c r="Z142" t="s">
        <v>232</v>
      </c>
      <c r="AA142" t="s">
        <v>236</v>
      </c>
      <c r="AB142" t="s">
        <v>237</v>
      </c>
      <c r="AC142" t="s">
        <v>236</v>
      </c>
      <c r="AD142" t="s">
        <v>238</v>
      </c>
      <c r="AE142" t="s">
        <v>239</v>
      </c>
      <c r="AF142" t="s">
        <v>239</v>
      </c>
      <c r="AG142" t="s">
        <v>239</v>
      </c>
      <c r="AH142" t="s">
        <v>239</v>
      </c>
      <c r="AI142" t="s">
        <v>240</v>
      </c>
      <c r="AJ142" t="s">
        <v>241</v>
      </c>
      <c r="AK142" t="s">
        <v>242</v>
      </c>
      <c r="AL142" t="s">
        <v>234</v>
      </c>
      <c r="AM142" t="s">
        <v>243</v>
      </c>
      <c r="AN142" t="s">
        <v>244</v>
      </c>
      <c r="AO142" t="s">
        <v>245</v>
      </c>
      <c r="BV142">
        <v>154.18124460000001</v>
      </c>
      <c r="BW142">
        <v>153.9978423</v>
      </c>
      <c r="BX142">
        <v>153.81443999999999</v>
      </c>
      <c r="BY142">
        <v>153.63103770000001</v>
      </c>
      <c r="BZ142">
        <v>153.4476354</v>
      </c>
      <c r="CA142">
        <v>153.26423310000001</v>
      </c>
      <c r="CB142">
        <v>153.0808308</v>
      </c>
      <c r="CC142">
        <v>154.11528530000001</v>
      </c>
      <c r="CD142">
        <v>150.8316605</v>
      </c>
      <c r="CE142">
        <v>147.54803559999999</v>
      </c>
      <c r="CF142">
        <v>144.26441070000001</v>
      </c>
      <c r="CG142">
        <v>140.98078580000001</v>
      </c>
      <c r="CH142">
        <v>141.39502279999999</v>
      </c>
      <c r="CI142">
        <v>141.80925980000001</v>
      </c>
      <c r="CJ142">
        <v>142.22349679999999</v>
      </c>
      <c r="CK142">
        <v>142.63773380000001</v>
      </c>
      <c r="CL142">
        <v>143.05197079999999</v>
      </c>
      <c r="CM142">
        <v>143.46620780000001</v>
      </c>
      <c r="CN142">
        <v>143.88044479999999</v>
      </c>
      <c r="CO142">
        <v>144.29468180000001</v>
      </c>
      <c r="CP142">
        <v>144.70891879999999</v>
      </c>
      <c r="CQ142">
        <v>158.12733009999999</v>
      </c>
      <c r="CR142">
        <v>156.4468024</v>
      </c>
      <c r="CS142">
        <v>168.924577</v>
      </c>
      <c r="CT142">
        <v>160.38428450000001</v>
      </c>
      <c r="CU142">
        <v>151.84399199999999</v>
      </c>
      <c r="CV142">
        <v>143.38973329999999</v>
      </c>
      <c r="CW142">
        <v>121.8812733</v>
      </c>
      <c r="CX142">
        <v>123.0283912</v>
      </c>
    </row>
    <row r="143" spans="1:102" x14ac:dyDescent="0.3">
      <c r="A143" t="s">
        <v>220</v>
      </c>
      <c r="B143" t="s">
        <v>221</v>
      </c>
      <c r="C143" t="s">
        <v>222</v>
      </c>
      <c r="D143" t="s">
        <v>223</v>
      </c>
      <c r="E143" t="s">
        <v>526</v>
      </c>
      <c r="F143" t="s">
        <v>225</v>
      </c>
      <c r="G143" t="s">
        <v>226</v>
      </c>
      <c r="H143" t="s">
        <v>226</v>
      </c>
      <c r="I143" t="s">
        <v>226</v>
      </c>
      <c r="J143" t="s">
        <v>227</v>
      </c>
      <c r="K143" t="s">
        <v>228</v>
      </c>
      <c r="L143" t="s">
        <v>228</v>
      </c>
      <c r="M143" t="s">
        <v>228</v>
      </c>
      <c r="N143" t="s">
        <v>228</v>
      </c>
      <c r="O143" t="s">
        <v>229</v>
      </c>
      <c r="P143">
        <v>2</v>
      </c>
      <c r="Q143" t="s">
        <v>230</v>
      </c>
      <c r="R143" t="s">
        <v>231</v>
      </c>
      <c r="S143" t="s">
        <v>232</v>
      </c>
      <c r="T143">
        <v>0</v>
      </c>
      <c r="U143" t="s">
        <v>230</v>
      </c>
      <c r="V143" t="s">
        <v>233</v>
      </c>
      <c r="W143" t="s">
        <v>223</v>
      </c>
      <c r="X143" t="s">
        <v>234</v>
      </c>
      <c r="Y143" t="s">
        <v>527</v>
      </c>
      <c r="Z143" t="s">
        <v>232</v>
      </c>
      <c r="AA143" t="s">
        <v>236</v>
      </c>
      <c r="AB143" t="s">
        <v>237</v>
      </c>
      <c r="AC143" t="s">
        <v>236</v>
      </c>
      <c r="AD143" t="s">
        <v>238</v>
      </c>
      <c r="AE143" t="s">
        <v>239</v>
      </c>
      <c r="AF143" t="s">
        <v>239</v>
      </c>
      <c r="AG143" t="s">
        <v>239</v>
      </c>
      <c r="AH143" t="s">
        <v>239</v>
      </c>
      <c r="AI143" t="s">
        <v>240</v>
      </c>
      <c r="AJ143" t="s">
        <v>241</v>
      </c>
      <c r="AK143" t="s">
        <v>242</v>
      </c>
      <c r="AL143" t="s">
        <v>234</v>
      </c>
      <c r="AM143" t="s">
        <v>243</v>
      </c>
      <c r="AN143" t="s">
        <v>244</v>
      </c>
      <c r="AO143" t="s">
        <v>245</v>
      </c>
      <c r="BH143">
        <v>104.8118856</v>
      </c>
      <c r="BI143">
        <v>104.67883809999999</v>
      </c>
      <c r="BJ143">
        <v>104.5457905</v>
      </c>
      <c r="BK143">
        <v>104.41274300000001</v>
      </c>
      <c r="BL143">
        <v>104.2796955</v>
      </c>
      <c r="BM143">
        <v>104.1466479</v>
      </c>
      <c r="BN143">
        <v>100.2255402</v>
      </c>
      <c r="BO143">
        <v>96.304432449999993</v>
      </c>
      <c r="BP143">
        <v>92.383324709999997</v>
      </c>
      <c r="BQ143">
        <v>88.46221697</v>
      </c>
      <c r="BR143">
        <v>56.3505556</v>
      </c>
      <c r="BS143">
        <v>55.248724959999997</v>
      </c>
      <c r="BT143">
        <v>54.146894330000002</v>
      </c>
      <c r="BU143">
        <v>53.045063689999999</v>
      </c>
      <c r="BV143">
        <v>51.943233050000003</v>
      </c>
      <c r="BW143">
        <v>50.841402420000001</v>
      </c>
      <c r="BX143">
        <v>49.739571779999999</v>
      </c>
      <c r="BY143">
        <v>48.637741149999997</v>
      </c>
      <c r="BZ143">
        <v>47.535910510000001</v>
      </c>
      <c r="CA143">
        <v>46.434079879999999</v>
      </c>
      <c r="CB143">
        <v>45.330031779999999</v>
      </c>
      <c r="CC143">
        <v>43.117747059999999</v>
      </c>
      <c r="CD143">
        <v>48.70056915</v>
      </c>
      <c r="CE143">
        <v>48.128612609999998</v>
      </c>
      <c r="CF143">
        <v>47.556656070000003</v>
      </c>
      <c r="CG143">
        <v>46.98469953</v>
      </c>
      <c r="CH143">
        <v>46.412742999999999</v>
      </c>
      <c r="CI143">
        <v>45.840786459999997</v>
      </c>
      <c r="CJ143">
        <v>47.490575800000002</v>
      </c>
      <c r="CK143">
        <v>45.238376819999999</v>
      </c>
      <c r="CL143">
        <v>44.053514669999998</v>
      </c>
      <c r="CM143">
        <v>47.19491463</v>
      </c>
      <c r="CN143">
        <v>42.239633380000001</v>
      </c>
      <c r="CO143">
        <v>40.41688225</v>
      </c>
      <c r="CP143">
        <v>39.736861560000001</v>
      </c>
      <c r="CQ143">
        <v>41.609875080000002</v>
      </c>
      <c r="CR143">
        <v>42.050410229999997</v>
      </c>
      <c r="CS143">
        <v>41.821272819999997</v>
      </c>
      <c r="CT143">
        <v>40.099046489999999</v>
      </c>
      <c r="CU143">
        <v>40.0768719</v>
      </c>
      <c r="CV143">
        <v>36.728509129999999</v>
      </c>
      <c r="CW143">
        <v>38.524650749999999</v>
      </c>
      <c r="CX143">
        <v>40.23530092</v>
      </c>
    </row>
    <row r="144" spans="1:102" x14ac:dyDescent="0.3">
      <c r="A144" t="s">
        <v>220</v>
      </c>
      <c r="B144" t="s">
        <v>221</v>
      </c>
      <c r="C144" t="s">
        <v>222</v>
      </c>
      <c r="D144" t="s">
        <v>223</v>
      </c>
      <c r="E144" t="s">
        <v>528</v>
      </c>
      <c r="F144" t="s">
        <v>225</v>
      </c>
      <c r="G144" t="s">
        <v>226</v>
      </c>
      <c r="H144" t="s">
        <v>226</v>
      </c>
      <c r="I144" t="s">
        <v>226</v>
      </c>
      <c r="J144" t="s">
        <v>227</v>
      </c>
      <c r="K144" t="s">
        <v>228</v>
      </c>
      <c r="L144" t="s">
        <v>228</v>
      </c>
      <c r="M144" t="s">
        <v>228</v>
      </c>
      <c r="N144" t="s">
        <v>228</v>
      </c>
      <c r="O144" t="s">
        <v>229</v>
      </c>
      <c r="P144">
        <v>2</v>
      </c>
      <c r="Q144" t="s">
        <v>230</v>
      </c>
      <c r="R144" t="s">
        <v>231</v>
      </c>
      <c r="S144" t="s">
        <v>232</v>
      </c>
      <c r="T144">
        <v>0</v>
      </c>
      <c r="U144" t="s">
        <v>230</v>
      </c>
      <c r="V144" t="s">
        <v>233</v>
      </c>
      <c r="W144" t="s">
        <v>223</v>
      </c>
      <c r="X144" t="s">
        <v>234</v>
      </c>
      <c r="Y144" t="s">
        <v>529</v>
      </c>
      <c r="Z144" t="s">
        <v>232</v>
      </c>
      <c r="AA144" t="s">
        <v>236</v>
      </c>
      <c r="AB144" t="s">
        <v>237</v>
      </c>
      <c r="AC144" t="s">
        <v>236</v>
      </c>
      <c r="AD144" t="s">
        <v>238</v>
      </c>
      <c r="AE144" t="s">
        <v>239</v>
      </c>
      <c r="AF144" t="s">
        <v>239</v>
      </c>
      <c r="AG144" t="s">
        <v>239</v>
      </c>
      <c r="AH144" t="s">
        <v>239</v>
      </c>
      <c r="AI144" t="s">
        <v>240</v>
      </c>
      <c r="AJ144" t="s">
        <v>241</v>
      </c>
      <c r="AK144" t="s">
        <v>242</v>
      </c>
      <c r="AL144" t="s">
        <v>234</v>
      </c>
      <c r="AM144" t="s">
        <v>243</v>
      </c>
      <c r="AN144" t="s">
        <v>244</v>
      </c>
      <c r="AO144" t="s">
        <v>245</v>
      </c>
      <c r="BH144">
        <v>1.5209125480000001</v>
      </c>
      <c r="BI144">
        <v>1.540869772</v>
      </c>
      <c r="BJ144">
        <v>1.5608269960000001</v>
      </c>
      <c r="BK144">
        <v>1.580784221</v>
      </c>
      <c r="BL144">
        <v>1.6007414449999999</v>
      </c>
      <c r="BM144">
        <v>1.620698669</v>
      </c>
      <c r="BN144">
        <v>1.640655894</v>
      </c>
      <c r="BO144">
        <v>1.6606131180000001</v>
      </c>
      <c r="BP144">
        <v>1.680570342</v>
      </c>
      <c r="BQ144">
        <v>1.700527567</v>
      </c>
      <c r="BR144">
        <v>1.7204847910000001</v>
      </c>
      <c r="BS144">
        <v>1.740442015</v>
      </c>
      <c r="BT144">
        <v>1.7603992399999999</v>
      </c>
      <c r="BU144">
        <v>1.780356464</v>
      </c>
      <c r="BV144">
        <v>1.8003136879999999</v>
      </c>
      <c r="BW144">
        <v>1.8202709130000001</v>
      </c>
      <c r="BX144">
        <v>1.840228137</v>
      </c>
      <c r="BY144">
        <v>1.822078581</v>
      </c>
      <c r="BZ144">
        <v>1.8039290240000001</v>
      </c>
      <c r="CA144">
        <v>1.7857794680000001</v>
      </c>
      <c r="CB144">
        <v>1.829972841</v>
      </c>
      <c r="CC144">
        <v>1.95370994</v>
      </c>
      <c r="CD144">
        <v>1.9422379139999999</v>
      </c>
      <c r="CE144">
        <v>1.9609560020000001</v>
      </c>
      <c r="CF144">
        <v>2.136328083</v>
      </c>
      <c r="CG144">
        <v>2.083030961</v>
      </c>
      <c r="CH144">
        <v>2.2349809889999999</v>
      </c>
      <c r="CI144">
        <v>2.3011406839999999</v>
      </c>
      <c r="CJ144">
        <v>2.2313688209999998</v>
      </c>
      <c r="CK144">
        <v>2.1615969580000001</v>
      </c>
      <c r="CL144">
        <v>2.1335361220000002</v>
      </c>
      <c r="CM144">
        <v>2.1053992400000001</v>
      </c>
      <c r="CN144">
        <v>2.0773384030000002</v>
      </c>
      <c r="CO144">
        <v>2.0941444869999999</v>
      </c>
      <c r="CP144">
        <v>2.1131330799999999</v>
      </c>
      <c r="CQ144">
        <v>2.0633688210000001</v>
      </c>
      <c r="CR144">
        <v>2.0136045629999999</v>
      </c>
      <c r="CS144">
        <v>2.0461064640000002</v>
      </c>
      <c r="CT144">
        <v>2.044449926</v>
      </c>
      <c r="CU144">
        <v>2.0429378740000002</v>
      </c>
      <c r="CV144">
        <v>2.0413117540000001</v>
      </c>
      <c r="CW144">
        <v>2.009498099</v>
      </c>
      <c r="CX144">
        <v>2.044007605</v>
      </c>
    </row>
    <row r="145" spans="1:102" x14ac:dyDescent="0.3">
      <c r="A145" t="s">
        <v>220</v>
      </c>
      <c r="B145" t="s">
        <v>221</v>
      </c>
      <c r="C145" t="s">
        <v>222</v>
      </c>
      <c r="D145" t="s">
        <v>223</v>
      </c>
      <c r="E145" t="s">
        <v>530</v>
      </c>
      <c r="F145" t="s">
        <v>225</v>
      </c>
      <c r="G145" t="s">
        <v>226</v>
      </c>
      <c r="H145" t="s">
        <v>226</v>
      </c>
      <c r="I145" t="s">
        <v>226</v>
      </c>
      <c r="J145" t="s">
        <v>227</v>
      </c>
      <c r="K145" t="s">
        <v>228</v>
      </c>
      <c r="L145" t="s">
        <v>228</v>
      </c>
      <c r="M145" t="s">
        <v>228</v>
      </c>
      <c r="N145" t="s">
        <v>228</v>
      </c>
      <c r="O145" t="s">
        <v>229</v>
      </c>
      <c r="P145">
        <v>2</v>
      </c>
      <c r="Q145" t="s">
        <v>230</v>
      </c>
      <c r="R145" t="s">
        <v>231</v>
      </c>
      <c r="S145" t="s">
        <v>232</v>
      </c>
      <c r="T145">
        <v>0</v>
      </c>
      <c r="U145" t="s">
        <v>230</v>
      </c>
      <c r="V145" t="s">
        <v>233</v>
      </c>
      <c r="W145" t="s">
        <v>223</v>
      </c>
      <c r="X145" t="s">
        <v>234</v>
      </c>
      <c r="Y145" t="s">
        <v>531</v>
      </c>
      <c r="Z145" t="s">
        <v>232</v>
      </c>
      <c r="AA145" t="s">
        <v>236</v>
      </c>
      <c r="AB145" t="s">
        <v>237</v>
      </c>
      <c r="AC145" t="s">
        <v>236</v>
      </c>
      <c r="AD145" t="s">
        <v>238</v>
      </c>
      <c r="AE145" t="s">
        <v>239</v>
      </c>
      <c r="AF145" t="s">
        <v>239</v>
      </c>
      <c r="AG145" t="s">
        <v>239</v>
      </c>
      <c r="AH145" t="s">
        <v>239</v>
      </c>
      <c r="AI145" t="s">
        <v>240</v>
      </c>
      <c r="AJ145" t="s">
        <v>241</v>
      </c>
      <c r="AK145" t="s">
        <v>242</v>
      </c>
      <c r="AL145" t="s">
        <v>234</v>
      </c>
      <c r="AM145" t="s">
        <v>243</v>
      </c>
      <c r="AN145" t="s">
        <v>244</v>
      </c>
      <c r="AO145" t="s">
        <v>245</v>
      </c>
      <c r="BO145">
        <v>0.567741936</v>
      </c>
      <c r="BP145">
        <v>0.56888888900000001</v>
      </c>
      <c r="BQ145">
        <v>0.57003584200000001</v>
      </c>
      <c r="BR145">
        <v>0.57118279599999999</v>
      </c>
      <c r="BS145">
        <v>0.572329749</v>
      </c>
      <c r="BT145">
        <v>0.57347670299999998</v>
      </c>
      <c r="BU145">
        <v>0.67498207899999996</v>
      </c>
      <c r="BV145">
        <v>0.77648745500000005</v>
      </c>
      <c r="BW145">
        <v>0.877992832</v>
      </c>
      <c r="BX145">
        <v>0.97949820799999998</v>
      </c>
      <c r="BY145">
        <v>1.0810035840000001</v>
      </c>
      <c r="BZ145">
        <v>1.1825089609999999</v>
      </c>
      <c r="CA145">
        <v>1.2840143369999999</v>
      </c>
      <c r="CB145">
        <v>1.3855197130000001</v>
      </c>
      <c r="CC145">
        <v>1.420501792</v>
      </c>
      <c r="CD145">
        <v>1.455483871</v>
      </c>
      <c r="CE145">
        <v>1.4904659499999999</v>
      </c>
      <c r="CF145">
        <v>1.5254480290000001</v>
      </c>
      <c r="CG145">
        <v>1.560430108</v>
      </c>
      <c r="CH145">
        <v>1.560430108</v>
      </c>
      <c r="CI145">
        <v>1.560430108</v>
      </c>
      <c r="CJ145">
        <v>1.560430108</v>
      </c>
      <c r="CK145">
        <v>1.560430108</v>
      </c>
      <c r="CL145">
        <v>1.560430108</v>
      </c>
      <c r="CM145">
        <v>1.560430108</v>
      </c>
      <c r="CN145">
        <v>1.560430108</v>
      </c>
      <c r="CO145">
        <v>1.560430108</v>
      </c>
      <c r="CP145">
        <v>1.560430108</v>
      </c>
      <c r="CQ145">
        <v>1.560430108</v>
      </c>
      <c r="CR145">
        <v>1.560430108</v>
      </c>
      <c r="CS145">
        <v>1.560430108</v>
      </c>
      <c r="CT145">
        <v>1.560430108</v>
      </c>
      <c r="CU145">
        <v>1.560430108</v>
      </c>
      <c r="CV145">
        <v>1.560430108</v>
      </c>
      <c r="CW145">
        <v>1.560430108</v>
      </c>
      <c r="CX145">
        <v>1.560430108</v>
      </c>
    </row>
    <row r="146" spans="1:102" x14ac:dyDescent="0.3">
      <c r="A146" t="s">
        <v>220</v>
      </c>
      <c r="B146" t="s">
        <v>221</v>
      </c>
      <c r="C146" t="s">
        <v>222</v>
      </c>
      <c r="D146" t="s">
        <v>223</v>
      </c>
      <c r="E146" t="s">
        <v>532</v>
      </c>
      <c r="F146" t="s">
        <v>225</v>
      </c>
      <c r="G146" t="s">
        <v>226</v>
      </c>
      <c r="H146" t="s">
        <v>226</v>
      </c>
      <c r="I146" t="s">
        <v>226</v>
      </c>
      <c r="J146" t="s">
        <v>227</v>
      </c>
      <c r="K146" t="s">
        <v>228</v>
      </c>
      <c r="L146" t="s">
        <v>228</v>
      </c>
      <c r="M146" t="s">
        <v>228</v>
      </c>
      <c r="N146" t="s">
        <v>228</v>
      </c>
      <c r="O146" t="s">
        <v>229</v>
      </c>
      <c r="P146">
        <v>2</v>
      </c>
      <c r="Q146" t="s">
        <v>230</v>
      </c>
      <c r="R146" t="s">
        <v>231</v>
      </c>
      <c r="S146" t="s">
        <v>232</v>
      </c>
      <c r="T146">
        <v>0</v>
      </c>
      <c r="U146" t="s">
        <v>230</v>
      </c>
      <c r="V146" t="s">
        <v>233</v>
      </c>
      <c r="W146" t="s">
        <v>223</v>
      </c>
      <c r="X146" t="s">
        <v>234</v>
      </c>
      <c r="Y146" t="s">
        <v>533</v>
      </c>
      <c r="Z146" t="s">
        <v>232</v>
      </c>
      <c r="AA146" t="s">
        <v>236</v>
      </c>
      <c r="AB146" t="s">
        <v>237</v>
      </c>
      <c r="AC146" t="s">
        <v>236</v>
      </c>
      <c r="AD146" t="s">
        <v>238</v>
      </c>
      <c r="AE146" t="s">
        <v>239</v>
      </c>
      <c r="AF146" t="s">
        <v>239</v>
      </c>
      <c r="AG146" t="s">
        <v>239</v>
      </c>
      <c r="AH146" t="s">
        <v>239</v>
      </c>
      <c r="AI146" t="s">
        <v>240</v>
      </c>
      <c r="AJ146" t="s">
        <v>241</v>
      </c>
      <c r="AK146" t="s">
        <v>242</v>
      </c>
      <c r="AL146" t="s">
        <v>234</v>
      </c>
      <c r="AM146" t="s">
        <v>243</v>
      </c>
      <c r="AN146" t="s">
        <v>244</v>
      </c>
      <c r="AO146" t="s">
        <v>245</v>
      </c>
      <c r="BR146">
        <v>7.211538462</v>
      </c>
      <c r="BS146">
        <v>7.1621394230000002</v>
      </c>
      <c r="BT146">
        <v>7.1127403850000004</v>
      </c>
      <c r="BU146">
        <v>7.0633413459999996</v>
      </c>
      <c r="BV146">
        <v>7.0139423079999998</v>
      </c>
      <c r="BW146">
        <v>6.964543269</v>
      </c>
      <c r="BX146">
        <v>7.7805288460000002</v>
      </c>
      <c r="BY146">
        <v>8.5965144230000003</v>
      </c>
      <c r="BZ146">
        <v>9.4124999999999996</v>
      </c>
      <c r="CA146">
        <v>10.228485579999999</v>
      </c>
      <c r="CB146">
        <v>11.04447115</v>
      </c>
      <c r="CC146">
        <v>10.519591350000001</v>
      </c>
      <c r="CD146">
        <v>9.9947115390000008</v>
      </c>
      <c r="CE146">
        <v>9.4698317309999993</v>
      </c>
      <c r="CF146">
        <v>8.9449519229999996</v>
      </c>
      <c r="CG146">
        <v>8.420072115</v>
      </c>
      <c r="CH146">
        <v>7.6467548079999998</v>
      </c>
      <c r="CI146">
        <v>7.4984374999999996</v>
      </c>
      <c r="CJ146">
        <v>7.3501201920000003</v>
      </c>
      <c r="CK146">
        <v>7.2018028850000002</v>
      </c>
      <c r="CL146">
        <v>7.053485577</v>
      </c>
      <c r="CM146">
        <v>6.9051682689999998</v>
      </c>
      <c r="CN146">
        <v>6.7568509619999997</v>
      </c>
      <c r="CO146">
        <v>6.6085336540000004</v>
      </c>
      <c r="CP146">
        <v>6.4602163460000002</v>
      </c>
      <c r="CQ146">
        <v>5.528846154</v>
      </c>
      <c r="CR146">
        <v>6.5625</v>
      </c>
      <c r="CS146">
        <v>6.556490385</v>
      </c>
      <c r="CT146">
        <v>5.757211539</v>
      </c>
      <c r="CU146">
        <v>6.796875</v>
      </c>
      <c r="CV146">
        <v>4.723557692</v>
      </c>
      <c r="CW146">
        <v>4.783653846</v>
      </c>
      <c r="CX146">
        <v>4.789663462</v>
      </c>
    </row>
    <row r="147" spans="1:102" x14ac:dyDescent="0.3">
      <c r="A147" t="s">
        <v>220</v>
      </c>
      <c r="B147" t="s">
        <v>221</v>
      </c>
      <c r="C147" t="s">
        <v>222</v>
      </c>
      <c r="D147" t="s">
        <v>223</v>
      </c>
      <c r="E147" t="s">
        <v>534</v>
      </c>
      <c r="F147" t="s">
        <v>225</v>
      </c>
      <c r="G147" t="s">
        <v>226</v>
      </c>
      <c r="H147" t="s">
        <v>226</v>
      </c>
      <c r="I147" t="s">
        <v>226</v>
      </c>
      <c r="J147" t="s">
        <v>227</v>
      </c>
      <c r="K147" t="s">
        <v>228</v>
      </c>
      <c r="L147" t="s">
        <v>228</v>
      </c>
      <c r="M147" t="s">
        <v>228</v>
      </c>
      <c r="N147" t="s">
        <v>228</v>
      </c>
      <c r="O147" t="s">
        <v>229</v>
      </c>
      <c r="P147">
        <v>2</v>
      </c>
      <c r="Q147" t="s">
        <v>230</v>
      </c>
      <c r="R147" t="s">
        <v>231</v>
      </c>
      <c r="S147" t="s">
        <v>232</v>
      </c>
      <c r="T147">
        <v>0</v>
      </c>
      <c r="U147" t="s">
        <v>230</v>
      </c>
      <c r="V147" t="s">
        <v>233</v>
      </c>
      <c r="W147" t="s">
        <v>223</v>
      </c>
      <c r="X147" t="s">
        <v>234</v>
      </c>
      <c r="Y147" t="s">
        <v>535</v>
      </c>
      <c r="Z147" t="s">
        <v>232</v>
      </c>
      <c r="AA147" t="s">
        <v>236</v>
      </c>
      <c r="AB147" t="s">
        <v>237</v>
      </c>
      <c r="AC147" t="s">
        <v>236</v>
      </c>
      <c r="AD147" t="s">
        <v>238</v>
      </c>
      <c r="AE147" t="s">
        <v>239</v>
      </c>
      <c r="AF147" t="s">
        <v>239</v>
      </c>
      <c r="AG147" t="s">
        <v>239</v>
      </c>
      <c r="AH147" t="s">
        <v>239</v>
      </c>
      <c r="AI147" t="s">
        <v>240</v>
      </c>
      <c r="AJ147" t="s">
        <v>241</v>
      </c>
      <c r="AK147" t="s">
        <v>242</v>
      </c>
      <c r="AL147" t="s">
        <v>234</v>
      </c>
      <c r="AM147" t="s">
        <v>243</v>
      </c>
      <c r="AN147" t="s">
        <v>244</v>
      </c>
      <c r="AO147" t="s">
        <v>245</v>
      </c>
      <c r="BU147">
        <v>64.514827519999997</v>
      </c>
      <c r="BV147">
        <v>60.177526729999997</v>
      </c>
      <c r="BW147">
        <v>51.059108330000001</v>
      </c>
      <c r="BX147">
        <v>45.93504136</v>
      </c>
      <c r="BY147">
        <v>37.32096026</v>
      </c>
      <c r="BZ147">
        <v>40.225943110000003</v>
      </c>
      <c r="CA147">
        <v>39.661085329999999</v>
      </c>
      <c r="CB147">
        <v>37.744603589999997</v>
      </c>
      <c r="CC147">
        <v>34.819447250000003</v>
      </c>
      <c r="CD147">
        <v>34.960661690000002</v>
      </c>
      <c r="CE147">
        <v>39.862820249999999</v>
      </c>
      <c r="CF147">
        <v>50.494250549999997</v>
      </c>
      <c r="CG147">
        <v>55.900746419999997</v>
      </c>
      <c r="CH147">
        <v>57.030461969999998</v>
      </c>
      <c r="CI147">
        <v>60.762557999999999</v>
      </c>
      <c r="CJ147">
        <v>57.958442609999999</v>
      </c>
      <c r="CK147">
        <v>49.707484370000003</v>
      </c>
      <c r="CL147">
        <v>42.909017550000002</v>
      </c>
      <c r="CM147">
        <v>49.182973570000001</v>
      </c>
      <c r="CN147">
        <v>59.330240060000001</v>
      </c>
      <c r="CO147">
        <v>59.61266895</v>
      </c>
      <c r="CP147">
        <v>57.696187209999998</v>
      </c>
      <c r="CQ147">
        <v>65.987492430000003</v>
      </c>
      <c r="CR147">
        <v>64.171878149999998</v>
      </c>
      <c r="CS147">
        <v>57.897922129999998</v>
      </c>
      <c r="CT147">
        <v>54.750857369999999</v>
      </c>
      <c r="CU147">
        <v>57.797054670000001</v>
      </c>
      <c r="CV147">
        <v>57.090982449999998</v>
      </c>
      <c r="CW147">
        <v>59.854750860000003</v>
      </c>
      <c r="CX147">
        <v>61.972967519999997</v>
      </c>
    </row>
    <row r="148" spans="1:102" x14ac:dyDescent="0.3">
      <c r="A148" t="s">
        <v>220</v>
      </c>
      <c r="B148" t="s">
        <v>221</v>
      </c>
      <c r="C148" t="s">
        <v>222</v>
      </c>
      <c r="D148" t="s">
        <v>223</v>
      </c>
      <c r="E148" t="s">
        <v>536</v>
      </c>
      <c r="F148" t="s">
        <v>225</v>
      </c>
      <c r="G148" t="s">
        <v>226</v>
      </c>
      <c r="H148" t="s">
        <v>226</v>
      </c>
      <c r="I148" t="s">
        <v>226</v>
      </c>
      <c r="J148" t="s">
        <v>227</v>
      </c>
      <c r="K148" t="s">
        <v>228</v>
      </c>
      <c r="L148" t="s">
        <v>228</v>
      </c>
      <c r="M148" t="s">
        <v>228</v>
      </c>
      <c r="N148" t="s">
        <v>228</v>
      </c>
      <c r="O148" t="s">
        <v>229</v>
      </c>
      <c r="P148">
        <v>2</v>
      </c>
      <c r="Q148" t="s">
        <v>230</v>
      </c>
      <c r="R148" t="s">
        <v>231</v>
      </c>
      <c r="S148" t="s">
        <v>232</v>
      </c>
      <c r="T148">
        <v>0</v>
      </c>
      <c r="U148" t="s">
        <v>230</v>
      </c>
      <c r="V148" t="s">
        <v>233</v>
      </c>
      <c r="W148" t="s">
        <v>223</v>
      </c>
      <c r="X148" t="s">
        <v>234</v>
      </c>
      <c r="Y148" t="s">
        <v>537</v>
      </c>
      <c r="Z148" t="s">
        <v>232</v>
      </c>
      <c r="AA148" t="s">
        <v>236</v>
      </c>
      <c r="AB148" t="s">
        <v>237</v>
      </c>
      <c r="AC148" t="s">
        <v>236</v>
      </c>
      <c r="AD148" t="s">
        <v>238</v>
      </c>
      <c r="AE148" t="s">
        <v>239</v>
      </c>
      <c r="AF148" t="s">
        <v>239</v>
      </c>
      <c r="AG148" t="s">
        <v>239</v>
      </c>
      <c r="AH148" t="s">
        <v>239</v>
      </c>
      <c r="AI148" t="s">
        <v>240</v>
      </c>
      <c r="AJ148" t="s">
        <v>241</v>
      </c>
      <c r="AK148" t="s">
        <v>242</v>
      </c>
      <c r="AL148" t="s">
        <v>234</v>
      </c>
      <c r="AM148" t="s">
        <v>243</v>
      </c>
      <c r="AN148" t="s">
        <v>244</v>
      </c>
      <c r="AO148" t="s">
        <v>245</v>
      </c>
      <c r="BC148">
        <v>87.795992709999993</v>
      </c>
      <c r="BD148">
        <v>88.494231940000006</v>
      </c>
      <c r="BE148">
        <v>89.192471159999997</v>
      </c>
      <c r="BF148">
        <v>89.890710380000002</v>
      </c>
      <c r="BG148">
        <v>90.58894961</v>
      </c>
      <c r="BH148">
        <v>91.287188830000005</v>
      </c>
      <c r="BI148">
        <v>91.985428049999996</v>
      </c>
      <c r="BJ148">
        <v>92.683667270000001</v>
      </c>
      <c r="BK148">
        <v>93.381906499999999</v>
      </c>
      <c r="BL148">
        <v>94.080145720000004</v>
      </c>
      <c r="BM148">
        <v>94.778384939999995</v>
      </c>
      <c r="BN148">
        <v>95.476624169999994</v>
      </c>
      <c r="BO148">
        <v>96.174863389999999</v>
      </c>
      <c r="BP148">
        <v>96.873102610000004</v>
      </c>
      <c r="BQ148">
        <v>97.571341829999994</v>
      </c>
      <c r="BR148">
        <v>98.224043719999997</v>
      </c>
      <c r="BS148">
        <v>98.922282940000002</v>
      </c>
      <c r="BT148">
        <v>99.620522159999993</v>
      </c>
      <c r="BU148">
        <v>99.954462660000004</v>
      </c>
      <c r="BV148">
        <v>103.2391361</v>
      </c>
      <c r="BW148">
        <v>106.5238095</v>
      </c>
      <c r="BX148">
        <v>109.8128545</v>
      </c>
      <c r="BY148">
        <v>113.1018996</v>
      </c>
      <c r="BZ148">
        <v>116.3909446</v>
      </c>
      <c r="CA148">
        <v>119.6799896</v>
      </c>
      <c r="CB148">
        <v>103.8797814</v>
      </c>
      <c r="CC148">
        <v>106.9344262</v>
      </c>
      <c r="CD148">
        <v>109.989071</v>
      </c>
      <c r="CE148">
        <v>113.0437158</v>
      </c>
      <c r="CF148">
        <v>116.0983607</v>
      </c>
      <c r="CG148">
        <v>119.15300550000001</v>
      </c>
      <c r="CH148">
        <v>122.2076503</v>
      </c>
      <c r="CI148">
        <v>125.2622951</v>
      </c>
      <c r="CJ148">
        <v>128.31693989999999</v>
      </c>
      <c r="CK148">
        <v>131.3715847</v>
      </c>
      <c r="CL148">
        <v>134.42622950000001</v>
      </c>
      <c r="CM148">
        <v>130.51001819999999</v>
      </c>
      <c r="CN148">
        <v>131.69398910000001</v>
      </c>
      <c r="CO148">
        <v>132.96903459999999</v>
      </c>
      <c r="CP148">
        <v>110.564663</v>
      </c>
      <c r="CQ148">
        <v>110.9289617</v>
      </c>
      <c r="CR148">
        <v>110.4735883</v>
      </c>
      <c r="CS148">
        <v>141.16575589999999</v>
      </c>
      <c r="CT148">
        <v>141.16575589999999</v>
      </c>
      <c r="CU148">
        <v>141.16575589999999</v>
      </c>
      <c r="CV148">
        <v>141.16575589999999</v>
      </c>
      <c r="CW148">
        <v>141.16575589999999</v>
      </c>
      <c r="CX148">
        <v>141.16575589999999</v>
      </c>
    </row>
    <row r="149" spans="1:102" x14ac:dyDescent="0.3">
      <c r="A149" t="s">
        <v>220</v>
      </c>
      <c r="B149" t="s">
        <v>221</v>
      </c>
      <c r="C149" t="s">
        <v>222</v>
      </c>
      <c r="D149" t="s">
        <v>223</v>
      </c>
      <c r="E149" t="s">
        <v>538</v>
      </c>
      <c r="F149" t="s">
        <v>225</v>
      </c>
      <c r="G149" t="s">
        <v>226</v>
      </c>
      <c r="H149" t="s">
        <v>226</v>
      </c>
      <c r="I149" t="s">
        <v>226</v>
      </c>
      <c r="J149" t="s">
        <v>227</v>
      </c>
      <c r="K149" t="s">
        <v>228</v>
      </c>
      <c r="L149" t="s">
        <v>228</v>
      </c>
      <c r="M149" t="s">
        <v>228</v>
      </c>
      <c r="N149" t="s">
        <v>228</v>
      </c>
      <c r="O149" t="s">
        <v>229</v>
      </c>
      <c r="P149">
        <v>2</v>
      </c>
      <c r="Q149" t="s">
        <v>230</v>
      </c>
      <c r="R149" t="s">
        <v>231</v>
      </c>
      <c r="S149" t="s">
        <v>232</v>
      </c>
      <c r="T149">
        <v>0</v>
      </c>
      <c r="U149" t="s">
        <v>230</v>
      </c>
      <c r="V149" t="s">
        <v>233</v>
      </c>
      <c r="W149" t="s">
        <v>223</v>
      </c>
      <c r="X149" t="s">
        <v>234</v>
      </c>
      <c r="Y149" t="s">
        <v>539</v>
      </c>
      <c r="Z149" t="s">
        <v>232</v>
      </c>
      <c r="AA149" t="s">
        <v>236</v>
      </c>
      <c r="AB149" t="s">
        <v>237</v>
      </c>
      <c r="AC149" t="s">
        <v>236</v>
      </c>
      <c r="AD149" t="s">
        <v>238</v>
      </c>
      <c r="AE149" t="s">
        <v>239</v>
      </c>
      <c r="AF149" t="s">
        <v>239</v>
      </c>
      <c r="AG149" t="s">
        <v>239</v>
      </c>
      <c r="AH149" t="s">
        <v>239</v>
      </c>
      <c r="AI149" t="s">
        <v>240</v>
      </c>
      <c r="AJ149" t="s">
        <v>241</v>
      </c>
      <c r="AK149" t="s">
        <v>242</v>
      </c>
      <c r="AL149" t="s">
        <v>234</v>
      </c>
      <c r="AM149" t="s">
        <v>243</v>
      </c>
      <c r="AN149" t="s">
        <v>244</v>
      </c>
      <c r="AO149" t="s">
        <v>245</v>
      </c>
      <c r="BC149">
        <v>43.200691210000002</v>
      </c>
      <c r="BD149">
        <v>44.208707339999997</v>
      </c>
      <c r="BE149">
        <v>45.216723469999998</v>
      </c>
      <c r="BF149">
        <v>46.224739599999999</v>
      </c>
      <c r="BG149">
        <v>47.23275572</v>
      </c>
      <c r="BH149">
        <v>48.240771850000002</v>
      </c>
      <c r="BI149">
        <v>49.15278644</v>
      </c>
      <c r="BJ149">
        <v>50.064801039999999</v>
      </c>
      <c r="BK149">
        <v>50.976815629999997</v>
      </c>
      <c r="BL149">
        <v>51.888830220000003</v>
      </c>
      <c r="BM149">
        <v>52.800844810000001</v>
      </c>
      <c r="BN149">
        <v>51.82162915</v>
      </c>
      <c r="BO149">
        <v>50.842413479999998</v>
      </c>
      <c r="BP149">
        <v>49.863197810000003</v>
      </c>
      <c r="BQ149">
        <v>48.883982140000001</v>
      </c>
      <c r="BR149">
        <v>47.888446219999999</v>
      </c>
      <c r="BS149">
        <v>50.444487109999997</v>
      </c>
      <c r="BT149">
        <v>53.000528009999996</v>
      </c>
      <c r="BU149">
        <v>52.966927470000002</v>
      </c>
      <c r="BV149">
        <v>53.696539139999999</v>
      </c>
      <c r="BW149">
        <v>54.032544520000002</v>
      </c>
      <c r="BX149">
        <v>54.414054620000002</v>
      </c>
      <c r="BY149">
        <v>55.930782890000003</v>
      </c>
      <c r="BZ149">
        <v>57.447511159999998</v>
      </c>
      <c r="CA149">
        <v>58.964239429999999</v>
      </c>
      <c r="CB149">
        <v>60.480967700000001</v>
      </c>
      <c r="CC149">
        <v>65.792252680000004</v>
      </c>
      <c r="CD149">
        <v>71.103537660000001</v>
      </c>
      <c r="CE149">
        <v>68.559496949999996</v>
      </c>
      <c r="CF149">
        <v>66.01545625</v>
      </c>
      <c r="CG149">
        <v>63.471415540000002</v>
      </c>
      <c r="CH149">
        <v>60.927374839999999</v>
      </c>
      <c r="CI149">
        <v>58.383334130000001</v>
      </c>
      <c r="CJ149">
        <v>55.839293429999998</v>
      </c>
      <c r="CK149">
        <v>53.295252720000001</v>
      </c>
      <c r="CL149">
        <v>50.751212019999997</v>
      </c>
      <c r="CM149">
        <v>50.751212019999997</v>
      </c>
      <c r="CN149">
        <v>50.751212019999997</v>
      </c>
      <c r="CO149">
        <v>50.751212019999997</v>
      </c>
      <c r="CP149">
        <v>50.751212019999997</v>
      </c>
      <c r="CQ149">
        <v>50.751212019999997</v>
      </c>
      <c r="CR149">
        <v>50.751212019999997</v>
      </c>
      <c r="CS149">
        <v>50.751212019999997</v>
      </c>
      <c r="CT149">
        <v>50.751212019999997</v>
      </c>
      <c r="CU149">
        <v>50.751212019999997</v>
      </c>
      <c r="CV149">
        <v>50.751212019999997</v>
      </c>
      <c r="CW149">
        <v>50.751212019999997</v>
      </c>
      <c r="CX149">
        <v>50.751212019999997</v>
      </c>
    </row>
    <row r="150" spans="1:102" x14ac:dyDescent="0.3">
      <c r="A150" t="s">
        <v>220</v>
      </c>
      <c r="B150" t="s">
        <v>221</v>
      </c>
      <c r="C150" t="s">
        <v>222</v>
      </c>
      <c r="D150" t="s">
        <v>223</v>
      </c>
      <c r="E150" t="s">
        <v>540</v>
      </c>
      <c r="F150" t="s">
        <v>225</v>
      </c>
      <c r="G150" t="s">
        <v>226</v>
      </c>
      <c r="H150" t="s">
        <v>226</v>
      </c>
      <c r="I150" t="s">
        <v>226</v>
      </c>
      <c r="J150" t="s">
        <v>227</v>
      </c>
      <c r="K150" t="s">
        <v>228</v>
      </c>
      <c r="L150" t="s">
        <v>228</v>
      </c>
      <c r="M150" t="s">
        <v>228</v>
      </c>
      <c r="N150" t="s">
        <v>228</v>
      </c>
      <c r="O150" t="s">
        <v>229</v>
      </c>
      <c r="P150">
        <v>2</v>
      </c>
      <c r="Q150" t="s">
        <v>230</v>
      </c>
      <c r="R150" t="s">
        <v>231</v>
      </c>
      <c r="S150" t="s">
        <v>232</v>
      </c>
      <c r="T150">
        <v>0</v>
      </c>
      <c r="U150" t="s">
        <v>230</v>
      </c>
      <c r="V150" t="s">
        <v>233</v>
      </c>
      <c r="W150" t="s">
        <v>223</v>
      </c>
      <c r="X150" t="s">
        <v>234</v>
      </c>
      <c r="Y150" t="s">
        <v>541</v>
      </c>
      <c r="Z150" t="s">
        <v>232</v>
      </c>
      <c r="AA150" t="s">
        <v>236</v>
      </c>
      <c r="AB150" t="s">
        <v>237</v>
      </c>
      <c r="AC150" t="s">
        <v>236</v>
      </c>
      <c r="AD150" t="s">
        <v>238</v>
      </c>
      <c r="AE150" t="s">
        <v>239</v>
      </c>
      <c r="AF150" t="s">
        <v>239</v>
      </c>
      <c r="AG150" t="s">
        <v>239</v>
      </c>
      <c r="AH150" t="s">
        <v>239</v>
      </c>
      <c r="AI150" t="s">
        <v>240</v>
      </c>
      <c r="AJ150" t="s">
        <v>241</v>
      </c>
      <c r="AK150" t="s">
        <v>242</v>
      </c>
      <c r="AL150" t="s">
        <v>234</v>
      </c>
      <c r="AM150" t="s">
        <v>243</v>
      </c>
      <c r="AN150" t="s">
        <v>244</v>
      </c>
      <c r="AO150" t="s">
        <v>245</v>
      </c>
      <c r="CN150">
        <v>118.6563877</v>
      </c>
      <c r="CO150">
        <v>118.6563877</v>
      </c>
      <c r="CP150">
        <v>118.6563877</v>
      </c>
      <c r="CQ150">
        <v>118.6563877</v>
      </c>
      <c r="CR150">
        <v>118.6563877</v>
      </c>
      <c r="CS150">
        <v>118.6563877</v>
      </c>
      <c r="CT150">
        <v>118.6563877</v>
      </c>
      <c r="CU150">
        <v>118.6563877</v>
      </c>
      <c r="CV150">
        <v>118.6563877</v>
      </c>
      <c r="CW150">
        <v>118.6563877</v>
      </c>
      <c r="CX150">
        <v>118.6563877</v>
      </c>
    </row>
    <row r="151" spans="1:102" x14ac:dyDescent="0.3">
      <c r="A151" t="s">
        <v>220</v>
      </c>
      <c r="B151" t="s">
        <v>221</v>
      </c>
      <c r="C151" t="s">
        <v>222</v>
      </c>
      <c r="D151" t="s">
        <v>223</v>
      </c>
      <c r="E151" t="s">
        <v>542</v>
      </c>
      <c r="F151" t="s">
        <v>225</v>
      </c>
      <c r="G151" t="s">
        <v>226</v>
      </c>
      <c r="H151" t="s">
        <v>226</v>
      </c>
      <c r="I151" t="s">
        <v>226</v>
      </c>
      <c r="J151" t="s">
        <v>227</v>
      </c>
      <c r="K151" t="s">
        <v>228</v>
      </c>
      <c r="L151" t="s">
        <v>228</v>
      </c>
      <c r="M151" t="s">
        <v>228</v>
      </c>
      <c r="N151" t="s">
        <v>228</v>
      </c>
      <c r="O151" t="s">
        <v>229</v>
      </c>
      <c r="P151">
        <v>2</v>
      </c>
      <c r="Q151" t="s">
        <v>230</v>
      </c>
      <c r="R151" t="s">
        <v>231</v>
      </c>
      <c r="S151" t="s">
        <v>232</v>
      </c>
      <c r="T151">
        <v>0</v>
      </c>
      <c r="U151" t="s">
        <v>230</v>
      </c>
      <c r="V151" t="s">
        <v>233</v>
      </c>
      <c r="W151" t="s">
        <v>223</v>
      </c>
      <c r="X151" t="s">
        <v>234</v>
      </c>
      <c r="Y151" t="s">
        <v>543</v>
      </c>
      <c r="Z151" t="s">
        <v>232</v>
      </c>
      <c r="AA151" t="s">
        <v>236</v>
      </c>
      <c r="AB151" t="s">
        <v>237</v>
      </c>
      <c r="AC151" t="s">
        <v>236</v>
      </c>
      <c r="AD151" t="s">
        <v>238</v>
      </c>
      <c r="AE151" t="s">
        <v>239</v>
      </c>
      <c r="AF151" t="s">
        <v>239</v>
      </c>
      <c r="AG151" t="s">
        <v>239</v>
      </c>
      <c r="AH151" t="s">
        <v>239</v>
      </c>
      <c r="AI151" t="s">
        <v>240</v>
      </c>
      <c r="AJ151" t="s">
        <v>241</v>
      </c>
      <c r="AK151" t="s">
        <v>242</v>
      </c>
      <c r="AL151" t="s">
        <v>234</v>
      </c>
      <c r="AM151" t="s">
        <v>243</v>
      </c>
      <c r="AN151" t="s">
        <v>244</v>
      </c>
      <c r="AO151" t="s">
        <v>245</v>
      </c>
      <c r="BT151">
        <v>29.150579149999999</v>
      </c>
      <c r="BU151">
        <v>27.511880009999999</v>
      </c>
      <c r="BV151">
        <v>25.873180869999999</v>
      </c>
      <c r="BW151">
        <v>24.234481729999999</v>
      </c>
      <c r="BX151">
        <v>26.081590680000001</v>
      </c>
      <c r="BY151">
        <v>22.11099711</v>
      </c>
      <c r="BZ151">
        <v>21.62621163</v>
      </c>
      <c r="CA151">
        <v>21.14142614</v>
      </c>
      <c r="CB151">
        <v>20.656640660000001</v>
      </c>
      <c r="CC151">
        <v>12.97891298</v>
      </c>
      <c r="CD151">
        <v>12.860112859999999</v>
      </c>
      <c r="CE151">
        <v>12.83041283</v>
      </c>
      <c r="CF151">
        <v>12.652212649999999</v>
      </c>
      <c r="CG151">
        <v>12.652212649999999</v>
      </c>
      <c r="CH151">
        <v>12.68191268</v>
      </c>
      <c r="CI151">
        <v>12.68191268</v>
      </c>
      <c r="CJ151">
        <v>12.785862789999999</v>
      </c>
      <c r="CK151">
        <v>12.845262849999999</v>
      </c>
      <c r="CL151">
        <v>12.637362639999999</v>
      </c>
      <c r="CM151">
        <v>12.577962579999999</v>
      </c>
      <c r="CN151">
        <v>12.62251262</v>
      </c>
      <c r="CO151">
        <v>12.45916246</v>
      </c>
      <c r="CP151">
        <v>12.41461241</v>
      </c>
      <c r="CQ151">
        <v>12.47401247</v>
      </c>
      <c r="CR151">
        <v>12.503712500000001</v>
      </c>
      <c r="CS151">
        <v>12.47401247</v>
      </c>
      <c r="CT151">
        <v>12.429462429999999</v>
      </c>
      <c r="CU151">
        <v>12.45916246</v>
      </c>
      <c r="CV151">
        <v>12.56311256</v>
      </c>
      <c r="CW151">
        <v>12.56311256</v>
      </c>
      <c r="CX151">
        <v>12.56311256</v>
      </c>
    </row>
    <row r="152" spans="1:102" x14ac:dyDescent="0.3">
      <c r="A152" t="s">
        <v>220</v>
      </c>
      <c r="B152" t="s">
        <v>221</v>
      </c>
      <c r="C152" t="s">
        <v>222</v>
      </c>
      <c r="D152" t="s">
        <v>223</v>
      </c>
      <c r="E152" t="s">
        <v>544</v>
      </c>
      <c r="F152" t="s">
        <v>225</v>
      </c>
      <c r="G152" t="s">
        <v>226</v>
      </c>
      <c r="H152" t="s">
        <v>226</v>
      </c>
      <c r="I152" t="s">
        <v>226</v>
      </c>
      <c r="J152" t="s">
        <v>227</v>
      </c>
      <c r="K152" t="s">
        <v>228</v>
      </c>
      <c r="L152" t="s">
        <v>228</v>
      </c>
      <c r="M152" t="s">
        <v>228</v>
      </c>
      <c r="N152" t="s">
        <v>228</v>
      </c>
      <c r="O152" t="s">
        <v>229</v>
      </c>
      <c r="P152">
        <v>2</v>
      </c>
      <c r="Q152" t="s">
        <v>230</v>
      </c>
      <c r="R152" t="s">
        <v>231</v>
      </c>
      <c r="S152" t="s">
        <v>232</v>
      </c>
      <c r="T152">
        <v>0</v>
      </c>
      <c r="U152" t="s">
        <v>230</v>
      </c>
      <c r="V152" t="s">
        <v>233</v>
      </c>
      <c r="W152" t="s">
        <v>223</v>
      </c>
      <c r="X152" t="s">
        <v>234</v>
      </c>
      <c r="Y152" t="s">
        <v>545</v>
      </c>
      <c r="Z152" t="s">
        <v>232</v>
      </c>
      <c r="AA152" t="s">
        <v>236</v>
      </c>
      <c r="AB152" t="s">
        <v>237</v>
      </c>
      <c r="AC152" t="s">
        <v>236</v>
      </c>
      <c r="AD152" t="s">
        <v>238</v>
      </c>
      <c r="AE152" t="s">
        <v>239</v>
      </c>
      <c r="AF152" t="s">
        <v>239</v>
      </c>
      <c r="AG152" t="s">
        <v>239</v>
      </c>
      <c r="AH152" t="s">
        <v>239</v>
      </c>
      <c r="AI152" t="s">
        <v>240</v>
      </c>
      <c r="AJ152" t="s">
        <v>241</v>
      </c>
      <c r="AK152" t="s">
        <v>242</v>
      </c>
      <c r="AL152" t="s">
        <v>234</v>
      </c>
      <c r="AM152" t="s">
        <v>243</v>
      </c>
      <c r="AN152" t="s">
        <v>244</v>
      </c>
      <c r="AO152" t="s">
        <v>245</v>
      </c>
      <c r="AX152">
        <v>2.8855721390000002</v>
      </c>
      <c r="AY152">
        <v>3.0132669980000002</v>
      </c>
      <c r="AZ152">
        <v>3.1409618570000002</v>
      </c>
      <c r="BA152">
        <v>3.2686567160000002</v>
      </c>
      <c r="BB152">
        <v>3.3963515759999998</v>
      </c>
      <c r="BC152">
        <v>3.5240464349999998</v>
      </c>
      <c r="BD152">
        <v>3.4776119400000001</v>
      </c>
      <c r="BE152">
        <v>3.431177446</v>
      </c>
      <c r="BF152">
        <v>3.3847429519999999</v>
      </c>
      <c r="BG152">
        <v>3.3383084580000002</v>
      </c>
      <c r="BH152">
        <v>3.2918739640000001</v>
      </c>
      <c r="BI152">
        <v>3.744610282</v>
      </c>
      <c r="BJ152">
        <v>4.1973466000000004</v>
      </c>
      <c r="BK152">
        <v>4.6500829189999999</v>
      </c>
      <c r="BL152">
        <v>5.1028192370000003</v>
      </c>
      <c r="BM152">
        <v>5.5555555559999998</v>
      </c>
      <c r="BN152">
        <v>5.4726368159999996</v>
      </c>
      <c r="BO152">
        <v>5.3897180760000003</v>
      </c>
      <c r="BP152">
        <v>5.3067993370000002</v>
      </c>
      <c r="BQ152">
        <v>5.223880597</v>
      </c>
      <c r="BR152">
        <v>5.1409618569999997</v>
      </c>
      <c r="BS152">
        <v>5.0580431179999996</v>
      </c>
      <c r="BT152">
        <v>4.9751243780000003</v>
      </c>
      <c r="BU152">
        <v>4.8922056390000002</v>
      </c>
      <c r="BV152">
        <v>4.8092868989999999</v>
      </c>
      <c r="BW152">
        <v>4.7263681589999997</v>
      </c>
      <c r="BX152">
        <v>4.8051409620000003</v>
      </c>
      <c r="BY152">
        <v>4.883913765</v>
      </c>
      <c r="BZ152">
        <v>4.9626865670000004</v>
      </c>
      <c r="CA152">
        <v>5.0414593700000001</v>
      </c>
      <c r="CB152">
        <v>4.9270315089999999</v>
      </c>
      <c r="CC152">
        <v>4.8126036479999996</v>
      </c>
      <c r="CD152">
        <v>4.6981757880000004</v>
      </c>
      <c r="CE152">
        <v>4.5837479270000001</v>
      </c>
      <c r="CF152">
        <v>4.4693200659999999</v>
      </c>
      <c r="CG152">
        <v>4.3548922059999997</v>
      </c>
      <c r="CH152">
        <v>4.2404643450000004</v>
      </c>
      <c r="CI152">
        <v>4.1260364840000001</v>
      </c>
      <c r="CJ152">
        <v>4.011608624</v>
      </c>
      <c r="CK152">
        <v>3.8971807630000002</v>
      </c>
      <c r="CL152">
        <v>3.946932007</v>
      </c>
      <c r="CM152">
        <v>3.8391376450000001</v>
      </c>
      <c r="CN152">
        <v>3.6981757879999999</v>
      </c>
      <c r="CO152">
        <v>3.573797678</v>
      </c>
      <c r="CP152">
        <v>3.8142620229999999</v>
      </c>
      <c r="CQ152">
        <v>3.7147595359999999</v>
      </c>
      <c r="CR152">
        <v>3.68159204</v>
      </c>
      <c r="CS152">
        <v>3.781094527</v>
      </c>
      <c r="CT152">
        <v>4.3283582090000001</v>
      </c>
      <c r="CU152">
        <v>4.0878938639999998</v>
      </c>
      <c r="CV152">
        <v>3.963515755</v>
      </c>
      <c r="CW152">
        <v>3.8167495850000002</v>
      </c>
      <c r="CX152">
        <v>3.9585406299999999</v>
      </c>
    </row>
    <row r="153" spans="1:102" x14ac:dyDescent="0.3">
      <c r="A153" t="s">
        <v>220</v>
      </c>
      <c r="B153" t="s">
        <v>221</v>
      </c>
      <c r="C153" t="s">
        <v>222</v>
      </c>
      <c r="D153" t="s">
        <v>223</v>
      </c>
      <c r="E153" t="s">
        <v>546</v>
      </c>
      <c r="F153" t="s">
        <v>225</v>
      </c>
      <c r="G153" t="s">
        <v>226</v>
      </c>
      <c r="H153" t="s">
        <v>226</v>
      </c>
      <c r="I153" t="s">
        <v>226</v>
      </c>
      <c r="J153" t="s">
        <v>227</v>
      </c>
      <c r="K153" t="s">
        <v>228</v>
      </c>
      <c r="L153" t="s">
        <v>228</v>
      </c>
      <c r="M153" t="s">
        <v>228</v>
      </c>
      <c r="N153" t="s">
        <v>228</v>
      </c>
      <c r="O153" t="s">
        <v>229</v>
      </c>
      <c r="P153">
        <v>2</v>
      </c>
      <c r="Q153" t="s">
        <v>230</v>
      </c>
      <c r="R153" t="s">
        <v>231</v>
      </c>
      <c r="S153" t="s">
        <v>232</v>
      </c>
      <c r="T153">
        <v>0</v>
      </c>
      <c r="U153" t="s">
        <v>230</v>
      </c>
      <c r="V153" t="s">
        <v>233</v>
      </c>
      <c r="W153" t="s">
        <v>223</v>
      </c>
      <c r="X153" t="s">
        <v>234</v>
      </c>
      <c r="Y153" t="s">
        <v>547</v>
      </c>
      <c r="Z153" t="s">
        <v>232</v>
      </c>
      <c r="AA153" t="s">
        <v>236</v>
      </c>
      <c r="AB153" t="s">
        <v>237</v>
      </c>
      <c r="AC153" t="s">
        <v>236</v>
      </c>
      <c r="AD153" t="s">
        <v>238</v>
      </c>
      <c r="AE153" t="s">
        <v>239</v>
      </c>
      <c r="AF153" t="s">
        <v>239</v>
      </c>
      <c r="AG153" t="s">
        <v>239</v>
      </c>
      <c r="AH153" t="s">
        <v>239</v>
      </c>
      <c r="AI153" t="s">
        <v>240</v>
      </c>
      <c r="AJ153" t="s">
        <v>241</v>
      </c>
      <c r="AK153" t="s">
        <v>242</v>
      </c>
      <c r="AL153" t="s">
        <v>234</v>
      </c>
      <c r="AM153" t="s">
        <v>243</v>
      </c>
      <c r="AN153" t="s">
        <v>244</v>
      </c>
      <c r="AO153" t="s">
        <v>245</v>
      </c>
      <c r="BH153">
        <v>40.551724139999997</v>
      </c>
      <c r="BI153">
        <v>40.680306510000001</v>
      </c>
      <c r="BJ153">
        <v>40.808888889999999</v>
      </c>
      <c r="BK153">
        <v>40.937471260000002</v>
      </c>
      <c r="BL153">
        <v>41.06605364</v>
      </c>
      <c r="BM153">
        <v>41.194636019999997</v>
      </c>
      <c r="BN153">
        <v>41.323218390000001</v>
      </c>
      <c r="BO153">
        <v>41.451800769999998</v>
      </c>
      <c r="BP153">
        <v>41.580383140000002</v>
      </c>
      <c r="BQ153">
        <v>41.70896552</v>
      </c>
      <c r="BR153">
        <v>41.837547890000003</v>
      </c>
      <c r="BS153">
        <v>41.9302682</v>
      </c>
      <c r="BT153">
        <v>42.022988509999998</v>
      </c>
      <c r="BU153">
        <v>41.63678161</v>
      </c>
      <c r="BV153">
        <v>41.250574710000002</v>
      </c>
      <c r="BW153">
        <v>40.845977009999999</v>
      </c>
      <c r="BX153">
        <v>40.926436780000003</v>
      </c>
      <c r="BY153">
        <v>41.00689655</v>
      </c>
      <c r="BZ153">
        <v>41.192337160000001</v>
      </c>
      <c r="CA153">
        <v>41.377777780000002</v>
      </c>
      <c r="CB153">
        <v>41.563218390000003</v>
      </c>
      <c r="CC153">
        <v>40.195402299999998</v>
      </c>
      <c r="CD153">
        <v>38.82758621</v>
      </c>
      <c r="CE153">
        <v>38.671264370000003</v>
      </c>
      <c r="CF153">
        <v>38.514942529999999</v>
      </c>
      <c r="CG153">
        <v>38.358620690000002</v>
      </c>
      <c r="CH153">
        <v>38.202298849999998</v>
      </c>
      <c r="CI153">
        <v>38.045977010000001</v>
      </c>
      <c r="CJ153">
        <v>37.694712639999999</v>
      </c>
      <c r="CK153">
        <v>37.343448279999997</v>
      </c>
      <c r="CL153">
        <v>37.243481119999998</v>
      </c>
      <c r="CM153">
        <v>37.14351396</v>
      </c>
      <c r="CN153">
        <v>37.043546800000001</v>
      </c>
      <c r="CO153">
        <v>36.943579640000003</v>
      </c>
      <c r="CP153">
        <v>36.843612479999997</v>
      </c>
      <c r="CQ153">
        <v>36.743645319999999</v>
      </c>
      <c r="CR153">
        <v>36.64367816</v>
      </c>
      <c r="CS153">
        <v>36.459770110000001</v>
      </c>
      <c r="CT153">
        <v>36.367816089999998</v>
      </c>
      <c r="CU153">
        <v>36.045977010000001</v>
      </c>
      <c r="CV153">
        <v>36.64367816</v>
      </c>
      <c r="CW153">
        <v>36.64367816</v>
      </c>
      <c r="CX153">
        <v>36.64367816</v>
      </c>
    </row>
    <row r="154" spans="1:102" x14ac:dyDescent="0.3">
      <c r="A154" t="s">
        <v>220</v>
      </c>
      <c r="B154" t="s">
        <v>221</v>
      </c>
      <c r="C154" t="s">
        <v>222</v>
      </c>
      <c r="D154" t="s">
        <v>223</v>
      </c>
      <c r="E154" t="s">
        <v>548</v>
      </c>
      <c r="F154" t="s">
        <v>225</v>
      </c>
      <c r="G154" t="s">
        <v>226</v>
      </c>
      <c r="H154" t="s">
        <v>226</v>
      </c>
      <c r="I154" t="s">
        <v>226</v>
      </c>
      <c r="J154" t="s">
        <v>227</v>
      </c>
      <c r="K154" t="s">
        <v>228</v>
      </c>
      <c r="L154" t="s">
        <v>228</v>
      </c>
      <c r="M154" t="s">
        <v>228</v>
      </c>
      <c r="N154" t="s">
        <v>228</v>
      </c>
      <c r="O154" t="s">
        <v>229</v>
      </c>
      <c r="P154">
        <v>2</v>
      </c>
      <c r="Q154" t="s">
        <v>230</v>
      </c>
      <c r="R154" t="s">
        <v>231</v>
      </c>
      <c r="S154" t="s">
        <v>232</v>
      </c>
      <c r="T154">
        <v>0</v>
      </c>
      <c r="U154" t="s">
        <v>230</v>
      </c>
      <c r="V154" t="s">
        <v>233</v>
      </c>
      <c r="W154" t="s">
        <v>223</v>
      </c>
      <c r="X154" t="s">
        <v>234</v>
      </c>
      <c r="Y154" t="s">
        <v>549</v>
      </c>
      <c r="Z154" t="s">
        <v>232</v>
      </c>
      <c r="AA154" t="s">
        <v>236</v>
      </c>
      <c r="AB154" t="s">
        <v>237</v>
      </c>
      <c r="AC154" t="s">
        <v>236</v>
      </c>
      <c r="AD154" t="s">
        <v>238</v>
      </c>
      <c r="AE154" t="s">
        <v>239</v>
      </c>
      <c r="AF154" t="s">
        <v>239</v>
      </c>
      <c r="AG154" t="s">
        <v>239</v>
      </c>
      <c r="AH154" t="s">
        <v>239</v>
      </c>
      <c r="AI154" t="s">
        <v>240</v>
      </c>
      <c r="AJ154" t="s">
        <v>241</v>
      </c>
      <c r="AK154" t="s">
        <v>242</v>
      </c>
      <c r="AL154" t="s">
        <v>234</v>
      </c>
      <c r="AM154" t="s">
        <v>243</v>
      </c>
      <c r="AN154" t="s">
        <v>244</v>
      </c>
      <c r="AO154" t="s">
        <v>245</v>
      </c>
      <c r="BR154">
        <v>139.14285709999999</v>
      </c>
      <c r="BS154">
        <v>141.3714286</v>
      </c>
      <c r="BT154">
        <v>143.6</v>
      </c>
      <c r="BU154">
        <v>145.82857139999999</v>
      </c>
      <c r="BV154">
        <v>148.0571429</v>
      </c>
      <c r="BW154">
        <v>150.2857143</v>
      </c>
      <c r="BX154">
        <v>152.51428569999999</v>
      </c>
      <c r="BY154">
        <v>154.74285710000001</v>
      </c>
      <c r="BZ154">
        <v>156.9714286</v>
      </c>
      <c r="CA154">
        <v>159.19999999999999</v>
      </c>
      <c r="CB154">
        <v>161.14285709999999</v>
      </c>
      <c r="CC154">
        <v>162.8666667</v>
      </c>
      <c r="CD154">
        <v>164.59047620000001</v>
      </c>
      <c r="CE154">
        <v>166.3142857</v>
      </c>
      <c r="CF154">
        <v>168.03809519999999</v>
      </c>
      <c r="CG154">
        <v>169.7619048</v>
      </c>
      <c r="CH154">
        <v>169.7619048</v>
      </c>
      <c r="CI154">
        <v>169.7619048</v>
      </c>
      <c r="CJ154">
        <v>169.7619048</v>
      </c>
      <c r="CK154">
        <v>169.7619048</v>
      </c>
      <c r="CL154">
        <v>169.7619048</v>
      </c>
      <c r="CM154">
        <v>169.7619048</v>
      </c>
      <c r="CN154">
        <v>169.7619048</v>
      </c>
      <c r="CO154">
        <v>169.7619048</v>
      </c>
      <c r="CP154">
        <v>169.7619048</v>
      </c>
      <c r="CQ154">
        <v>169.7619048</v>
      </c>
      <c r="CR154">
        <v>169.7619048</v>
      </c>
      <c r="CS154">
        <v>169.7619048</v>
      </c>
      <c r="CT154">
        <v>169.7619048</v>
      </c>
      <c r="CU154">
        <v>169.7619048</v>
      </c>
      <c r="CV154">
        <v>169.7619048</v>
      </c>
      <c r="CW154">
        <v>169.7619048</v>
      </c>
      <c r="CX154">
        <v>169.7619048</v>
      </c>
    </row>
    <row r="155" spans="1:102" x14ac:dyDescent="0.3">
      <c r="A155" t="s">
        <v>220</v>
      </c>
      <c r="B155" t="s">
        <v>221</v>
      </c>
      <c r="C155" t="s">
        <v>222</v>
      </c>
      <c r="D155" t="s">
        <v>223</v>
      </c>
      <c r="E155" t="s">
        <v>550</v>
      </c>
      <c r="F155" t="s">
        <v>225</v>
      </c>
      <c r="G155" t="s">
        <v>226</v>
      </c>
      <c r="H155" t="s">
        <v>226</v>
      </c>
      <c r="I155" t="s">
        <v>226</v>
      </c>
      <c r="J155" t="s">
        <v>227</v>
      </c>
      <c r="K155" t="s">
        <v>228</v>
      </c>
      <c r="L155" t="s">
        <v>228</v>
      </c>
      <c r="M155" t="s">
        <v>228</v>
      </c>
      <c r="N155" t="s">
        <v>228</v>
      </c>
      <c r="O155" t="s">
        <v>229</v>
      </c>
      <c r="P155">
        <v>2</v>
      </c>
      <c r="Q155" t="s">
        <v>230</v>
      </c>
      <c r="R155" t="s">
        <v>231</v>
      </c>
      <c r="S155" t="s">
        <v>232</v>
      </c>
      <c r="T155">
        <v>0</v>
      </c>
      <c r="U155" t="s">
        <v>230</v>
      </c>
      <c r="V155" t="s">
        <v>233</v>
      </c>
      <c r="W155" t="s">
        <v>223</v>
      </c>
      <c r="X155" t="s">
        <v>234</v>
      </c>
      <c r="Y155" t="s">
        <v>551</v>
      </c>
      <c r="Z155" t="s">
        <v>232</v>
      </c>
      <c r="AA155" t="s">
        <v>236</v>
      </c>
      <c r="AB155" t="s">
        <v>237</v>
      </c>
      <c r="AC155" t="s">
        <v>236</v>
      </c>
      <c r="AD155" t="s">
        <v>238</v>
      </c>
      <c r="AE155" t="s">
        <v>239</v>
      </c>
      <c r="AF155" t="s">
        <v>239</v>
      </c>
      <c r="AG155" t="s">
        <v>239</v>
      </c>
      <c r="AH155" t="s">
        <v>239</v>
      </c>
      <c r="AI155" t="s">
        <v>240</v>
      </c>
      <c r="AJ155" t="s">
        <v>241</v>
      </c>
      <c r="AK155" t="s">
        <v>242</v>
      </c>
      <c r="AL155" t="s">
        <v>234</v>
      </c>
      <c r="AM155" t="s">
        <v>243</v>
      </c>
      <c r="AN155" t="s">
        <v>244</v>
      </c>
      <c r="AO155" t="s">
        <v>245</v>
      </c>
      <c r="CC155">
        <v>4.193120779</v>
      </c>
      <c r="CD155">
        <v>4.5029160399999997</v>
      </c>
      <c r="CE155">
        <v>4.8127113000000001</v>
      </c>
      <c r="CF155">
        <v>5.1225065599999997</v>
      </c>
      <c r="CG155">
        <v>5.4323018200000002</v>
      </c>
      <c r="CH155">
        <v>5.7420970809999998</v>
      </c>
      <c r="CI155">
        <v>5.7420970809999998</v>
      </c>
      <c r="CJ155">
        <v>5.7420970809999998</v>
      </c>
      <c r="CK155">
        <v>5.7420970809999998</v>
      </c>
      <c r="CL155">
        <v>5.7420970809999998</v>
      </c>
      <c r="CM155">
        <v>5.7420970809999998</v>
      </c>
      <c r="CN155">
        <v>5.7420970809999998</v>
      </c>
      <c r="CO155">
        <v>5.7420970809999998</v>
      </c>
      <c r="CP155">
        <v>5.7420970809999998</v>
      </c>
      <c r="CQ155">
        <v>5.7420970809999998</v>
      </c>
      <c r="CR155">
        <v>5.7420970809999998</v>
      </c>
      <c r="CS155">
        <v>5.7420970809999998</v>
      </c>
      <c r="CT155">
        <v>5.7420970809999998</v>
      </c>
      <c r="CU155">
        <v>5.7420970809999998</v>
      </c>
      <c r="CV155">
        <v>5.7420970809999998</v>
      </c>
      <c r="CW155">
        <v>5.7420970809999998</v>
      </c>
      <c r="CX155">
        <v>5.7420970809999998</v>
      </c>
    </row>
    <row r="156" spans="1:102" x14ac:dyDescent="0.3">
      <c r="A156" t="s">
        <v>220</v>
      </c>
      <c r="B156" t="s">
        <v>221</v>
      </c>
      <c r="C156" t="s">
        <v>222</v>
      </c>
      <c r="D156" t="s">
        <v>223</v>
      </c>
      <c r="E156" t="s">
        <v>552</v>
      </c>
      <c r="F156" t="s">
        <v>225</v>
      </c>
      <c r="G156" t="s">
        <v>226</v>
      </c>
      <c r="H156" t="s">
        <v>226</v>
      </c>
      <c r="I156" t="s">
        <v>226</v>
      </c>
      <c r="J156" t="s">
        <v>227</v>
      </c>
      <c r="K156" t="s">
        <v>228</v>
      </c>
      <c r="L156" t="s">
        <v>228</v>
      </c>
      <c r="M156" t="s">
        <v>228</v>
      </c>
      <c r="N156" t="s">
        <v>228</v>
      </c>
      <c r="O156" t="s">
        <v>229</v>
      </c>
      <c r="P156">
        <v>2</v>
      </c>
      <c r="Q156" t="s">
        <v>230</v>
      </c>
      <c r="R156" t="s">
        <v>231</v>
      </c>
      <c r="S156" t="s">
        <v>232</v>
      </c>
      <c r="T156">
        <v>0</v>
      </c>
      <c r="U156" t="s">
        <v>230</v>
      </c>
      <c r="V156" t="s">
        <v>233</v>
      </c>
      <c r="W156" t="s">
        <v>223</v>
      </c>
      <c r="X156" t="s">
        <v>234</v>
      </c>
      <c r="Y156" t="s">
        <v>553</v>
      </c>
      <c r="Z156" t="s">
        <v>232</v>
      </c>
      <c r="AA156" t="s">
        <v>236</v>
      </c>
      <c r="AB156" t="s">
        <v>237</v>
      </c>
      <c r="AC156" t="s">
        <v>236</v>
      </c>
      <c r="AD156" t="s">
        <v>238</v>
      </c>
      <c r="AE156" t="s">
        <v>239</v>
      </c>
      <c r="AF156" t="s">
        <v>239</v>
      </c>
      <c r="AG156" t="s">
        <v>239</v>
      </c>
      <c r="AH156" t="s">
        <v>239</v>
      </c>
      <c r="AI156" t="s">
        <v>240</v>
      </c>
      <c r="AJ156" t="s">
        <v>241</v>
      </c>
      <c r="AK156" t="s">
        <v>242</v>
      </c>
      <c r="AL156" t="s">
        <v>234</v>
      </c>
      <c r="AM156" t="s">
        <v>243</v>
      </c>
      <c r="AN156" t="s">
        <v>244</v>
      </c>
      <c r="AO156" t="s">
        <v>245</v>
      </c>
      <c r="BR156">
        <v>0.71938168899999999</v>
      </c>
      <c r="BS156">
        <v>0.75095881499999995</v>
      </c>
      <c r="BT156">
        <v>0.78253594199999998</v>
      </c>
      <c r="BU156">
        <v>0.81411306900000002</v>
      </c>
      <c r="BV156">
        <v>0.84569019599999995</v>
      </c>
      <c r="BW156">
        <v>0.87726732299999999</v>
      </c>
      <c r="BX156">
        <v>0.90884444900000005</v>
      </c>
      <c r="BY156">
        <v>0.94042157599999998</v>
      </c>
      <c r="BZ156">
        <v>0.97199870300000002</v>
      </c>
      <c r="CA156">
        <v>1.0035758299999999</v>
      </c>
      <c r="CB156">
        <v>1.0351529559999999</v>
      </c>
      <c r="CC156">
        <v>1.0741260399999999</v>
      </c>
      <c r="CD156">
        <v>1.1296687620000001</v>
      </c>
      <c r="CE156">
        <v>1.185211483</v>
      </c>
      <c r="CF156">
        <v>1.2407542039999999</v>
      </c>
      <c r="CG156">
        <v>1.296296925</v>
      </c>
      <c r="CH156">
        <v>1.3418158659999999</v>
      </c>
      <c r="CI156">
        <v>1.3873348059999999</v>
      </c>
      <c r="CJ156">
        <v>1.4328537459999999</v>
      </c>
      <c r="CK156">
        <v>1.4783726859999999</v>
      </c>
      <c r="CL156">
        <v>1.5238916259999999</v>
      </c>
      <c r="CM156">
        <v>1.569410566</v>
      </c>
      <c r="CN156">
        <v>1.614929506</v>
      </c>
      <c r="CO156">
        <v>1.660448446</v>
      </c>
      <c r="CP156">
        <v>1.705967386</v>
      </c>
      <c r="CQ156">
        <v>1.751486326</v>
      </c>
      <c r="CR156">
        <v>1.751486326</v>
      </c>
      <c r="CS156">
        <v>1.751486326</v>
      </c>
      <c r="CT156">
        <v>1.751486326</v>
      </c>
      <c r="CU156">
        <v>1.751486326</v>
      </c>
      <c r="CV156">
        <v>1.751486326</v>
      </c>
      <c r="CW156">
        <v>1.751486326</v>
      </c>
      <c r="CX156">
        <v>1.751486326</v>
      </c>
    </row>
    <row r="157" spans="1:102" x14ac:dyDescent="0.3">
      <c r="A157" t="s">
        <v>220</v>
      </c>
      <c r="B157" t="s">
        <v>221</v>
      </c>
      <c r="C157" t="s">
        <v>222</v>
      </c>
      <c r="D157" t="s">
        <v>223</v>
      </c>
      <c r="E157" t="s">
        <v>554</v>
      </c>
      <c r="F157" t="s">
        <v>225</v>
      </c>
      <c r="G157" t="s">
        <v>226</v>
      </c>
      <c r="H157" t="s">
        <v>226</v>
      </c>
      <c r="I157" t="s">
        <v>226</v>
      </c>
      <c r="J157" t="s">
        <v>227</v>
      </c>
      <c r="K157" t="s">
        <v>228</v>
      </c>
      <c r="L157" t="s">
        <v>228</v>
      </c>
      <c r="M157" t="s">
        <v>228</v>
      </c>
      <c r="N157" t="s">
        <v>228</v>
      </c>
      <c r="O157" t="s">
        <v>229</v>
      </c>
      <c r="P157">
        <v>2</v>
      </c>
      <c r="Q157" t="s">
        <v>230</v>
      </c>
      <c r="R157" t="s">
        <v>231</v>
      </c>
      <c r="S157" t="s">
        <v>232</v>
      </c>
      <c r="T157">
        <v>0</v>
      </c>
      <c r="U157" t="s">
        <v>230</v>
      </c>
      <c r="V157" t="s">
        <v>233</v>
      </c>
      <c r="W157" t="s">
        <v>223</v>
      </c>
      <c r="X157" t="s">
        <v>234</v>
      </c>
      <c r="Y157" t="s">
        <v>555</v>
      </c>
      <c r="Z157" t="s">
        <v>232</v>
      </c>
      <c r="AA157" t="s">
        <v>236</v>
      </c>
      <c r="AB157" t="s">
        <v>237</v>
      </c>
      <c r="AC157" t="s">
        <v>236</v>
      </c>
      <c r="AD157" t="s">
        <v>238</v>
      </c>
      <c r="AE157" t="s">
        <v>239</v>
      </c>
      <c r="AF157" t="s">
        <v>239</v>
      </c>
      <c r="AG157" t="s">
        <v>239</v>
      </c>
      <c r="AH157" t="s">
        <v>239</v>
      </c>
      <c r="AI157" t="s">
        <v>240</v>
      </c>
      <c r="AJ157" t="s">
        <v>241</v>
      </c>
      <c r="AK157" t="s">
        <v>242</v>
      </c>
      <c r="AL157" t="s">
        <v>234</v>
      </c>
      <c r="AM157" t="s">
        <v>243</v>
      </c>
      <c r="AN157" t="s">
        <v>244</v>
      </c>
      <c r="AO157" t="s">
        <v>245</v>
      </c>
      <c r="BT157">
        <v>3.1511544009999999</v>
      </c>
      <c r="BU157">
        <v>3.1141774889999998</v>
      </c>
      <c r="BV157">
        <v>3.0772005770000002</v>
      </c>
      <c r="BW157">
        <v>3.0469877350000001</v>
      </c>
      <c r="BX157">
        <v>3.0167748919999999</v>
      </c>
      <c r="BY157">
        <v>2.9865620490000002</v>
      </c>
      <c r="BZ157">
        <v>2.9563492060000001</v>
      </c>
      <c r="CA157">
        <v>2.926136364</v>
      </c>
      <c r="CB157">
        <v>2.8959235209999998</v>
      </c>
      <c r="CC157">
        <v>2.8657106780000001</v>
      </c>
      <c r="CD157">
        <v>2.835497836</v>
      </c>
      <c r="CE157">
        <v>2.835497836</v>
      </c>
      <c r="CF157">
        <v>2.835497836</v>
      </c>
      <c r="CG157">
        <v>2.835497836</v>
      </c>
      <c r="CH157">
        <v>2.835497836</v>
      </c>
      <c r="CI157">
        <v>2.835497836</v>
      </c>
      <c r="CJ157">
        <v>2.835497836</v>
      </c>
      <c r="CK157">
        <v>2.835497836</v>
      </c>
      <c r="CL157">
        <v>2.835497836</v>
      </c>
      <c r="CM157">
        <v>2.835497836</v>
      </c>
      <c r="CN157">
        <v>2.835497836</v>
      </c>
      <c r="CO157">
        <v>2.835497836</v>
      </c>
      <c r="CP157">
        <v>2.835497836</v>
      </c>
      <c r="CQ157">
        <v>2.835497836</v>
      </c>
      <c r="CR157">
        <v>2.835497836</v>
      </c>
      <c r="CS157">
        <v>2.835497836</v>
      </c>
      <c r="CT157">
        <v>2.835497836</v>
      </c>
      <c r="CU157">
        <v>2.835497836</v>
      </c>
      <c r="CV157">
        <v>2.835497836</v>
      </c>
      <c r="CW157">
        <v>2.835497836</v>
      </c>
      <c r="CX157">
        <v>2.835497836</v>
      </c>
    </row>
    <row r="158" spans="1:102" x14ac:dyDescent="0.3">
      <c r="A158" t="s">
        <v>220</v>
      </c>
      <c r="B158" t="s">
        <v>221</v>
      </c>
      <c r="C158" t="s">
        <v>222</v>
      </c>
      <c r="D158" t="s">
        <v>223</v>
      </c>
      <c r="E158" t="s">
        <v>556</v>
      </c>
      <c r="F158" t="s">
        <v>225</v>
      </c>
      <c r="G158" t="s">
        <v>226</v>
      </c>
      <c r="H158" t="s">
        <v>226</v>
      </c>
      <c r="I158" t="s">
        <v>226</v>
      </c>
      <c r="J158" t="s">
        <v>227</v>
      </c>
      <c r="K158" t="s">
        <v>228</v>
      </c>
      <c r="L158" t="s">
        <v>228</v>
      </c>
      <c r="M158" t="s">
        <v>228</v>
      </c>
      <c r="N158" t="s">
        <v>228</v>
      </c>
      <c r="O158" t="s">
        <v>229</v>
      </c>
      <c r="P158">
        <v>2</v>
      </c>
      <c r="Q158" t="s">
        <v>230</v>
      </c>
      <c r="R158" t="s">
        <v>231</v>
      </c>
      <c r="S158" t="s">
        <v>232</v>
      </c>
      <c r="T158">
        <v>0</v>
      </c>
      <c r="U158" t="s">
        <v>230</v>
      </c>
      <c r="V158" t="s">
        <v>233</v>
      </c>
      <c r="W158" t="s">
        <v>223</v>
      </c>
      <c r="X158" t="s">
        <v>234</v>
      </c>
      <c r="Y158" t="s">
        <v>557</v>
      </c>
      <c r="Z158" t="s">
        <v>232</v>
      </c>
      <c r="AA158" t="s">
        <v>236</v>
      </c>
      <c r="AB158" t="s">
        <v>237</v>
      </c>
      <c r="AC158" t="s">
        <v>236</v>
      </c>
      <c r="AD158" t="s">
        <v>238</v>
      </c>
      <c r="AE158" t="s">
        <v>239</v>
      </c>
      <c r="AF158" t="s">
        <v>239</v>
      </c>
      <c r="AG158" t="s">
        <v>239</v>
      </c>
      <c r="AH158" t="s">
        <v>239</v>
      </c>
      <c r="AI158" t="s">
        <v>240</v>
      </c>
      <c r="AJ158" t="s">
        <v>241</v>
      </c>
      <c r="AK158" t="s">
        <v>242</v>
      </c>
      <c r="AL158" t="s">
        <v>234</v>
      </c>
      <c r="AM158" t="s">
        <v>243</v>
      </c>
      <c r="AN158" t="s">
        <v>244</v>
      </c>
      <c r="AO158" t="s">
        <v>245</v>
      </c>
      <c r="BO158">
        <v>1.656737589</v>
      </c>
      <c r="BP158">
        <v>1.7607039659999999</v>
      </c>
      <c r="BQ158">
        <v>1.8646703440000001</v>
      </c>
      <c r="BR158">
        <v>1.9686367220000001</v>
      </c>
      <c r="BS158">
        <v>2.0726030999999998</v>
      </c>
      <c r="BT158">
        <v>2.1776201730000002</v>
      </c>
      <c r="BU158">
        <v>2.2817966900000002</v>
      </c>
      <c r="BV158">
        <v>2.3859732070000002</v>
      </c>
      <c r="BW158">
        <v>2.4901497240000001</v>
      </c>
      <c r="BX158">
        <v>2.5924349879999999</v>
      </c>
      <c r="BY158">
        <v>2.6077541370000001</v>
      </c>
      <c r="BZ158">
        <v>2.6230732859999999</v>
      </c>
      <c r="CA158">
        <v>2.6383924350000001</v>
      </c>
      <c r="CB158">
        <v>2.6529550830000002</v>
      </c>
      <c r="CC158">
        <v>2.6680851059999999</v>
      </c>
      <c r="CD158">
        <v>2.6832151299999998</v>
      </c>
      <c r="CE158">
        <v>2.6983451540000001</v>
      </c>
      <c r="CF158">
        <v>2.7134751769999998</v>
      </c>
      <c r="CG158">
        <v>2.7286052010000001</v>
      </c>
      <c r="CH158">
        <v>2.743735225</v>
      </c>
      <c r="CI158">
        <v>2.941843972</v>
      </c>
      <c r="CJ158">
        <v>3.1395271870000001</v>
      </c>
      <c r="CK158">
        <v>3.337393617</v>
      </c>
      <c r="CL158">
        <v>3.535260047</v>
      </c>
      <c r="CM158">
        <v>3.4191784869999999</v>
      </c>
      <c r="CN158">
        <v>3.3030969269999999</v>
      </c>
      <c r="CO158">
        <v>3.1870153659999998</v>
      </c>
      <c r="CP158">
        <v>3.0743262410000001</v>
      </c>
      <c r="CQ158">
        <v>3.0193853430000002</v>
      </c>
      <c r="CR158">
        <v>3.1352245860000001</v>
      </c>
      <c r="CS158">
        <v>3.105437352</v>
      </c>
      <c r="CT158">
        <v>1.464112726</v>
      </c>
      <c r="CU158">
        <v>1.4848084539999999</v>
      </c>
      <c r="CV158">
        <v>1.4768817700000001</v>
      </c>
      <c r="CW158">
        <v>1.481946279</v>
      </c>
      <c r="CX158">
        <v>1.495816821</v>
      </c>
    </row>
    <row r="159" spans="1:102" x14ac:dyDescent="0.3">
      <c r="A159" t="s">
        <v>220</v>
      </c>
      <c r="B159" t="s">
        <v>221</v>
      </c>
      <c r="C159" t="s">
        <v>222</v>
      </c>
      <c r="D159" t="s">
        <v>223</v>
      </c>
      <c r="E159" t="s">
        <v>558</v>
      </c>
      <c r="F159" t="s">
        <v>225</v>
      </c>
      <c r="G159" t="s">
        <v>226</v>
      </c>
      <c r="H159" t="s">
        <v>226</v>
      </c>
      <c r="I159" t="s">
        <v>226</v>
      </c>
      <c r="J159" t="s">
        <v>227</v>
      </c>
      <c r="K159" t="s">
        <v>228</v>
      </c>
      <c r="L159" t="s">
        <v>228</v>
      </c>
      <c r="M159" t="s">
        <v>228</v>
      </c>
      <c r="N159" t="s">
        <v>228</v>
      </c>
      <c r="O159" t="s">
        <v>229</v>
      </c>
      <c r="P159">
        <v>2</v>
      </c>
      <c r="Q159" t="s">
        <v>230</v>
      </c>
      <c r="R159" t="s">
        <v>231</v>
      </c>
      <c r="S159" t="s">
        <v>232</v>
      </c>
      <c r="T159">
        <v>0</v>
      </c>
      <c r="U159" t="s">
        <v>230</v>
      </c>
      <c r="V159" t="s">
        <v>233</v>
      </c>
      <c r="W159" t="s">
        <v>223</v>
      </c>
      <c r="X159" t="s">
        <v>234</v>
      </c>
      <c r="Y159" t="s">
        <v>559</v>
      </c>
      <c r="Z159" t="s">
        <v>232</v>
      </c>
      <c r="AA159" t="s">
        <v>236</v>
      </c>
      <c r="AB159" t="s">
        <v>237</v>
      </c>
      <c r="AC159" t="s">
        <v>236</v>
      </c>
      <c r="AD159" t="s">
        <v>238</v>
      </c>
      <c r="AE159" t="s">
        <v>239</v>
      </c>
      <c r="AF159" t="s">
        <v>239</v>
      </c>
      <c r="AG159" t="s">
        <v>239</v>
      </c>
      <c r="AH159" t="s">
        <v>239</v>
      </c>
      <c r="AI159" t="s">
        <v>240</v>
      </c>
      <c r="AJ159" t="s">
        <v>241</v>
      </c>
      <c r="AK159" t="s">
        <v>242</v>
      </c>
      <c r="AL159" t="s">
        <v>234</v>
      </c>
      <c r="AM159" t="s">
        <v>243</v>
      </c>
      <c r="AN159" t="s">
        <v>244</v>
      </c>
      <c r="AO159" t="s">
        <v>245</v>
      </c>
      <c r="CB159">
        <v>27.413008649999998</v>
      </c>
      <c r="CC159">
        <v>27.478500480000001</v>
      </c>
      <c r="CD159">
        <v>27.54399231</v>
      </c>
      <c r="CE159">
        <v>27.609484139999999</v>
      </c>
      <c r="CF159">
        <v>27.674975969999998</v>
      </c>
      <c r="CG159">
        <v>27.740467800000001</v>
      </c>
      <c r="CH159">
        <v>27.740467800000001</v>
      </c>
      <c r="CI159">
        <v>27.740467800000001</v>
      </c>
      <c r="CJ159">
        <v>27.740467800000001</v>
      </c>
      <c r="CK159">
        <v>27.740467800000001</v>
      </c>
      <c r="CL159">
        <v>27.740467800000001</v>
      </c>
      <c r="CM159">
        <v>27.740467800000001</v>
      </c>
      <c r="CN159">
        <v>27.740467800000001</v>
      </c>
      <c r="CO159">
        <v>27.740467800000001</v>
      </c>
      <c r="CP159">
        <v>27.740467800000001</v>
      </c>
      <c r="CQ159">
        <v>27.740467800000001</v>
      </c>
      <c r="CR159">
        <v>27.740467800000001</v>
      </c>
      <c r="CS159">
        <v>27.740467800000001</v>
      </c>
      <c r="CT159">
        <v>27.740467800000001</v>
      </c>
      <c r="CU159">
        <v>27.740467800000001</v>
      </c>
      <c r="CV159">
        <v>27.740467800000001</v>
      </c>
      <c r="CW159">
        <v>27.740467800000001</v>
      </c>
      <c r="CX159">
        <v>27.740467800000001</v>
      </c>
    </row>
    <row r="160" spans="1:102" x14ac:dyDescent="0.3">
      <c r="A160" t="s">
        <v>220</v>
      </c>
      <c r="B160" t="s">
        <v>221</v>
      </c>
      <c r="C160" t="s">
        <v>222</v>
      </c>
      <c r="D160" t="s">
        <v>223</v>
      </c>
      <c r="E160" t="s">
        <v>560</v>
      </c>
      <c r="F160" t="s">
        <v>225</v>
      </c>
      <c r="G160" t="s">
        <v>226</v>
      </c>
      <c r="H160" t="s">
        <v>226</v>
      </c>
      <c r="I160" t="s">
        <v>226</v>
      </c>
      <c r="J160" t="s">
        <v>227</v>
      </c>
      <c r="K160" t="s">
        <v>228</v>
      </c>
      <c r="L160" t="s">
        <v>228</v>
      </c>
      <c r="M160" t="s">
        <v>228</v>
      </c>
      <c r="N160" t="s">
        <v>228</v>
      </c>
      <c r="O160" t="s">
        <v>229</v>
      </c>
      <c r="P160">
        <v>2</v>
      </c>
      <c r="Q160" t="s">
        <v>230</v>
      </c>
      <c r="R160" t="s">
        <v>231</v>
      </c>
      <c r="S160" t="s">
        <v>232</v>
      </c>
      <c r="T160">
        <v>0</v>
      </c>
      <c r="U160" t="s">
        <v>230</v>
      </c>
      <c r="V160" t="s">
        <v>233</v>
      </c>
      <c r="W160" t="s">
        <v>223</v>
      </c>
      <c r="X160" t="s">
        <v>234</v>
      </c>
      <c r="Y160" t="s">
        <v>561</v>
      </c>
      <c r="Z160" t="s">
        <v>232</v>
      </c>
      <c r="AA160" t="s">
        <v>236</v>
      </c>
      <c r="AB160" t="s">
        <v>237</v>
      </c>
      <c r="AC160" t="s">
        <v>236</v>
      </c>
      <c r="AD160" t="s">
        <v>238</v>
      </c>
      <c r="AE160" t="s">
        <v>239</v>
      </c>
      <c r="AF160" t="s">
        <v>239</v>
      </c>
      <c r="AG160" t="s">
        <v>239</v>
      </c>
      <c r="AH160" t="s">
        <v>239</v>
      </c>
      <c r="AI160" t="s">
        <v>240</v>
      </c>
      <c r="AJ160" t="s">
        <v>241</v>
      </c>
      <c r="AK160" t="s">
        <v>242</v>
      </c>
      <c r="AL160" t="s">
        <v>234</v>
      </c>
      <c r="AM160" t="s">
        <v>243</v>
      </c>
      <c r="AN160" t="s">
        <v>244</v>
      </c>
      <c r="AO160" t="s">
        <v>245</v>
      </c>
      <c r="BR160">
        <v>3.269230769</v>
      </c>
      <c r="BS160">
        <v>3.7051282049999998</v>
      </c>
      <c r="BT160">
        <v>4.1410256409999997</v>
      </c>
      <c r="BU160">
        <v>4.576923077</v>
      </c>
      <c r="BV160">
        <v>5.0128205130000003</v>
      </c>
      <c r="BW160">
        <v>5.4487179489999997</v>
      </c>
      <c r="BX160">
        <v>5.884615385</v>
      </c>
      <c r="BY160">
        <v>6.3205128210000003</v>
      </c>
      <c r="BZ160">
        <v>6.7564102559999997</v>
      </c>
      <c r="CA160">
        <v>7.192307692</v>
      </c>
      <c r="CB160">
        <v>7.6282051280000003</v>
      </c>
      <c r="CC160">
        <v>8.0641025640000006</v>
      </c>
      <c r="CD160">
        <v>8.5</v>
      </c>
      <c r="CE160">
        <v>8.9358974359999994</v>
      </c>
      <c r="CF160">
        <v>9.3717948720000006</v>
      </c>
      <c r="CG160">
        <v>9.807692308</v>
      </c>
      <c r="CH160">
        <v>9.615384615</v>
      </c>
      <c r="CI160">
        <v>9.423076923</v>
      </c>
      <c r="CJ160">
        <v>9.230769231</v>
      </c>
      <c r="CK160">
        <v>9.038461539</v>
      </c>
      <c r="CL160">
        <v>8.846153846</v>
      </c>
      <c r="CM160">
        <v>8.653846154</v>
      </c>
      <c r="CN160">
        <v>8.461538462</v>
      </c>
      <c r="CO160">
        <v>8.461538462</v>
      </c>
      <c r="CP160">
        <v>8.461538462</v>
      </c>
      <c r="CQ160">
        <v>8.461538462</v>
      </c>
      <c r="CR160">
        <v>8.461538462</v>
      </c>
      <c r="CS160">
        <v>8.461538462</v>
      </c>
      <c r="CT160">
        <v>8.461538462</v>
      </c>
      <c r="CU160">
        <v>8.461538462</v>
      </c>
      <c r="CV160">
        <v>8.461538462</v>
      </c>
      <c r="CW160">
        <v>8.461538462</v>
      </c>
      <c r="CX160">
        <v>8.461538462</v>
      </c>
    </row>
    <row r="161" spans="1:102" x14ac:dyDescent="0.3">
      <c r="A161" t="s">
        <v>220</v>
      </c>
      <c r="B161" t="s">
        <v>221</v>
      </c>
      <c r="C161" t="s">
        <v>222</v>
      </c>
      <c r="D161" t="s">
        <v>223</v>
      </c>
      <c r="E161" t="s">
        <v>562</v>
      </c>
      <c r="F161" t="s">
        <v>225</v>
      </c>
      <c r="G161" t="s">
        <v>226</v>
      </c>
      <c r="H161" t="s">
        <v>226</v>
      </c>
      <c r="I161" t="s">
        <v>226</v>
      </c>
      <c r="J161" t="s">
        <v>227</v>
      </c>
      <c r="K161" t="s">
        <v>228</v>
      </c>
      <c r="L161" t="s">
        <v>228</v>
      </c>
      <c r="M161" t="s">
        <v>228</v>
      </c>
      <c r="N161" t="s">
        <v>228</v>
      </c>
      <c r="O161" t="s">
        <v>229</v>
      </c>
      <c r="P161">
        <v>2</v>
      </c>
      <c r="Q161" t="s">
        <v>230</v>
      </c>
      <c r="R161" t="s">
        <v>231</v>
      </c>
      <c r="S161" t="s">
        <v>232</v>
      </c>
      <c r="T161">
        <v>0</v>
      </c>
      <c r="U161" t="s">
        <v>230</v>
      </c>
      <c r="V161" t="s">
        <v>233</v>
      </c>
      <c r="W161" t="s">
        <v>223</v>
      </c>
      <c r="X161" t="s">
        <v>234</v>
      </c>
      <c r="Y161" t="s">
        <v>563</v>
      </c>
      <c r="Z161" t="s">
        <v>232</v>
      </c>
      <c r="AA161" t="s">
        <v>236</v>
      </c>
      <c r="AB161" t="s">
        <v>237</v>
      </c>
      <c r="AC161" t="s">
        <v>236</v>
      </c>
      <c r="AD161" t="s">
        <v>238</v>
      </c>
      <c r="AE161" t="s">
        <v>239</v>
      </c>
      <c r="AF161" t="s">
        <v>239</v>
      </c>
      <c r="AG161" t="s">
        <v>239</v>
      </c>
      <c r="AH161" t="s">
        <v>239</v>
      </c>
      <c r="AI161" t="s">
        <v>240</v>
      </c>
      <c r="AJ161" t="s">
        <v>241</v>
      </c>
      <c r="AK161" t="s">
        <v>242</v>
      </c>
      <c r="AL161" t="s">
        <v>234</v>
      </c>
      <c r="AM161" t="s">
        <v>243</v>
      </c>
      <c r="AN161" t="s">
        <v>244</v>
      </c>
      <c r="AO161" t="s">
        <v>245</v>
      </c>
      <c r="BV161">
        <v>12.07586118</v>
      </c>
      <c r="BW161">
        <v>12.7214768</v>
      </c>
      <c r="BX161">
        <v>13.367092420000001</v>
      </c>
      <c r="BY161">
        <v>14.01270804</v>
      </c>
      <c r="BZ161">
        <v>14.658323660000001</v>
      </c>
      <c r="CA161">
        <v>15.30393928</v>
      </c>
      <c r="CB161">
        <v>15.949554900000001</v>
      </c>
      <c r="CC161">
        <v>16.606050830000001</v>
      </c>
      <c r="CD161">
        <v>17.26254677</v>
      </c>
      <c r="CE161">
        <v>17.343310540000001</v>
      </c>
      <c r="CF161">
        <v>17.424074310000002</v>
      </c>
      <c r="CG161">
        <v>17.50483809</v>
      </c>
      <c r="CH161">
        <v>17.50483809</v>
      </c>
      <c r="CI161">
        <v>17.50483809</v>
      </c>
      <c r="CJ161">
        <v>17.50483809</v>
      </c>
      <c r="CK161">
        <v>17.50483809</v>
      </c>
      <c r="CL161">
        <v>17.50483809</v>
      </c>
      <c r="CM161">
        <v>17.50483809</v>
      </c>
      <c r="CN161">
        <v>17.50483809</v>
      </c>
      <c r="CO161">
        <v>17.50483809</v>
      </c>
      <c r="CP161">
        <v>17.50483809</v>
      </c>
      <c r="CQ161">
        <v>17.50483809</v>
      </c>
      <c r="CR161">
        <v>17.50483809</v>
      </c>
      <c r="CS161">
        <v>17.50483809</v>
      </c>
      <c r="CT161">
        <v>17.50483809</v>
      </c>
      <c r="CU161">
        <v>17.50483809</v>
      </c>
      <c r="CV161">
        <v>17.50483809</v>
      </c>
      <c r="CW161">
        <v>17.50483809</v>
      </c>
      <c r="CX161">
        <v>17.50483809</v>
      </c>
    </row>
    <row r="162" spans="1:102" x14ac:dyDescent="0.3">
      <c r="A162" t="s">
        <v>220</v>
      </c>
      <c r="B162" t="s">
        <v>221</v>
      </c>
      <c r="C162" t="s">
        <v>222</v>
      </c>
      <c r="D162" t="s">
        <v>223</v>
      </c>
      <c r="E162" t="s">
        <v>564</v>
      </c>
      <c r="F162" t="s">
        <v>225</v>
      </c>
      <c r="G162" t="s">
        <v>226</v>
      </c>
      <c r="H162" t="s">
        <v>226</v>
      </c>
      <c r="I162" t="s">
        <v>226</v>
      </c>
      <c r="J162" t="s">
        <v>227</v>
      </c>
      <c r="K162" t="s">
        <v>228</v>
      </c>
      <c r="L162" t="s">
        <v>228</v>
      </c>
      <c r="M162" t="s">
        <v>228</v>
      </c>
      <c r="N162" t="s">
        <v>228</v>
      </c>
      <c r="O162" t="s">
        <v>229</v>
      </c>
      <c r="P162">
        <v>2</v>
      </c>
      <c r="Q162" t="s">
        <v>230</v>
      </c>
      <c r="R162" t="s">
        <v>231</v>
      </c>
      <c r="S162" t="s">
        <v>232</v>
      </c>
      <c r="T162">
        <v>0</v>
      </c>
      <c r="U162" t="s">
        <v>230</v>
      </c>
      <c r="V162" t="s">
        <v>233</v>
      </c>
      <c r="W162" t="s">
        <v>223</v>
      </c>
      <c r="X162" t="s">
        <v>234</v>
      </c>
      <c r="Y162" t="s">
        <v>565</v>
      </c>
      <c r="Z162" t="s">
        <v>232</v>
      </c>
      <c r="AA162" t="s">
        <v>236</v>
      </c>
      <c r="AB162" t="s">
        <v>237</v>
      </c>
      <c r="AC162" t="s">
        <v>236</v>
      </c>
      <c r="AD162" t="s">
        <v>238</v>
      </c>
      <c r="AE162" t="s">
        <v>239</v>
      </c>
      <c r="AF162" t="s">
        <v>239</v>
      </c>
      <c r="AG162" t="s">
        <v>239</v>
      </c>
      <c r="AH162" t="s">
        <v>239</v>
      </c>
      <c r="AI162" t="s">
        <v>240</v>
      </c>
      <c r="AJ162" t="s">
        <v>241</v>
      </c>
      <c r="AK162" t="s">
        <v>242</v>
      </c>
      <c r="AL162" t="s">
        <v>234</v>
      </c>
      <c r="AM162" t="s">
        <v>243</v>
      </c>
      <c r="AN162" t="s">
        <v>244</v>
      </c>
      <c r="AO162" t="s">
        <v>245</v>
      </c>
      <c r="BB162">
        <v>13.08615049</v>
      </c>
      <c r="BC162">
        <v>13.08615049</v>
      </c>
      <c r="BD162">
        <v>13.5853629</v>
      </c>
      <c r="BE162">
        <v>14.08457531</v>
      </c>
      <c r="BF162">
        <v>14.583787709999999</v>
      </c>
      <c r="BG162">
        <v>15.083000119999999</v>
      </c>
      <c r="BH162">
        <v>15.58221253</v>
      </c>
      <c r="BI162">
        <v>16.081424940000002</v>
      </c>
      <c r="BJ162">
        <v>16.580637339999999</v>
      </c>
      <c r="BK162">
        <v>17.079849750000001</v>
      </c>
      <c r="BL162">
        <v>17.579062159999999</v>
      </c>
      <c r="BM162">
        <v>18.078274570000001</v>
      </c>
      <c r="BN162">
        <v>18.577486969999999</v>
      </c>
      <c r="BO162">
        <v>19.076699380000001</v>
      </c>
      <c r="BP162">
        <v>19.575911789999999</v>
      </c>
      <c r="BQ162">
        <v>20.075124200000001</v>
      </c>
      <c r="BR162">
        <v>20.574336599999999</v>
      </c>
      <c r="BS162">
        <v>20.930570700000001</v>
      </c>
      <c r="BT162">
        <v>21.286804799999999</v>
      </c>
      <c r="BU162">
        <v>21.64303889</v>
      </c>
      <c r="BV162">
        <v>21.999272990000001</v>
      </c>
      <c r="BW162">
        <v>22.35550709</v>
      </c>
      <c r="BX162">
        <v>22.319156670000002</v>
      </c>
      <c r="BY162">
        <v>22.28280625</v>
      </c>
      <c r="BZ162">
        <v>22.246455829999999</v>
      </c>
      <c r="CA162">
        <v>22.210105420000001</v>
      </c>
      <c r="CB162">
        <v>22.173755</v>
      </c>
      <c r="CC162">
        <v>23.567187690000001</v>
      </c>
      <c r="CD162">
        <v>24.960620380000002</v>
      </c>
      <c r="CE162">
        <v>26.354053069999999</v>
      </c>
      <c r="CF162">
        <v>25.736095970000001</v>
      </c>
      <c r="CG162">
        <v>25.118138859999998</v>
      </c>
      <c r="CH162">
        <v>24.7909851</v>
      </c>
      <c r="CI162">
        <v>22.900763359999999</v>
      </c>
      <c r="CJ162">
        <v>27.844420209999999</v>
      </c>
      <c r="CK162">
        <v>22.973464190000001</v>
      </c>
      <c r="CL162">
        <v>23.155216289999998</v>
      </c>
      <c r="CM162">
        <v>20.756088699999999</v>
      </c>
      <c r="CN162">
        <v>21.15594329</v>
      </c>
      <c r="CO162">
        <v>22.10105416</v>
      </c>
      <c r="CP162">
        <v>22.53725918</v>
      </c>
      <c r="CQ162">
        <v>22.246455829999999</v>
      </c>
      <c r="CR162">
        <v>22.53725918</v>
      </c>
      <c r="CS162">
        <v>22.173755</v>
      </c>
      <c r="CT162">
        <v>21.483097059999999</v>
      </c>
      <c r="CU162">
        <v>21.62849873</v>
      </c>
      <c r="CV162">
        <v>22.064703739999999</v>
      </c>
      <c r="CW162">
        <v>21.955652489999999</v>
      </c>
      <c r="CX162">
        <v>22.973464190000001</v>
      </c>
    </row>
    <row r="163" spans="1:102" x14ac:dyDescent="0.3">
      <c r="A163" t="s">
        <v>220</v>
      </c>
      <c r="B163" t="s">
        <v>221</v>
      </c>
      <c r="C163" t="s">
        <v>222</v>
      </c>
      <c r="D163" t="s">
        <v>223</v>
      </c>
      <c r="E163" t="s">
        <v>566</v>
      </c>
      <c r="F163" t="s">
        <v>225</v>
      </c>
      <c r="G163" t="s">
        <v>226</v>
      </c>
      <c r="H163" t="s">
        <v>226</v>
      </c>
      <c r="I163" t="s">
        <v>226</v>
      </c>
      <c r="J163" t="s">
        <v>227</v>
      </c>
      <c r="K163" t="s">
        <v>228</v>
      </c>
      <c r="L163" t="s">
        <v>228</v>
      </c>
      <c r="M163" t="s">
        <v>228</v>
      </c>
      <c r="N163" t="s">
        <v>228</v>
      </c>
      <c r="O163" t="s">
        <v>229</v>
      </c>
      <c r="P163">
        <v>2</v>
      </c>
      <c r="Q163" t="s">
        <v>230</v>
      </c>
      <c r="R163" t="s">
        <v>231</v>
      </c>
      <c r="S163" t="s">
        <v>232</v>
      </c>
      <c r="T163">
        <v>0</v>
      </c>
      <c r="U163" t="s">
        <v>230</v>
      </c>
      <c r="V163" t="s">
        <v>233</v>
      </c>
      <c r="W163" t="s">
        <v>223</v>
      </c>
      <c r="X163" t="s">
        <v>234</v>
      </c>
      <c r="Y163" t="s">
        <v>567</v>
      </c>
      <c r="Z163" t="s">
        <v>232</v>
      </c>
      <c r="AA163" t="s">
        <v>236</v>
      </c>
      <c r="AB163" t="s">
        <v>237</v>
      </c>
      <c r="AC163" t="s">
        <v>236</v>
      </c>
      <c r="AD163" t="s">
        <v>238</v>
      </c>
      <c r="AE163" t="s">
        <v>239</v>
      </c>
      <c r="AF163" t="s">
        <v>239</v>
      </c>
      <c r="AG163" t="s">
        <v>239</v>
      </c>
      <c r="AH163" t="s">
        <v>239</v>
      </c>
      <c r="AI163" t="s">
        <v>240</v>
      </c>
      <c r="AJ163" t="s">
        <v>241</v>
      </c>
      <c r="AK163" t="s">
        <v>242</v>
      </c>
      <c r="AL163" t="s">
        <v>234</v>
      </c>
      <c r="AM163" t="s">
        <v>243</v>
      </c>
      <c r="AN163" t="s">
        <v>244</v>
      </c>
      <c r="AO163" t="s">
        <v>245</v>
      </c>
      <c r="BH163">
        <v>0.14675907099999999</v>
      </c>
      <c r="BI163">
        <v>0.147846175</v>
      </c>
      <c r="BJ163">
        <v>0.148933279</v>
      </c>
      <c r="BK163">
        <v>0.15002038300000001</v>
      </c>
      <c r="BL163">
        <v>0.15110748700000001</v>
      </c>
      <c r="BM163">
        <v>0.15219459199999999</v>
      </c>
      <c r="BN163">
        <v>0.16714227500000001</v>
      </c>
      <c r="BO163">
        <v>0.182089958</v>
      </c>
      <c r="BP163">
        <v>0.19703764100000001</v>
      </c>
      <c r="BQ163">
        <v>0.211985324</v>
      </c>
      <c r="BR163">
        <v>0.22693300699999999</v>
      </c>
      <c r="BS163">
        <v>0.22693300699999999</v>
      </c>
      <c r="BT163">
        <v>0.22693300699999999</v>
      </c>
      <c r="BU163">
        <v>0.22625356699999999</v>
      </c>
      <c r="BV163">
        <v>0.22557412700000001</v>
      </c>
      <c r="BW163">
        <v>0.22489468700000001</v>
      </c>
      <c r="BX163">
        <v>0.22421524700000001</v>
      </c>
      <c r="BY163">
        <v>0.223535807</v>
      </c>
      <c r="BZ163">
        <v>0.222856366</v>
      </c>
      <c r="CA163">
        <v>0.222176926</v>
      </c>
      <c r="CB163">
        <v>0.22149748599999999</v>
      </c>
      <c r="CC163">
        <v>0.222856366</v>
      </c>
      <c r="CD163">
        <v>0.22421524700000001</v>
      </c>
      <c r="CE163">
        <v>0.22421524700000001</v>
      </c>
      <c r="CF163">
        <v>0.22421524700000001</v>
      </c>
      <c r="CG163">
        <v>0.246444263</v>
      </c>
      <c r="CH163">
        <v>0.26867328000000001</v>
      </c>
      <c r="CI163">
        <v>0.29090229699999998</v>
      </c>
      <c r="CJ163">
        <v>0.31313131300000002</v>
      </c>
      <c r="CK163">
        <v>0.33536032999999998</v>
      </c>
      <c r="CL163">
        <v>0.35758934599999997</v>
      </c>
      <c r="CM163">
        <v>0.37868596300000001</v>
      </c>
      <c r="CN163">
        <v>0.39951080300000003</v>
      </c>
      <c r="CO163">
        <v>0.39557005000000001</v>
      </c>
      <c r="CP163">
        <v>0.37423562999999999</v>
      </c>
      <c r="CQ163">
        <v>0.37980703900000001</v>
      </c>
      <c r="CR163">
        <v>0.35330887399999999</v>
      </c>
      <c r="CS163">
        <v>0.39407528200000003</v>
      </c>
      <c r="CT163">
        <v>0.39407528200000003</v>
      </c>
      <c r="CU163">
        <v>0.39407528200000003</v>
      </c>
      <c r="CV163">
        <v>0.39407528200000003</v>
      </c>
      <c r="CW163">
        <v>0.39407528200000003</v>
      </c>
      <c r="CX163">
        <v>0.39407528200000003</v>
      </c>
    </row>
    <row r="164" spans="1:102" x14ac:dyDescent="0.3">
      <c r="A164" t="s">
        <v>220</v>
      </c>
      <c r="B164" t="s">
        <v>221</v>
      </c>
      <c r="C164" t="s">
        <v>222</v>
      </c>
      <c r="D164" t="s">
        <v>223</v>
      </c>
      <c r="E164" t="s">
        <v>568</v>
      </c>
      <c r="F164" t="s">
        <v>225</v>
      </c>
      <c r="G164" t="s">
        <v>226</v>
      </c>
      <c r="H164" t="s">
        <v>226</v>
      </c>
      <c r="I164" t="s">
        <v>226</v>
      </c>
      <c r="J164" t="s">
        <v>227</v>
      </c>
      <c r="K164" t="s">
        <v>228</v>
      </c>
      <c r="L164" t="s">
        <v>228</v>
      </c>
      <c r="M164" t="s">
        <v>228</v>
      </c>
      <c r="N164" t="s">
        <v>228</v>
      </c>
      <c r="O164" t="s">
        <v>229</v>
      </c>
      <c r="P164">
        <v>2</v>
      </c>
      <c r="Q164" t="s">
        <v>230</v>
      </c>
      <c r="R164" t="s">
        <v>231</v>
      </c>
      <c r="S164" t="s">
        <v>232</v>
      </c>
      <c r="T164">
        <v>0</v>
      </c>
      <c r="U164" t="s">
        <v>230</v>
      </c>
      <c r="V164" t="s">
        <v>233</v>
      </c>
      <c r="W164" t="s">
        <v>223</v>
      </c>
      <c r="X164" t="s">
        <v>234</v>
      </c>
      <c r="Y164" t="s">
        <v>569</v>
      </c>
      <c r="Z164" t="s">
        <v>232</v>
      </c>
      <c r="AA164" t="s">
        <v>236</v>
      </c>
      <c r="AB164" t="s">
        <v>237</v>
      </c>
      <c r="AC164" t="s">
        <v>236</v>
      </c>
      <c r="AD164" t="s">
        <v>238</v>
      </c>
      <c r="AE164" t="s">
        <v>239</v>
      </c>
      <c r="AF164" t="s">
        <v>239</v>
      </c>
      <c r="AG164" t="s">
        <v>239</v>
      </c>
      <c r="AH164" t="s">
        <v>239</v>
      </c>
      <c r="AI164" t="s">
        <v>240</v>
      </c>
      <c r="AJ164" t="s">
        <v>241</v>
      </c>
      <c r="AK164" t="s">
        <v>242</v>
      </c>
      <c r="AL164" t="s">
        <v>234</v>
      </c>
      <c r="AM164" t="s">
        <v>243</v>
      </c>
      <c r="AN164" t="s">
        <v>244</v>
      </c>
      <c r="AO164" t="s">
        <v>245</v>
      </c>
      <c r="BU164">
        <v>46.104022190000002</v>
      </c>
      <c r="BV164">
        <v>45.294036060000003</v>
      </c>
      <c r="BW164">
        <v>44.484049929999998</v>
      </c>
      <c r="BX164">
        <v>40.969764220000002</v>
      </c>
      <c r="BY164">
        <v>37.455478499999998</v>
      </c>
      <c r="BZ164">
        <v>33.941192790000002</v>
      </c>
      <c r="CA164">
        <v>30.426907069999999</v>
      </c>
      <c r="CB164">
        <v>29.124826630000001</v>
      </c>
      <c r="CC164">
        <v>28.897364769999999</v>
      </c>
      <c r="CD164">
        <v>30.86962552</v>
      </c>
      <c r="CE164">
        <v>31.852981969999998</v>
      </c>
      <c r="CF164">
        <v>32.78363384</v>
      </c>
      <c r="CG164">
        <v>34.385575590000002</v>
      </c>
      <c r="CH164">
        <v>29.463245489999998</v>
      </c>
      <c r="CI164">
        <v>31.646324549999999</v>
      </c>
      <c r="CJ164">
        <v>28.391123440000001</v>
      </c>
      <c r="CK164">
        <v>33.091539529999999</v>
      </c>
      <c r="CL164">
        <v>30.50762829</v>
      </c>
      <c r="CM164">
        <v>29.676837729999999</v>
      </c>
      <c r="CN164">
        <v>31.335644940000002</v>
      </c>
      <c r="CO164">
        <v>32.045769759999999</v>
      </c>
      <c r="CP164">
        <v>32.013869630000002</v>
      </c>
      <c r="CQ164">
        <v>30.036061029999999</v>
      </c>
      <c r="CR164">
        <v>30.001386960000001</v>
      </c>
      <c r="CS164">
        <v>31.140083220000001</v>
      </c>
      <c r="CT164">
        <v>32.651872400000002</v>
      </c>
      <c r="CU164">
        <v>32.615811370000003</v>
      </c>
      <c r="CV164">
        <v>34.098474340000003</v>
      </c>
      <c r="CW164">
        <v>34.004160890000001</v>
      </c>
      <c r="CX164">
        <v>34.626907070000001</v>
      </c>
    </row>
    <row r="165" spans="1:102" x14ac:dyDescent="0.3">
      <c r="A165" t="s">
        <v>220</v>
      </c>
      <c r="B165" t="s">
        <v>221</v>
      </c>
      <c r="C165" t="s">
        <v>222</v>
      </c>
      <c r="D165" t="s">
        <v>223</v>
      </c>
      <c r="E165" t="s">
        <v>570</v>
      </c>
      <c r="F165" t="s">
        <v>225</v>
      </c>
      <c r="G165" t="s">
        <v>226</v>
      </c>
      <c r="H165" t="s">
        <v>226</v>
      </c>
      <c r="I165" t="s">
        <v>226</v>
      </c>
      <c r="J165" t="s">
        <v>227</v>
      </c>
      <c r="K165" t="s">
        <v>228</v>
      </c>
      <c r="L165" t="s">
        <v>228</v>
      </c>
      <c r="M165" t="s">
        <v>228</v>
      </c>
      <c r="N165" t="s">
        <v>228</v>
      </c>
      <c r="O165" t="s">
        <v>229</v>
      </c>
      <c r="P165">
        <v>2</v>
      </c>
      <c r="Q165" t="s">
        <v>230</v>
      </c>
      <c r="R165" t="s">
        <v>231</v>
      </c>
      <c r="S165" t="s">
        <v>232</v>
      </c>
      <c r="T165">
        <v>0</v>
      </c>
      <c r="U165" t="s">
        <v>230</v>
      </c>
      <c r="V165" t="s">
        <v>233</v>
      </c>
      <c r="W165" t="s">
        <v>223</v>
      </c>
      <c r="X165" t="s">
        <v>234</v>
      </c>
      <c r="Y165" t="s">
        <v>571</v>
      </c>
      <c r="Z165" t="s">
        <v>232</v>
      </c>
      <c r="AA165" t="s">
        <v>236</v>
      </c>
      <c r="AB165" t="s">
        <v>237</v>
      </c>
      <c r="AC165" t="s">
        <v>236</v>
      </c>
      <c r="AD165" t="s">
        <v>238</v>
      </c>
      <c r="AE165" t="s">
        <v>239</v>
      </c>
      <c r="AF165" t="s">
        <v>239</v>
      </c>
      <c r="AG165" t="s">
        <v>239</v>
      </c>
      <c r="AH165" t="s">
        <v>239</v>
      </c>
      <c r="AI165" t="s">
        <v>240</v>
      </c>
      <c r="AJ165" t="s">
        <v>241</v>
      </c>
      <c r="AK165" t="s">
        <v>242</v>
      </c>
      <c r="AL165" t="s">
        <v>234</v>
      </c>
      <c r="AM165" t="s">
        <v>243</v>
      </c>
      <c r="AN165" t="s">
        <v>244</v>
      </c>
      <c r="AO165" t="s">
        <v>245</v>
      </c>
      <c r="AX165">
        <v>7.8254683419999997</v>
      </c>
      <c r="AY165">
        <v>7.9440360449999998</v>
      </c>
      <c r="AZ165">
        <v>8.0626037470000007</v>
      </c>
      <c r="BA165">
        <v>8.1811714490000007</v>
      </c>
      <c r="BB165">
        <v>8.2997391510000007</v>
      </c>
      <c r="BC165">
        <v>8.4183068530000007</v>
      </c>
      <c r="BD165">
        <v>8.4894474750000004</v>
      </c>
      <c r="BE165">
        <v>8.560588096</v>
      </c>
      <c r="BF165">
        <v>8.6317287169999997</v>
      </c>
      <c r="BG165">
        <v>8.7028693379999993</v>
      </c>
      <c r="BH165">
        <v>8.7740099600000008</v>
      </c>
      <c r="BI165">
        <v>8.916291202</v>
      </c>
      <c r="BJ165">
        <v>9.0585724449999994</v>
      </c>
      <c r="BK165">
        <v>9.2008536880000005</v>
      </c>
      <c r="BL165">
        <v>9.3431349299999997</v>
      </c>
      <c r="BM165">
        <v>9.4854161730000008</v>
      </c>
      <c r="BN165">
        <v>8.6919611099999994</v>
      </c>
      <c r="BO165">
        <v>7.8985060469999997</v>
      </c>
      <c r="BP165">
        <v>7.105050984</v>
      </c>
      <c r="BQ165">
        <v>6.3115959210000003</v>
      </c>
      <c r="BR165">
        <v>5.5181408579999998</v>
      </c>
      <c r="BS165">
        <v>5.6409769980000002</v>
      </c>
      <c r="BT165">
        <v>5.7638131369999996</v>
      </c>
      <c r="BU165">
        <v>5.8866492770000001</v>
      </c>
      <c r="BV165">
        <v>6.0094854160000004</v>
      </c>
      <c r="BW165">
        <v>6.132321556</v>
      </c>
      <c r="BX165">
        <v>5.9791913680000004</v>
      </c>
      <c r="BY165">
        <v>5.826061181</v>
      </c>
      <c r="BZ165">
        <v>5.6729309939999997</v>
      </c>
      <c r="CA165">
        <v>5.5198008060000001</v>
      </c>
      <c r="CB165">
        <v>6.9612452999999999</v>
      </c>
      <c r="CC165">
        <v>8.4026897930000004</v>
      </c>
      <c r="CD165">
        <v>9.8441342859999992</v>
      </c>
      <c r="CE165">
        <v>11.273307020000001</v>
      </c>
      <c r="CF165">
        <v>12.702479759999999</v>
      </c>
      <c r="CG165">
        <v>14.1316525</v>
      </c>
      <c r="CH165">
        <v>15.560825230000001</v>
      </c>
      <c r="CI165">
        <v>14.55015414</v>
      </c>
      <c r="CJ165">
        <v>13.53948304</v>
      </c>
      <c r="CK165">
        <v>12.52881195</v>
      </c>
      <c r="CL165">
        <v>11.518140860000001</v>
      </c>
      <c r="CM165">
        <v>10.50746977</v>
      </c>
      <c r="CN165">
        <v>9.4967986720000006</v>
      </c>
      <c r="CO165">
        <v>8.4861275789999997</v>
      </c>
      <c r="CP165">
        <v>7.4754564859999997</v>
      </c>
      <c r="CQ165">
        <v>6.4647853929999997</v>
      </c>
      <c r="CR165">
        <v>5.4541142990000004</v>
      </c>
      <c r="CS165">
        <v>5.4541142990000004</v>
      </c>
      <c r="CT165">
        <v>6.6397913209999997</v>
      </c>
      <c r="CU165">
        <v>7.1140621299999998</v>
      </c>
      <c r="CV165">
        <v>7.1140621299999998</v>
      </c>
      <c r="CW165">
        <v>7.1140621299999998</v>
      </c>
      <c r="CX165">
        <v>7.1140621299999998</v>
      </c>
    </row>
    <row r="166" spans="1:102" x14ac:dyDescent="0.3">
      <c r="A166" t="s">
        <v>220</v>
      </c>
      <c r="B166" t="s">
        <v>221</v>
      </c>
      <c r="C166" t="s">
        <v>222</v>
      </c>
      <c r="D166" t="s">
        <v>223</v>
      </c>
      <c r="E166" t="s">
        <v>572</v>
      </c>
      <c r="F166" t="s">
        <v>225</v>
      </c>
      <c r="G166" t="s">
        <v>226</v>
      </c>
      <c r="H166" t="s">
        <v>226</v>
      </c>
      <c r="I166" t="s">
        <v>226</v>
      </c>
      <c r="J166" t="s">
        <v>227</v>
      </c>
      <c r="K166" t="s">
        <v>228</v>
      </c>
      <c r="L166" t="s">
        <v>228</v>
      </c>
      <c r="M166" t="s">
        <v>228</v>
      </c>
      <c r="N166" t="s">
        <v>228</v>
      </c>
      <c r="O166" t="s">
        <v>229</v>
      </c>
      <c r="P166">
        <v>2</v>
      </c>
      <c r="Q166" t="s">
        <v>230</v>
      </c>
      <c r="R166" t="s">
        <v>231</v>
      </c>
      <c r="S166" t="s">
        <v>232</v>
      </c>
      <c r="T166">
        <v>0</v>
      </c>
      <c r="U166" t="s">
        <v>230</v>
      </c>
      <c r="V166" t="s">
        <v>233</v>
      </c>
      <c r="W166" t="s">
        <v>223</v>
      </c>
      <c r="X166" t="s">
        <v>234</v>
      </c>
      <c r="Y166" t="s">
        <v>573</v>
      </c>
      <c r="Z166" t="s">
        <v>232</v>
      </c>
      <c r="AA166" t="s">
        <v>236</v>
      </c>
      <c r="AB166" t="s">
        <v>237</v>
      </c>
      <c r="AC166" t="s">
        <v>236</v>
      </c>
      <c r="AD166" t="s">
        <v>238</v>
      </c>
      <c r="AE166" t="s">
        <v>239</v>
      </c>
      <c r="AF166" t="s">
        <v>239</v>
      </c>
      <c r="AG166" t="s">
        <v>239</v>
      </c>
      <c r="AH166" t="s">
        <v>239</v>
      </c>
      <c r="AI166" t="s">
        <v>240</v>
      </c>
      <c r="AJ166" t="s">
        <v>241</v>
      </c>
      <c r="AK166" t="s">
        <v>242</v>
      </c>
      <c r="AL166" t="s">
        <v>234</v>
      </c>
      <c r="AM166" t="s">
        <v>243</v>
      </c>
      <c r="AN166" t="s">
        <v>244</v>
      </c>
      <c r="AO166" t="s">
        <v>245</v>
      </c>
      <c r="BO166">
        <v>2.098765432</v>
      </c>
      <c r="BP166">
        <v>2.5170023829999999</v>
      </c>
      <c r="BQ166">
        <v>2.9352393330000002</v>
      </c>
      <c r="BR166">
        <v>3.353476283</v>
      </c>
      <c r="BS166">
        <v>3.7717132339999999</v>
      </c>
      <c r="BT166">
        <v>4.1899501839999997</v>
      </c>
      <c r="BU166">
        <v>4.6081871349999997</v>
      </c>
      <c r="BV166">
        <v>5.0264240850000004</v>
      </c>
      <c r="BW166">
        <v>5.4446610350000002</v>
      </c>
      <c r="BX166">
        <v>5.8628979860000001</v>
      </c>
      <c r="BY166">
        <v>6.2590155950000002</v>
      </c>
      <c r="BZ166">
        <v>6.6551332030000001</v>
      </c>
      <c r="CA166">
        <v>7.0512508120000001</v>
      </c>
      <c r="CB166">
        <v>7.4473684210000002</v>
      </c>
      <c r="CC166">
        <v>7.8434860300000002</v>
      </c>
      <c r="CD166">
        <v>7.875406108</v>
      </c>
      <c r="CE166">
        <v>7.9073261859999997</v>
      </c>
      <c r="CF166">
        <v>7.9392462640000003</v>
      </c>
      <c r="CG166">
        <v>7.9711663420000001</v>
      </c>
      <c r="CH166">
        <v>8.0030864200000007</v>
      </c>
      <c r="CI166">
        <v>8.0030864200000007</v>
      </c>
      <c r="CJ166">
        <v>8.0030864200000007</v>
      </c>
      <c r="CK166">
        <v>8.0030864200000007</v>
      </c>
      <c r="CL166">
        <v>8.0030864200000007</v>
      </c>
      <c r="CM166">
        <v>8.0030864200000007</v>
      </c>
      <c r="CN166">
        <v>8.0030864200000007</v>
      </c>
      <c r="CO166">
        <v>8.0030864200000007</v>
      </c>
      <c r="CP166">
        <v>8.0030864200000007</v>
      </c>
      <c r="CQ166">
        <v>8.0030864200000007</v>
      </c>
      <c r="CR166">
        <v>8.0030864200000007</v>
      </c>
      <c r="CS166">
        <v>8.0030864200000007</v>
      </c>
      <c r="CT166">
        <v>8.0030864200000007</v>
      </c>
      <c r="CU166">
        <v>8.0030864200000007</v>
      </c>
      <c r="CV166">
        <v>8.0030864200000007</v>
      </c>
      <c r="CW166">
        <v>8.0030864200000007</v>
      </c>
      <c r="CX166">
        <v>8.0030864200000007</v>
      </c>
    </row>
    <row r="167" spans="1:102" x14ac:dyDescent="0.3">
      <c r="A167" t="s">
        <v>220</v>
      </c>
      <c r="B167" t="s">
        <v>221</v>
      </c>
      <c r="C167" t="s">
        <v>222</v>
      </c>
      <c r="D167" t="s">
        <v>223</v>
      </c>
      <c r="E167" t="s">
        <v>574</v>
      </c>
      <c r="F167" t="s">
        <v>225</v>
      </c>
      <c r="G167" t="s">
        <v>226</v>
      </c>
      <c r="H167" t="s">
        <v>226</v>
      </c>
      <c r="I167" t="s">
        <v>226</v>
      </c>
      <c r="J167" t="s">
        <v>227</v>
      </c>
      <c r="K167" t="s">
        <v>228</v>
      </c>
      <c r="L167" t="s">
        <v>228</v>
      </c>
      <c r="M167" t="s">
        <v>228</v>
      </c>
      <c r="N167" t="s">
        <v>228</v>
      </c>
      <c r="O167" t="s">
        <v>229</v>
      </c>
      <c r="P167">
        <v>2</v>
      </c>
      <c r="Q167" t="s">
        <v>230</v>
      </c>
      <c r="R167" t="s">
        <v>231</v>
      </c>
      <c r="S167" t="s">
        <v>232</v>
      </c>
      <c r="T167">
        <v>0</v>
      </c>
      <c r="U167" t="s">
        <v>230</v>
      </c>
      <c r="V167" t="s">
        <v>233</v>
      </c>
      <c r="W167" t="s">
        <v>223</v>
      </c>
      <c r="X167" t="s">
        <v>234</v>
      </c>
      <c r="Y167" t="s">
        <v>575</v>
      </c>
      <c r="Z167" t="s">
        <v>232</v>
      </c>
      <c r="AA167" t="s">
        <v>236</v>
      </c>
      <c r="AB167" t="s">
        <v>237</v>
      </c>
      <c r="AC167" t="s">
        <v>236</v>
      </c>
      <c r="AD167" t="s">
        <v>238</v>
      </c>
      <c r="AE167" t="s">
        <v>239</v>
      </c>
      <c r="AF167" t="s">
        <v>239</v>
      </c>
      <c r="AG167" t="s">
        <v>239</v>
      </c>
      <c r="AH167" t="s">
        <v>239</v>
      </c>
      <c r="AI167" t="s">
        <v>240</v>
      </c>
      <c r="AJ167" t="s">
        <v>241</v>
      </c>
      <c r="AK167" t="s">
        <v>242</v>
      </c>
      <c r="AL167" t="s">
        <v>234</v>
      </c>
      <c r="AM167" t="s">
        <v>243</v>
      </c>
      <c r="AN167" t="s">
        <v>244</v>
      </c>
      <c r="AO167" t="s">
        <v>245</v>
      </c>
      <c r="CF167">
        <v>28.268210320000001</v>
      </c>
      <c r="CG167">
        <v>28.268210320000001</v>
      </c>
      <c r="CH167">
        <v>28.268210320000001</v>
      </c>
      <c r="CI167">
        <v>28.268210320000001</v>
      </c>
      <c r="CJ167">
        <v>28.268210320000001</v>
      </c>
      <c r="CK167">
        <v>28.268210320000001</v>
      </c>
      <c r="CL167">
        <v>28.268210320000001</v>
      </c>
      <c r="CM167">
        <v>28.268210320000001</v>
      </c>
      <c r="CN167">
        <v>28.268210320000001</v>
      </c>
      <c r="CO167">
        <v>28.268210320000001</v>
      </c>
      <c r="CP167">
        <v>28.268210320000001</v>
      </c>
      <c r="CQ167">
        <v>28.268210320000001</v>
      </c>
      <c r="CR167">
        <v>28.268210320000001</v>
      </c>
      <c r="CS167">
        <v>28.268210320000001</v>
      </c>
      <c r="CT167">
        <v>28.268210320000001</v>
      </c>
      <c r="CU167">
        <v>28.268210320000001</v>
      </c>
      <c r="CV167">
        <v>28.268210320000001</v>
      </c>
      <c r="CW167">
        <v>28.268210320000001</v>
      </c>
      <c r="CX167">
        <v>28.268210320000001</v>
      </c>
    </row>
    <row r="168" spans="1:102" x14ac:dyDescent="0.3">
      <c r="A168" t="s">
        <v>220</v>
      </c>
      <c r="B168" t="s">
        <v>221</v>
      </c>
      <c r="C168" t="s">
        <v>222</v>
      </c>
      <c r="D168" t="s">
        <v>223</v>
      </c>
      <c r="E168" t="s">
        <v>576</v>
      </c>
      <c r="F168" t="s">
        <v>225</v>
      </c>
      <c r="G168" t="s">
        <v>226</v>
      </c>
      <c r="H168" t="s">
        <v>226</v>
      </c>
      <c r="I168" t="s">
        <v>226</v>
      </c>
      <c r="J168" t="s">
        <v>227</v>
      </c>
      <c r="K168" t="s">
        <v>228</v>
      </c>
      <c r="L168" t="s">
        <v>228</v>
      </c>
      <c r="M168" t="s">
        <v>228</v>
      </c>
      <c r="N168" t="s">
        <v>228</v>
      </c>
      <c r="O168" t="s">
        <v>229</v>
      </c>
      <c r="P168">
        <v>2</v>
      </c>
      <c r="Q168" t="s">
        <v>230</v>
      </c>
      <c r="R168" t="s">
        <v>231</v>
      </c>
      <c r="S168" t="s">
        <v>232</v>
      </c>
      <c r="T168">
        <v>0</v>
      </c>
      <c r="U168" t="s">
        <v>230</v>
      </c>
      <c r="V168" t="s">
        <v>233</v>
      </c>
      <c r="W168" t="s">
        <v>223</v>
      </c>
      <c r="X168" t="s">
        <v>234</v>
      </c>
      <c r="Y168" t="s">
        <v>577</v>
      </c>
      <c r="Z168" t="s">
        <v>232</v>
      </c>
      <c r="AA168" t="s">
        <v>236</v>
      </c>
      <c r="AB168" t="s">
        <v>237</v>
      </c>
      <c r="AC168" t="s">
        <v>236</v>
      </c>
      <c r="AD168" t="s">
        <v>238</v>
      </c>
      <c r="AE168" t="s">
        <v>239</v>
      </c>
      <c r="AF168" t="s">
        <v>239</v>
      </c>
      <c r="AG168" t="s">
        <v>239</v>
      </c>
      <c r="AH168" t="s">
        <v>239</v>
      </c>
      <c r="AI168" t="s">
        <v>240</v>
      </c>
      <c r="AJ168" t="s">
        <v>241</v>
      </c>
      <c r="AK168" t="s">
        <v>242</v>
      </c>
      <c r="AL168" t="s">
        <v>234</v>
      </c>
      <c r="AM168" t="s">
        <v>243</v>
      </c>
      <c r="AN168" t="s">
        <v>244</v>
      </c>
      <c r="AO168" t="s">
        <v>245</v>
      </c>
      <c r="BH168">
        <v>47.712418300000003</v>
      </c>
      <c r="BI168">
        <v>49.110384889999999</v>
      </c>
      <c r="BJ168">
        <v>50.508351490000003</v>
      </c>
      <c r="BK168">
        <v>51.906318079999998</v>
      </c>
      <c r="BL168">
        <v>53.304284680000002</v>
      </c>
      <c r="BM168">
        <v>54.702251269999998</v>
      </c>
      <c r="BN168">
        <v>56.100217860000001</v>
      </c>
      <c r="BO168">
        <v>57.498184459999997</v>
      </c>
      <c r="BP168">
        <v>58.89615105</v>
      </c>
      <c r="BQ168">
        <v>60.294117649999997</v>
      </c>
      <c r="BR168">
        <v>61.69208424</v>
      </c>
      <c r="BS168">
        <v>63.090050840000004</v>
      </c>
      <c r="BT168">
        <v>64.488017429999999</v>
      </c>
      <c r="BU168">
        <v>65.885984019999995</v>
      </c>
      <c r="BV168">
        <v>67.283950619999999</v>
      </c>
      <c r="BW168">
        <v>68.681917209999995</v>
      </c>
      <c r="BX168">
        <v>70.079883809999998</v>
      </c>
      <c r="BY168">
        <v>71.477850399999994</v>
      </c>
      <c r="BZ168">
        <v>72.875816990000004</v>
      </c>
      <c r="CA168">
        <v>74.273783589999994</v>
      </c>
      <c r="CB168">
        <v>75.671750180000004</v>
      </c>
      <c r="CC168">
        <v>76.049382719999997</v>
      </c>
      <c r="CD168">
        <v>76.427015249999997</v>
      </c>
      <c r="CE168">
        <v>76.804647790000004</v>
      </c>
      <c r="CF168">
        <v>77.182280320000004</v>
      </c>
      <c r="CG168">
        <v>77.559912850000003</v>
      </c>
      <c r="CH168">
        <v>77.559912850000003</v>
      </c>
      <c r="CI168">
        <v>77.559912850000003</v>
      </c>
      <c r="CJ168">
        <v>77.559912850000003</v>
      </c>
      <c r="CK168">
        <v>77.559912850000003</v>
      </c>
      <c r="CL168">
        <v>77.559912850000003</v>
      </c>
      <c r="CM168">
        <v>77.559912850000003</v>
      </c>
      <c r="CN168">
        <v>77.559912850000003</v>
      </c>
      <c r="CO168">
        <v>77.559912850000003</v>
      </c>
      <c r="CP168">
        <v>77.559912850000003</v>
      </c>
      <c r="CQ168">
        <v>77.559912850000003</v>
      </c>
      <c r="CR168">
        <v>77.559912850000003</v>
      </c>
      <c r="CS168">
        <v>77.559912850000003</v>
      </c>
      <c r="CT168">
        <v>77.559912850000003</v>
      </c>
      <c r="CU168">
        <v>77.559912850000003</v>
      </c>
      <c r="CV168">
        <v>77.559912850000003</v>
      </c>
      <c r="CW168">
        <v>77.559912850000003</v>
      </c>
      <c r="CX168">
        <v>77.559912850000003</v>
      </c>
    </row>
    <row r="169" spans="1:102" x14ac:dyDescent="0.3">
      <c r="A169" t="s">
        <v>220</v>
      </c>
      <c r="B169" t="s">
        <v>221</v>
      </c>
      <c r="C169" t="s">
        <v>222</v>
      </c>
      <c r="D169" t="s">
        <v>223</v>
      </c>
      <c r="E169" t="s">
        <v>578</v>
      </c>
      <c r="F169" t="s">
        <v>225</v>
      </c>
      <c r="G169" t="s">
        <v>226</v>
      </c>
      <c r="H169" t="s">
        <v>226</v>
      </c>
      <c r="I169" t="s">
        <v>226</v>
      </c>
      <c r="J169" t="s">
        <v>227</v>
      </c>
      <c r="K169" t="s">
        <v>228</v>
      </c>
      <c r="L169" t="s">
        <v>228</v>
      </c>
      <c r="M169" t="s">
        <v>228</v>
      </c>
      <c r="N169" t="s">
        <v>228</v>
      </c>
      <c r="O169" t="s">
        <v>229</v>
      </c>
      <c r="P169">
        <v>2</v>
      </c>
      <c r="Q169" t="s">
        <v>230</v>
      </c>
      <c r="R169" t="s">
        <v>231</v>
      </c>
      <c r="S169" t="s">
        <v>232</v>
      </c>
      <c r="T169">
        <v>0</v>
      </c>
      <c r="U169" t="s">
        <v>230</v>
      </c>
      <c r="V169" t="s">
        <v>233</v>
      </c>
      <c r="W169" t="s">
        <v>223</v>
      </c>
      <c r="X169" t="s">
        <v>234</v>
      </c>
      <c r="Y169" t="s">
        <v>579</v>
      </c>
      <c r="Z169" t="s">
        <v>232</v>
      </c>
      <c r="AA169" t="s">
        <v>236</v>
      </c>
      <c r="AB169" t="s">
        <v>237</v>
      </c>
      <c r="AC169" t="s">
        <v>236</v>
      </c>
      <c r="AD169" t="s">
        <v>238</v>
      </c>
      <c r="AE169" t="s">
        <v>239</v>
      </c>
      <c r="AF169" t="s">
        <v>239</v>
      </c>
      <c r="AG169" t="s">
        <v>239</v>
      </c>
      <c r="AH169" t="s">
        <v>239</v>
      </c>
      <c r="AI169" t="s">
        <v>240</v>
      </c>
      <c r="AJ169" t="s">
        <v>241</v>
      </c>
      <c r="AK169" t="s">
        <v>242</v>
      </c>
      <c r="AL169" t="s">
        <v>234</v>
      </c>
      <c r="AM169" t="s">
        <v>243</v>
      </c>
      <c r="AN169" t="s">
        <v>244</v>
      </c>
      <c r="AO169" t="s">
        <v>245</v>
      </c>
      <c r="BO169">
        <v>7.2301967039999999</v>
      </c>
      <c r="BP169">
        <v>7.3242342450000004</v>
      </c>
      <c r="BQ169">
        <v>7.4182717870000001</v>
      </c>
      <c r="BR169">
        <v>7.5123093279999997</v>
      </c>
      <c r="BS169">
        <v>7.6063468700000003</v>
      </c>
      <c r="BT169">
        <v>7.7003844109999999</v>
      </c>
      <c r="BU169">
        <v>7.7944219520000004</v>
      </c>
      <c r="BV169">
        <v>7.8884594940000001</v>
      </c>
      <c r="BW169">
        <v>7.9824970349999997</v>
      </c>
      <c r="BX169">
        <v>8.0765345770000003</v>
      </c>
      <c r="BY169">
        <v>8.1705721180000008</v>
      </c>
      <c r="BZ169">
        <v>8.2646096589999996</v>
      </c>
      <c r="CA169">
        <v>8.3586472010000001</v>
      </c>
      <c r="CB169">
        <v>8.4526847420000006</v>
      </c>
      <c r="CC169">
        <v>10.129984049999999</v>
      </c>
      <c r="CD169">
        <v>11.80728336</v>
      </c>
      <c r="CE169">
        <v>11.897184660000001</v>
      </c>
      <c r="CF169">
        <v>11.98708596</v>
      </c>
      <c r="CG169">
        <v>12.076987259999999</v>
      </c>
      <c r="CH169">
        <v>12.16688856</v>
      </c>
      <c r="CI169">
        <v>12.25678986</v>
      </c>
      <c r="CJ169">
        <v>12.351014060000001</v>
      </c>
      <c r="CK169">
        <v>12.44163584</v>
      </c>
      <c r="CL169">
        <v>12.532257619999999</v>
      </c>
      <c r="CM169">
        <v>12.622879409999999</v>
      </c>
      <c r="CN169">
        <v>12.713501190000001</v>
      </c>
      <c r="CO169">
        <v>12.80412297</v>
      </c>
      <c r="CP169">
        <v>12.89474476</v>
      </c>
      <c r="CQ169">
        <v>12.985366539999999</v>
      </c>
      <c r="CR169">
        <v>13.07598832</v>
      </c>
      <c r="CS169">
        <v>13.15580287</v>
      </c>
      <c r="CT169">
        <v>16.086124399999999</v>
      </c>
      <c r="CU169">
        <v>16.2764487</v>
      </c>
      <c r="CV169">
        <v>16.2764487</v>
      </c>
      <c r="CW169">
        <v>16.2764487</v>
      </c>
      <c r="CX169">
        <v>16.2764487</v>
      </c>
    </row>
    <row r="170" spans="1:102" x14ac:dyDescent="0.3">
      <c r="A170" t="s">
        <v>220</v>
      </c>
      <c r="B170" t="s">
        <v>221</v>
      </c>
      <c r="C170" t="s">
        <v>222</v>
      </c>
      <c r="D170" t="s">
        <v>223</v>
      </c>
      <c r="E170" t="s">
        <v>580</v>
      </c>
      <c r="F170" t="s">
        <v>225</v>
      </c>
      <c r="G170" t="s">
        <v>226</v>
      </c>
      <c r="H170" t="s">
        <v>226</v>
      </c>
      <c r="I170" t="s">
        <v>226</v>
      </c>
      <c r="J170" t="s">
        <v>227</v>
      </c>
      <c r="K170" t="s">
        <v>228</v>
      </c>
      <c r="L170" t="s">
        <v>228</v>
      </c>
      <c r="M170" t="s">
        <v>228</v>
      </c>
      <c r="N170" t="s">
        <v>228</v>
      </c>
      <c r="O170" t="s">
        <v>229</v>
      </c>
      <c r="P170">
        <v>2</v>
      </c>
      <c r="Q170" t="s">
        <v>230</v>
      </c>
      <c r="R170" t="s">
        <v>231</v>
      </c>
      <c r="S170" t="s">
        <v>232</v>
      </c>
      <c r="T170">
        <v>0</v>
      </c>
      <c r="U170" t="s">
        <v>230</v>
      </c>
      <c r="V170" t="s">
        <v>233</v>
      </c>
      <c r="W170" t="s">
        <v>223</v>
      </c>
      <c r="X170" t="s">
        <v>234</v>
      </c>
      <c r="Y170" t="s">
        <v>581</v>
      </c>
      <c r="Z170" t="s">
        <v>232</v>
      </c>
      <c r="AA170" t="s">
        <v>236</v>
      </c>
      <c r="AB170" t="s">
        <v>237</v>
      </c>
      <c r="AC170" t="s">
        <v>236</v>
      </c>
      <c r="AD170" t="s">
        <v>238</v>
      </c>
      <c r="AE170" t="s">
        <v>239</v>
      </c>
      <c r="AF170" t="s">
        <v>239</v>
      </c>
      <c r="AG170" t="s">
        <v>239</v>
      </c>
      <c r="AH170" t="s">
        <v>239</v>
      </c>
      <c r="AI170" t="s">
        <v>240</v>
      </c>
      <c r="AJ170" t="s">
        <v>241</v>
      </c>
      <c r="AK170" t="s">
        <v>242</v>
      </c>
      <c r="AL170" t="s">
        <v>234</v>
      </c>
      <c r="AM170" t="s">
        <v>243</v>
      </c>
      <c r="AN170" t="s">
        <v>244</v>
      </c>
      <c r="AO170" t="s">
        <v>245</v>
      </c>
      <c r="BC170">
        <v>171.42857140000001</v>
      </c>
      <c r="BD170">
        <v>179.14285709999999</v>
      </c>
      <c r="BE170">
        <v>186.85714290000001</v>
      </c>
      <c r="BF170">
        <v>194.57142859999999</v>
      </c>
      <c r="BG170">
        <v>202.2857143</v>
      </c>
      <c r="BH170">
        <v>210</v>
      </c>
      <c r="BI170">
        <v>257</v>
      </c>
      <c r="BJ170">
        <v>304</v>
      </c>
      <c r="BK170">
        <v>351</v>
      </c>
      <c r="BL170">
        <v>398</v>
      </c>
      <c r="BM170">
        <v>445</v>
      </c>
      <c r="BN170">
        <v>492</v>
      </c>
      <c r="BO170">
        <v>539</v>
      </c>
      <c r="BP170">
        <v>586</v>
      </c>
      <c r="BQ170">
        <v>633</v>
      </c>
      <c r="BR170">
        <v>680</v>
      </c>
      <c r="BS170">
        <v>674.2857143</v>
      </c>
      <c r="BT170">
        <v>668.57142859999999</v>
      </c>
      <c r="BU170">
        <v>662.85714289999999</v>
      </c>
      <c r="BV170">
        <v>657.14285710000001</v>
      </c>
      <c r="BW170">
        <v>650.61142859999995</v>
      </c>
      <c r="BX170">
        <v>644.08000000000004</v>
      </c>
      <c r="BY170">
        <v>637.54857140000001</v>
      </c>
      <c r="BZ170">
        <v>628.44571429999996</v>
      </c>
      <c r="CA170">
        <v>621.91428570000005</v>
      </c>
      <c r="CB170">
        <v>615.42857140000001</v>
      </c>
      <c r="CC170">
        <v>631.95714290000001</v>
      </c>
      <c r="CD170">
        <v>648.48571430000004</v>
      </c>
      <c r="CE170">
        <v>665.01428569999996</v>
      </c>
      <c r="CF170">
        <v>681.54285709999999</v>
      </c>
      <c r="CG170">
        <v>698.07142859999999</v>
      </c>
      <c r="CH170">
        <v>715.0816327</v>
      </c>
      <c r="CI170">
        <v>732.09183670000004</v>
      </c>
      <c r="CJ170">
        <v>749.10204080000005</v>
      </c>
      <c r="CK170">
        <v>766.11224489999995</v>
      </c>
      <c r="CL170">
        <v>783.12244899999996</v>
      </c>
      <c r="CM170">
        <v>800.13265309999997</v>
      </c>
      <c r="CN170">
        <v>817.14285710000001</v>
      </c>
      <c r="CO170">
        <v>817.14285710000001</v>
      </c>
      <c r="CP170">
        <v>817.14285710000001</v>
      </c>
      <c r="CQ170">
        <v>817.14285710000001</v>
      </c>
      <c r="CR170">
        <v>817.14285710000001</v>
      </c>
      <c r="CS170">
        <v>817.14285710000001</v>
      </c>
      <c r="CT170">
        <v>817.14285710000001</v>
      </c>
      <c r="CU170">
        <v>817.14285710000001</v>
      </c>
      <c r="CV170">
        <v>817.14285710000001</v>
      </c>
      <c r="CW170">
        <v>817.14285710000001</v>
      </c>
      <c r="CX170">
        <v>817.14285710000001</v>
      </c>
    </row>
    <row r="171" spans="1:102" x14ac:dyDescent="0.3">
      <c r="A171" t="s">
        <v>220</v>
      </c>
      <c r="B171" t="s">
        <v>221</v>
      </c>
      <c r="C171" t="s">
        <v>222</v>
      </c>
      <c r="D171" t="s">
        <v>223</v>
      </c>
      <c r="E171" t="s">
        <v>582</v>
      </c>
      <c r="F171" t="s">
        <v>225</v>
      </c>
      <c r="G171" t="s">
        <v>226</v>
      </c>
      <c r="H171" t="s">
        <v>226</v>
      </c>
      <c r="I171" t="s">
        <v>226</v>
      </c>
      <c r="J171" t="s">
        <v>227</v>
      </c>
      <c r="K171" t="s">
        <v>228</v>
      </c>
      <c r="L171" t="s">
        <v>228</v>
      </c>
      <c r="M171" t="s">
        <v>228</v>
      </c>
      <c r="N171" t="s">
        <v>228</v>
      </c>
      <c r="O171" t="s">
        <v>229</v>
      </c>
      <c r="P171">
        <v>2</v>
      </c>
      <c r="Q171" t="s">
        <v>230</v>
      </c>
      <c r="R171" t="s">
        <v>231</v>
      </c>
      <c r="S171" t="s">
        <v>232</v>
      </c>
      <c r="T171">
        <v>0</v>
      </c>
      <c r="U171" t="s">
        <v>230</v>
      </c>
      <c r="V171" t="s">
        <v>233</v>
      </c>
      <c r="W171" t="s">
        <v>223</v>
      </c>
      <c r="X171" t="s">
        <v>234</v>
      </c>
      <c r="Y171" t="s">
        <v>583</v>
      </c>
      <c r="Z171" t="s">
        <v>232</v>
      </c>
      <c r="AA171" t="s">
        <v>236</v>
      </c>
      <c r="AB171" t="s">
        <v>237</v>
      </c>
      <c r="AC171" t="s">
        <v>236</v>
      </c>
      <c r="AD171" t="s">
        <v>238</v>
      </c>
      <c r="AE171" t="s">
        <v>239</v>
      </c>
      <c r="AF171" t="s">
        <v>239</v>
      </c>
      <c r="AG171" t="s">
        <v>239</v>
      </c>
      <c r="AH171" t="s">
        <v>239</v>
      </c>
      <c r="AI171" t="s">
        <v>240</v>
      </c>
      <c r="AJ171" t="s">
        <v>241</v>
      </c>
      <c r="AK171" t="s">
        <v>242</v>
      </c>
      <c r="AL171" t="s">
        <v>234</v>
      </c>
      <c r="AM171" t="s">
        <v>243</v>
      </c>
      <c r="AN171" t="s">
        <v>244</v>
      </c>
      <c r="AO171" t="s">
        <v>245</v>
      </c>
      <c r="BC171">
        <v>28.88768898</v>
      </c>
      <c r="BD171">
        <v>32.354909110000001</v>
      </c>
      <c r="BE171">
        <v>35.822129230000002</v>
      </c>
      <c r="BF171">
        <v>39.289349350000002</v>
      </c>
      <c r="BG171">
        <v>42.756569470000002</v>
      </c>
      <c r="BH171">
        <v>46.223789600000003</v>
      </c>
      <c r="BI171">
        <v>49.691009719999997</v>
      </c>
      <c r="BJ171">
        <v>53.158229839999997</v>
      </c>
      <c r="BK171">
        <v>56.625449959999997</v>
      </c>
      <c r="BL171">
        <v>60.092670089999999</v>
      </c>
      <c r="BM171">
        <v>63.559890209999999</v>
      </c>
      <c r="BN171">
        <v>67.027110329999999</v>
      </c>
      <c r="BO171">
        <v>70.494330450000007</v>
      </c>
      <c r="BP171">
        <v>69.063665819999997</v>
      </c>
      <c r="BQ171">
        <v>67.633001179999994</v>
      </c>
      <c r="BR171">
        <v>66.202336540000005</v>
      </c>
      <c r="BS171">
        <v>64.769096719999993</v>
      </c>
      <c r="BT171">
        <v>63.337788289999999</v>
      </c>
      <c r="BU171">
        <v>61.906479859999997</v>
      </c>
      <c r="BV171">
        <v>60.475171430000003</v>
      </c>
      <c r="BW171">
        <v>59.043862990000001</v>
      </c>
      <c r="BX171">
        <v>57.61255456</v>
      </c>
      <c r="BY171">
        <v>56.181246129999998</v>
      </c>
      <c r="BZ171">
        <v>54.757019440000001</v>
      </c>
      <c r="CA171">
        <v>54.757019440000001</v>
      </c>
      <c r="CB171">
        <v>54.757019440000001</v>
      </c>
      <c r="CC171">
        <v>54.757019440000001</v>
      </c>
      <c r="CD171">
        <v>54.757019440000001</v>
      </c>
      <c r="CE171">
        <v>54.757019440000001</v>
      </c>
      <c r="CF171">
        <v>54.757019440000001</v>
      </c>
      <c r="CG171">
        <v>54.757019440000001</v>
      </c>
      <c r="CH171">
        <v>54.757019440000001</v>
      </c>
      <c r="CI171">
        <v>54.757019440000001</v>
      </c>
      <c r="CJ171">
        <v>54.757019440000001</v>
      </c>
      <c r="CK171">
        <v>54.757019440000001</v>
      </c>
      <c r="CL171">
        <v>54.757019440000001</v>
      </c>
      <c r="CM171">
        <v>54.757019440000001</v>
      </c>
      <c r="CN171">
        <v>54.757019440000001</v>
      </c>
      <c r="CO171">
        <v>54.757019440000001</v>
      </c>
      <c r="CP171">
        <v>54.757019440000001</v>
      </c>
      <c r="CQ171">
        <v>54.757019440000001</v>
      </c>
      <c r="CR171">
        <v>54.757019440000001</v>
      </c>
      <c r="CS171">
        <v>54.757019440000001</v>
      </c>
      <c r="CT171">
        <v>54.757019440000001</v>
      </c>
      <c r="CU171">
        <v>54.757019440000001</v>
      </c>
      <c r="CV171">
        <v>54.757019440000001</v>
      </c>
      <c r="CW171">
        <v>54.757019440000001</v>
      </c>
      <c r="CX171">
        <v>54.757019440000001</v>
      </c>
    </row>
    <row r="172" spans="1:102" x14ac:dyDescent="0.3">
      <c r="A172" t="s">
        <v>220</v>
      </c>
      <c r="B172" t="s">
        <v>221</v>
      </c>
      <c r="C172" t="s">
        <v>222</v>
      </c>
      <c r="D172" t="s">
        <v>223</v>
      </c>
      <c r="E172" t="s">
        <v>584</v>
      </c>
      <c r="F172" t="s">
        <v>225</v>
      </c>
      <c r="G172" t="s">
        <v>226</v>
      </c>
      <c r="H172" t="s">
        <v>226</v>
      </c>
      <c r="I172" t="s">
        <v>226</v>
      </c>
      <c r="J172" t="s">
        <v>227</v>
      </c>
      <c r="K172" t="s">
        <v>228</v>
      </c>
      <c r="L172" t="s">
        <v>228</v>
      </c>
      <c r="M172" t="s">
        <v>228</v>
      </c>
      <c r="N172" t="s">
        <v>228</v>
      </c>
      <c r="O172" t="s">
        <v>229</v>
      </c>
      <c r="P172">
        <v>2</v>
      </c>
      <c r="Q172" t="s">
        <v>230</v>
      </c>
      <c r="R172" t="s">
        <v>231</v>
      </c>
      <c r="S172" t="s">
        <v>232</v>
      </c>
      <c r="T172">
        <v>0</v>
      </c>
      <c r="U172" t="s">
        <v>230</v>
      </c>
      <c r="V172" t="s">
        <v>233</v>
      </c>
      <c r="W172" t="s">
        <v>223</v>
      </c>
      <c r="X172" t="s">
        <v>234</v>
      </c>
      <c r="Y172" t="s">
        <v>585</v>
      </c>
      <c r="Z172" t="s">
        <v>232</v>
      </c>
      <c r="AA172" t="s">
        <v>236</v>
      </c>
      <c r="AB172" t="s">
        <v>237</v>
      </c>
      <c r="AC172" t="s">
        <v>236</v>
      </c>
      <c r="AD172" t="s">
        <v>238</v>
      </c>
      <c r="AE172" t="s">
        <v>239</v>
      </c>
      <c r="AF172" t="s">
        <v>239</v>
      </c>
      <c r="AG172" t="s">
        <v>239</v>
      </c>
      <c r="AH172" t="s">
        <v>239</v>
      </c>
      <c r="AI172" t="s">
        <v>240</v>
      </c>
      <c r="AJ172" t="s">
        <v>241</v>
      </c>
      <c r="AK172" t="s">
        <v>242</v>
      </c>
      <c r="AL172" t="s">
        <v>234</v>
      </c>
      <c r="AM172" t="s">
        <v>243</v>
      </c>
      <c r="AN172" t="s">
        <v>244</v>
      </c>
      <c r="AO172" t="s">
        <v>245</v>
      </c>
      <c r="BH172">
        <v>0.97799510999999995</v>
      </c>
      <c r="BI172">
        <v>1.0920945399999999</v>
      </c>
      <c r="BJ172">
        <v>1.2061939690000001</v>
      </c>
      <c r="BK172">
        <v>1.3202933990000001</v>
      </c>
      <c r="BL172">
        <v>1.434392828</v>
      </c>
      <c r="BM172">
        <v>1.548492258</v>
      </c>
      <c r="BN172">
        <v>1.6206776110000001</v>
      </c>
      <c r="BO172">
        <v>1.6928629639999999</v>
      </c>
      <c r="BP172">
        <v>1.7650483180000001</v>
      </c>
      <c r="BQ172">
        <v>1.8372336709999999</v>
      </c>
      <c r="BR172">
        <v>1.909419024</v>
      </c>
      <c r="BS172">
        <v>1.9816043780000001</v>
      </c>
      <c r="BT172">
        <v>2.0537897310000002</v>
      </c>
      <c r="BU172">
        <v>2.1259750839999998</v>
      </c>
      <c r="BV172">
        <v>2.1981604379999999</v>
      </c>
      <c r="BW172">
        <v>2.270345791</v>
      </c>
      <c r="BX172">
        <v>2.3425311450000001</v>
      </c>
      <c r="BY172">
        <v>2.4147164980000002</v>
      </c>
      <c r="BZ172">
        <v>2.4869018509999998</v>
      </c>
      <c r="CA172">
        <v>2.559087205</v>
      </c>
      <c r="CB172">
        <v>2.7649318900000002</v>
      </c>
      <c r="CC172">
        <v>2.9707765749999999</v>
      </c>
      <c r="CD172">
        <v>3.1766212600000001</v>
      </c>
      <c r="CE172">
        <v>3.3824659449999999</v>
      </c>
      <c r="CF172">
        <v>3.5883106300000001</v>
      </c>
      <c r="CG172">
        <v>3.7941553149999998</v>
      </c>
      <c r="CH172">
        <v>4</v>
      </c>
      <c r="CI172">
        <v>4.0596984520000001</v>
      </c>
      <c r="CJ172">
        <v>4.1193969030000002</v>
      </c>
      <c r="CK172">
        <v>4.1790953550000003</v>
      </c>
      <c r="CL172">
        <v>4.2387938060000003</v>
      </c>
      <c r="CM172">
        <v>5.1911165439999998</v>
      </c>
      <c r="CN172">
        <v>6.1434392830000002</v>
      </c>
      <c r="CO172">
        <v>7.0957620209999996</v>
      </c>
      <c r="CP172">
        <v>8.0480847600000001</v>
      </c>
      <c r="CQ172">
        <v>8.0480847600000001</v>
      </c>
      <c r="CR172">
        <v>8.0480847600000001</v>
      </c>
      <c r="CS172">
        <v>8.0480847600000001</v>
      </c>
      <c r="CT172">
        <v>8.0480847600000001</v>
      </c>
      <c r="CU172">
        <v>8.0480847600000001</v>
      </c>
      <c r="CV172">
        <v>8.0480847600000001</v>
      </c>
      <c r="CW172">
        <v>8.0480847600000001</v>
      </c>
      <c r="CX172">
        <v>8.0480847600000001</v>
      </c>
    </row>
    <row r="173" spans="1:102" x14ac:dyDescent="0.3">
      <c r="A173" t="s">
        <v>220</v>
      </c>
      <c r="B173" t="s">
        <v>221</v>
      </c>
      <c r="C173" t="s">
        <v>222</v>
      </c>
      <c r="D173" t="s">
        <v>223</v>
      </c>
      <c r="E173" t="s">
        <v>586</v>
      </c>
      <c r="F173" t="s">
        <v>225</v>
      </c>
      <c r="G173" t="s">
        <v>226</v>
      </c>
      <c r="H173" t="s">
        <v>226</v>
      </c>
      <c r="I173" t="s">
        <v>226</v>
      </c>
      <c r="J173" t="s">
        <v>227</v>
      </c>
      <c r="K173" t="s">
        <v>228</v>
      </c>
      <c r="L173" t="s">
        <v>228</v>
      </c>
      <c r="M173" t="s">
        <v>228</v>
      </c>
      <c r="N173" t="s">
        <v>228</v>
      </c>
      <c r="O173" t="s">
        <v>229</v>
      </c>
      <c r="P173">
        <v>2</v>
      </c>
      <c r="Q173" t="s">
        <v>230</v>
      </c>
      <c r="R173" t="s">
        <v>231</v>
      </c>
      <c r="S173" t="s">
        <v>232</v>
      </c>
      <c r="T173">
        <v>0</v>
      </c>
      <c r="U173" t="s">
        <v>230</v>
      </c>
      <c r="V173" t="s">
        <v>233</v>
      </c>
      <c r="W173" t="s">
        <v>223</v>
      </c>
      <c r="X173" t="s">
        <v>234</v>
      </c>
      <c r="Y173" t="s">
        <v>587</v>
      </c>
      <c r="Z173" t="s">
        <v>232</v>
      </c>
      <c r="AA173" t="s">
        <v>236</v>
      </c>
      <c r="AB173" t="s">
        <v>237</v>
      </c>
      <c r="AC173" t="s">
        <v>236</v>
      </c>
      <c r="AD173" t="s">
        <v>238</v>
      </c>
      <c r="AE173" t="s">
        <v>239</v>
      </c>
      <c r="AF173" t="s">
        <v>239</v>
      </c>
      <c r="AG173" t="s">
        <v>239</v>
      </c>
      <c r="AH173" t="s">
        <v>239</v>
      </c>
      <c r="AI173" t="s">
        <v>240</v>
      </c>
      <c r="AJ173" t="s">
        <v>241</v>
      </c>
      <c r="AK173" t="s">
        <v>242</v>
      </c>
      <c r="AL173" t="s">
        <v>234</v>
      </c>
      <c r="AM173" t="s">
        <v>243</v>
      </c>
      <c r="AN173" t="s">
        <v>244</v>
      </c>
      <c r="AO173" t="s">
        <v>245</v>
      </c>
      <c r="BC173">
        <v>29.744411790000001</v>
      </c>
      <c r="BD173">
        <v>34.408921339999999</v>
      </c>
      <c r="BE173">
        <v>39.073430899999998</v>
      </c>
      <c r="BF173">
        <v>43.737940450000004</v>
      </c>
      <c r="BG173">
        <v>48.402450010000003</v>
      </c>
      <c r="BH173">
        <v>53.066959560000001</v>
      </c>
      <c r="BI173">
        <v>57.731469109999999</v>
      </c>
      <c r="BJ173">
        <v>62.395978669999998</v>
      </c>
      <c r="BK173">
        <v>67.060488219999996</v>
      </c>
      <c r="BL173">
        <v>71.724997770000002</v>
      </c>
      <c r="BM173">
        <v>76.389507330000001</v>
      </c>
      <c r="BN173">
        <v>81.054016880000006</v>
      </c>
      <c r="BO173">
        <v>85.718526429999997</v>
      </c>
      <c r="BP173">
        <v>90.383035989999996</v>
      </c>
      <c r="BQ173">
        <v>95.047545540000002</v>
      </c>
      <c r="BR173">
        <v>99.712055100000001</v>
      </c>
      <c r="BS173">
        <v>104.37656459999999</v>
      </c>
      <c r="BT173">
        <v>109.0410742</v>
      </c>
      <c r="BU173">
        <v>113.7055838</v>
      </c>
      <c r="BV173">
        <v>119.7702378</v>
      </c>
      <c r="BW173">
        <v>120.1531748</v>
      </c>
      <c r="BX173">
        <v>124.35657670000001</v>
      </c>
      <c r="BY173">
        <v>128.479829</v>
      </c>
      <c r="BZ173">
        <v>132.84353010000001</v>
      </c>
      <c r="CA173">
        <v>130.89322290000001</v>
      </c>
      <c r="CB173">
        <v>134.22388459999999</v>
      </c>
      <c r="CC173">
        <v>138.5163416</v>
      </c>
      <c r="CD173">
        <v>145.6852792</v>
      </c>
      <c r="CE173">
        <v>128.64012819999999</v>
      </c>
      <c r="CF173">
        <v>125.65410989999999</v>
      </c>
      <c r="CG173">
        <v>125.96313120000001</v>
      </c>
      <c r="CH173">
        <v>125.96313120000001</v>
      </c>
      <c r="CI173">
        <v>125.96313120000001</v>
      </c>
      <c r="CJ173">
        <v>125.96313120000001</v>
      </c>
      <c r="CK173">
        <v>125.56238310000001</v>
      </c>
      <c r="CL173">
        <v>125.1616351</v>
      </c>
      <c r="CM173">
        <v>124.760887</v>
      </c>
      <c r="CN173">
        <v>124.3601389</v>
      </c>
      <c r="CO173">
        <v>124.3601389</v>
      </c>
      <c r="CP173">
        <v>124.3601389</v>
      </c>
      <c r="CQ173">
        <v>124.3601389</v>
      </c>
      <c r="CR173">
        <v>124.3601389</v>
      </c>
      <c r="CS173">
        <v>124.3601389</v>
      </c>
      <c r="CT173">
        <v>124.3601389</v>
      </c>
      <c r="CU173">
        <v>124.3601389</v>
      </c>
      <c r="CV173">
        <v>124.3601389</v>
      </c>
      <c r="CW173">
        <v>124.3601389</v>
      </c>
      <c r="CX173">
        <v>124.3601389</v>
      </c>
    </row>
    <row r="174" spans="1:102" x14ac:dyDescent="0.3">
      <c r="A174" t="s">
        <v>220</v>
      </c>
      <c r="B174" t="s">
        <v>221</v>
      </c>
      <c r="C174" t="s">
        <v>222</v>
      </c>
      <c r="D174" t="s">
        <v>223</v>
      </c>
      <c r="E174" t="s">
        <v>588</v>
      </c>
      <c r="F174" t="s">
        <v>225</v>
      </c>
      <c r="G174" t="s">
        <v>226</v>
      </c>
      <c r="H174" t="s">
        <v>226</v>
      </c>
      <c r="I174" t="s">
        <v>226</v>
      </c>
      <c r="J174" t="s">
        <v>227</v>
      </c>
      <c r="K174" t="s">
        <v>228</v>
      </c>
      <c r="L174" t="s">
        <v>228</v>
      </c>
      <c r="M174" t="s">
        <v>228</v>
      </c>
      <c r="N174" t="s">
        <v>228</v>
      </c>
      <c r="O174" t="s">
        <v>229</v>
      </c>
      <c r="P174">
        <v>2</v>
      </c>
      <c r="Q174" t="s">
        <v>230</v>
      </c>
      <c r="R174" t="s">
        <v>231</v>
      </c>
      <c r="S174" t="s">
        <v>232</v>
      </c>
      <c r="T174">
        <v>0</v>
      </c>
      <c r="U174" t="s">
        <v>230</v>
      </c>
      <c r="V174" t="s">
        <v>233</v>
      </c>
      <c r="W174" t="s">
        <v>223</v>
      </c>
      <c r="X174" t="s">
        <v>234</v>
      </c>
      <c r="Y174" t="s">
        <v>589</v>
      </c>
      <c r="Z174" t="s">
        <v>232</v>
      </c>
      <c r="AA174" t="s">
        <v>236</v>
      </c>
      <c r="AB174" t="s">
        <v>237</v>
      </c>
      <c r="AC174" t="s">
        <v>236</v>
      </c>
      <c r="AD174" t="s">
        <v>238</v>
      </c>
      <c r="AE174" t="s">
        <v>239</v>
      </c>
      <c r="AF174" t="s">
        <v>239</v>
      </c>
      <c r="AG174" t="s">
        <v>239</v>
      </c>
      <c r="AH174" t="s">
        <v>239</v>
      </c>
      <c r="AI174" t="s">
        <v>240</v>
      </c>
      <c r="AJ174" t="s">
        <v>241</v>
      </c>
      <c r="AK174" t="s">
        <v>242</v>
      </c>
      <c r="AL174" t="s">
        <v>234</v>
      </c>
      <c r="AM174" t="s">
        <v>243</v>
      </c>
      <c r="AN174" t="s">
        <v>244</v>
      </c>
      <c r="AO174" t="s">
        <v>245</v>
      </c>
      <c r="BV174">
        <v>3.7140535130000001</v>
      </c>
      <c r="BW174">
        <v>4.870201926</v>
      </c>
      <c r="BX174">
        <v>6.0263503380000003</v>
      </c>
      <c r="BY174">
        <v>7.1824987499999997</v>
      </c>
      <c r="BZ174">
        <v>8.3386471619999991</v>
      </c>
      <c r="CA174">
        <v>9.4947955739999994</v>
      </c>
      <c r="CB174">
        <v>10.65094399</v>
      </c>
      <c r="CC174">
        <v>11.8070924</v>
      </c>
      <c r="CD174">
        <v>12.96324081</v>
      </c>
      <c r="CE174">
        <v>12.96324081</v>
      </c>
      <c r="CF174">
        <v>12.96324081</v>
      </c>
      <c r="CG174">
        <v>12.96324081</v>
      </c>
      <c r="CH174">
        <v>12.96324081</v>
      </c>
      <c r="CI174">
        <v>12.96324081</v>
      </c>
      <c r="CJ174">
        <v>12.96324081</v>
      </c>
      <c r="CK174">
        <v>12.96324081</v>
      </c>
      <c r="CL174">
        <v>12.96324081</v>
      </c>
      <c r="CM174">
        <v>12.96324081</v>
      </c>
      <c r="CN174">
        <v>12.96324081</v>
      </c>
      <c r="CO174">
        <v>12.96324081</v>
      </c>
      <c r="CP174">
        <v>12.96324081</v>
      </c>
      <c r="CQ174">
        <v>12.96324081</v>
      </c>
      <c r="CR174">
        <v>12.96324081</v>
      </c>
      <c r="CS174">
        <v>12.96324081</v>
      </c>
      <c r="CT174">
        <v>12.96324081</v>
      </c>
      <c r="CU174">
        <v>12.96324081</v>
      </c>
      <c r="CV174">
        <v>12.96324081</v>
      </c>
      <c r="CW174">
        <v>12.96324081</v>
      </c>
      <c r="CX174">
        <v>12.96324081</v>
      </c>
    </row>
    <row r="175" spans="1:102" x14ac:dyDescent="0.3">
      <c r="A175" t="s">
        <v>220</v>
      </c>
      <c r="B175" t="s">
        <v>221</v>
      </c>
      <c r="C175" t="s">
        <v>222</v>
      </c>
      <c r="D175" t="s">
        <v>223</v>
      </c>
      <c r="E175" t="s">
        <v>590</v>
      </c>
      <c r="F175" t="s">
        <v>225</v>
      </c>
      <c r="G175" t="s">
        <v>226</v>
      </c>
      <c r="H175" t="s">
        <v>226</v>
      </c>
      <c r="I175" t="s">
        <v>226</v>
      </c>
      <c r="J175" t="s">
        <v>227</v>
      </c>
      <c r="K175" t="s">
        <v>228</v>
      </c>
      <c r="L175" t="s">
        <v>228</v>
      </c>
      <c r="M175" t="s">
        <v>228</v>
      </c>
      <c r="N175" t="s">
        <v>228</v>
      </c>
      <c r="O175" t="s">
        <v>229</v>
      </c>
      <c r="P175">
        <v>2</v>
      </c>
      <c r="Q175" t="s">
        <v>230</v>
      </c>
      <c r="R175" t="s">
        <v>231</v>
      </c>
      <c r="S175" t="s">
        <v>232</v>
      </c>
      <c r="T175">
        <v>0</v>
      </c>
      <c r="U175" t="s">
        <v>230</v>
      </c>
      <c r="V175" t="s">
        <v>233</v>
      </c>
      <c r="W175" t="s">
        <v>223</v>
      </c>
      <c r="X175" t="s">
        <v>234</v>
      </c>
      <c r="Y175" t="s">
        <v>591</v>
      </c>
      <c r="Z175" t="s">
        <v>232</v>
      </c>
      <c r="AA175" t="s">
        <v>236</v>
      </c>
      <c r="AB175" t="s">
        <v>237</v>
      </c>
      <c r="AC175" t="s">
        <v>236</v>
      </c>
      <c r="AD175" t="s">
        <v>238</v>
      </c>
      <c r="AE175" t="s">
        <v>239</v>
      </c>
      <c r="AF175" t="s">
        <v>239</v>
      </c>
      <c r="AG175" t="s">
        <v>239</v>
      </c>
      <c r="AH175" t="s">
        <v>239</v>
      </c>
      <c r="AI175" t="s">
        <v>240</v>
      </c>
      <c r="AJ175" t="s">
        <v>241</v>
      </c>
      <c r="AK175" t="s">
        <v>242</v>
      </c>
      <c r="AL175" t="s">
        <v>234</v>
      </c>
      <c r="AM175" t="s">
        <v>243</v>
      </c>
      <c r="AN175" t="s">
        <v>244</v>
      </c>
      <c r="AO175" t="s">
        <v>245</v>
      </c>
      <c r="BO175">
        <v>2.3866347999999999E-2</v>
      </c>
      <c r="BP175">
        <v>2.4105011999999999E-2</v>
      </c>
      <c r="BQ175">
        <v>2.4343674999999999E-2</v>
      </c>
      <c r="BR175">
        <v>2.4582339000000002E-2</v>
      </c>
      <c r="BS175">
        <v>2.4821002000000002E-2</v>
      </c>
      <c r="BT175">
        <v>2.5059666000000001E-2</v>
      </c>
      <c r="BU175">
        <v>2.5298329000000001E-2</v>
      </c>
      <c r="BV175">
        <v>2.5536993000000001E-2</v>
      </c>
      <c r="BW175">
        <v>2.5775656000000001E-2</v>
      </c>
      <c r="BX175">
        <v>2.601432E-2</v>
      </c>
      <c r="BY175">
        <v>2.6252983000000001E-2</v>
      </c>
      <c r="BZ175">
        <v>2.6491647E-2</v>
      </c>
      <c r="CA175">
        <v>2.673031E-2</v>
      </c>
      <c r="CB175">
        <v>2.6968974E-2</v>
      </c>
      <c r="CC175">
        <v>2.7207637E-2</v>
      </c>
      <c r="CD175">
        <v>2.7446300999999999E-2</v>
      </c>
      <c r="CE175">
        <v>2.7446300999999999E-2</v>
      </c>
      <c r="CF175">
        <v>2.7446300999999999E-2</v>
      </c>
      <c r="CG175">
        <v>2.7446300999999999E-2</v>
      </c>
      <c r="CH175">
        <v>2.7446300999999999E-2</v>
      </c>
      <c r="CI175">
        <v>2.7446300999999999E-2</v>
      </c>
      <c r="CJ175">
        <v>2.7446300999999999E-2</v>
      </c>
      <c r="CK175">
        <v>2.7446300999999999E-2</v>
      </c>
      <c r="CL175">
        <v>2.7446300999999999E-2</v>
      </c>
      <c r="CM175">
        <v>2.7446300999999999E-2</v>
      </c>
      <c r="CN175">
        <v>2.7446300999999999E-2</v>
      </c>
      <c r="CO175">
        <v>2.7446300999999999E-2</v>
      </c>
      <c r="CP175">
        <v>2.7446300999999999E-2</v>
      </c>
      <c r="CQ175">
        <v>2.7446300999999999E-2</v>
      </c>
      <c r="CR175">
        <v>2.7446300999999999E-2</v>
      </c>
      <c r="CS175">
        <v>2.7446300999999999E-2</v>
      </c>
      <c r="CT175">
        <v>2.7446300999999999E-2</v>
      </c>
      <c r="CU175">
        <v>2.7446300999999999E-2</v>
      </c>
      <c r="CV175">
        <v>2.7446300999999999E-2</v>
      </c>
      <c r="CW175">
        <v>2.7446300999999999E-2</v>
      </c>
      <c r="CX175">
        <v>2.7446300999999999E-2</v>
      </c>
    </row>
    <row r="176" spans="1:102" x14ac:dyDescent="0.3">
      <c r="A176" t="s">
        <v>220</v>
      </c>
      <c r="B176" t="s">
        <v>221</v>
      </c>
      <c r="C176" t="s">
        <v>222</v>
      </c>
      <c r="D176" t="s">
        <v>223</v>
      </c>
      <c r="E176" t="s">
        <v>592</v>
      </c>
      <c r="F176" t="s">
        <v>225</v>
      </c>
      <c r="G176" t="s">
        <v>226</v>
      </c>
      <c r="H176" t="s">
        <v>226</v>
      </c>
      <c r="I176" t="s">
        <v>226</v>
      </c>
      <c r="J176" t="s">
        <v>227</v>
      </c>
      <c r="K176" t="s">
        <v>228</v>
      </c>
      <c r="L176" t="s">
        <v>228</v>
      </c>
      <c r="M176" t="s">
        <v>228</v>
      </c>
      <c r="N176" t="s">
        <v>228</v>
      </c>
      <c r="O176" t="s">
        <v>229</v>
      </c>
      <c r="P176">
        <v>2</v>
      </c>
      <c r="Q176" t="s">
        <v>230</v>
      </c>
      <c r="R176" t="s">
        <v>231</v>
      </c>
      <c r="S176" t="s">
        <v>232</v>
      </c>
      <c r="T176">
        <v>0</v>
      </c>
      <c r="U176" t="s">
        <v>230</v>
      </c>
      <c r="V176" t="s">
        <v>233</v>
      </c>
      <c r="W176" t="s">
        <v>223</v>
      </c>
      <c r="X176" t="s">
        <v>234</v>
      </c>
      <c r="Y176" t="s">
        <v>593</v>
      </c>
      <c r="Z176" t="s">
        <v>232</v>
      </c>
      <c r="AA176" t="s">
        <v>236</v>
      </c>
      <c r="AB176" t="s">
        <v>237</v>
      </c>
      <c r="AC176" t="s">
        <v>236</v>
      </c>
      <c r="AD176" t="s">
        <v>238</v>
      </c>
      <c r="AE176" t="s">
        <v>239</v>
      </c>
      <c r="AF176" t="s">
        <v>239</v>
      </c>
      <c r="AG176" t="s">
        <v>239</v>
      </c>
      <c r="AH176" t="s">
        <v>239</v>
      </c>
      <c r="AI176" t="s">
        <v>240</v>
      </c>
      <c r="AJ176" t="s">
        <v>241</v>
      </c>
      <c r="AK176" t="s">
        <v>242</v>
      </c>
      <c r="AL176" t="s">
        <v>234</v>
      </c>
      <c r="AM176" t="s">
        <v>243</v>
      </c>
      <c r="AN176" t="s">
        <v>244</v>
      </c>
      <c r="AO176" t="s">
        <v>245</v>
      </c>
      <c r="CB176">
        <v>2.4687915010000001</v>
      </c>
      <c r="CC176">
        <v>2.4807436919999999</v>
      </c>
      <c r="CD176">
        <v>2.4933598940000001</v>
      </c>
      <c r="CE176">
        <v>2.5059760959999999</v>
      </c>
      <c r="CF176">
        <v>2.5166002660000002</v>
      </c>
      <c r="CG176">
        <v>2.5146082340000002</v>
      </c>
      <c r="CH176">
        <v>2.525896414</v>
      </c>
      <c r="CI176">
        <v>2.5869853919999999</v>
      </c>
      <c r="CJ176">
        <v>2.602257636</v>
      </c>
      <c r="CK176">
        <v>2.8545816730000002</v>
      </c>
      <c r="CL176">
        <v>2.8911022580000001</v>
      </c>
      <c r="CM176">
        <v>2.8127490040000001</v>
      </c>
      <c r="CN176">
        <v>2.9063745019999998</v>
      </c>
      <c r="CO176">
        <v>2.8937583</v>
      </c>
      <c r="CP176">
        <v>2.738379814</v>
      </c>
      <c r="CQ176">
        <v>2.7788844620000002</v>
      </c>
      <c r="CR176">
        <v>2.7861885790000001</v>
      </c>
      <c r="CS176">
        <v>2.6620185919999999</v>
      </c>
      <c r="CT176">
        <v>2.0717131470000001</v>
      </c>
      <c r="CU176">
        <v>2.028552457</v>
      </c>
      <c r="CV176">
        <v>2.000531209</v>
      </c>
      <c r="CW176">
        <v>2.0318725099999999</v>
      </c>
      <c r="CX176">
        <v>2.0717131470000001</v>
      </c>
    </row>
    <row r="177" spans="1:102" x14ac:dyDescent="0.3">
      <c r="A177" t="s">
        <v>220</v>
      </c>
      <c r="B177" t="s">
        <v>221</v>
      </c>
      <c r="C177" t="s">
        <v>222</v>
      </c>
      <c r="D177" t="s">
        <v>223</v>
      </c>
      <c r="E177" t="s">
        <v>594</v>
      </c>
      <c r="F177" t="s">
        <v>225</v>
      </c>
      <c r="G177" t="s">
        <v>226</v>
      </c>
      <c r="H177" t="s">
        <v>226</v>
      </c>
      <c r="I177" t="s">
        <v>226</v>
      </c>
      <c r="J177" t="s">
        <v>227</v>
      </c>
      <c r="K177" t="s">
        <v>228</v>
      </c>
      <c r="L177" t="s">
        <v>228</v>
      </c>
      <c r="M177" t="s">
        <v>228</v>
      </c>
      <c r="N177" t="s">
        <v>228</v>
      </c>
      <c r="O177" t="s">
        <v>229</v>
      </c>
      <c r="P177">
        <v>2</v>
      </c>
      <c r="Q177" t="s">
        <v>230</v>
      </c>
      <c r="R177" t="s">
        <v>231</v>
      </c>
      <c r="S177" t="s">
        <v>232</v>
      </c>
      <c r="T177">
        <v>0</v>
      </c>
      <c r="U177" t="s">
        <v>230</v>
      </c>
      <c r="V177" t="s">
        <v>233</v>
      </c>
      <c r="W177" t="s">
        <v>223</v>
      </c>
      <c r="X177" t="s">
        <v>234</v>
      </c>
      <c r="Y177" t="s">
        <v>595</v>
      </c>
      <c r="Z177" t="s">
        <v>232</v>
      </c>
      <c r="AA177" t="s">
        <v>236</v>
      </c>
      <c r="AB177" t="s">
        <v>237</v>
      </c>
      <c r="AC177" t="s">
        <v>236</v>
      </c>
      <c r="AD177" t="s">
        <v>238</v>
      </c>
      <c r="AE177" t="s">
        <v>239</v>
      </c>
      <c r="AF177" t="s">
        <v>239</v>
      </c>
      <c r="AG177" t="s">
        <v>239</v>
      </c>
      <c r="AH177" t="s">
        <v>239</v>
      </c>
      <c r="AI177" t="s">
        <v>240</v>
      </c>
      <c r="AJ177" t="s">
        <v>241</v>
      </c>
      <c r="AK177" t="s">
        <v>242</v>
      </c>
      <c r="AL177" t="s">
        <v>234</v>
      </c>
      <c r="AM177" t="s">
        <v>243</v>
      </c>
      <c r="AN177" t="s">
        <v>244</v>
      </c>
      <c r="AO177" t="s">
        <v>245</v>
      </c>
      <c r="BV177">
        <v>63.56317361</v>
      </c>
      <c r="BW177">
        <v>63.876985670000003</v>
      </c>
      <c r="BX177">
        <v>64.19079773</v>
      </c>
      <c r="BY177">
        <v>64.504609790000003</v>
      </c>
      <c r="BZ177">
        <v>64.818421849999993</v>
      </c>
      <c r="CA177">
        <v>65.132233909999997</v>
      </c>
      <c r="CB177">
        <v>65.44604597</v>
      </c>
      <c r="CC177">
        <v>62.878197640000003</v>
      </c>
      <c r="CD177">
        <v>60.310349309999999</v>
      </c>
      <c r="CE177">
        <v>57.742500970000002</v>
      </c>
      <c r="CF177">
        <v>55.174652639999998</v>
      </c>
      <c r="CG177">
        <v>52.606804310000001</v>
      </c>
      <c r="CH177">
        <v>50.038955979999997</v>
      </c>
      <c r="CI177">
        <v>50.038955979999997</v>
      </c>
      <c r="CJ177">
        <v>50.038955979999997</v>
      </c>
      <c r="CK177">
        <v>50.038955979999997</v>
      </c>
      <c r="CL177">
        <v>50.038955979999997</v>
      </c>
      <c r="CM177">
        <v>50.038955979999997</v>
      </c>
      <c r="CN177">
        <v>50.038955979999997</v>
      </c>
      <c r="CO177">
        <v>50.038955979999997</v>
      </c>
      <c r="CP177">
        <v>50.038955979999997</v>
      </c>
      <c r="CQ177">
        <v>50.038955979999997</v>
      </c>
      <c r="CR177">
        <v>50.038955979999997</v>
      </c>
      <c r="CS177">
        <v>50.038955979999997</v>
      </c>
      <c r="CT177">
        <v>50.038955979999997</v>
      </c>
      <c r="CU177">
        <v>50.038955979999997</v>
      </c>
      <c r="CV177">
        <v>50.038955979999997</v>
      </c>
      <c r="CW177">
        <v>50.038955979999997</v>
      </c>
      <c r="CX177">
        <v>50.038955979999997</v>
      </c>
    </row>
    <row r="178" spans="1:102" x14ac:dyDescent="0.3">
      <c r="A178" t="s">
        <v>220</v>
      </c>
      <c r="B178" t="s">
        <v>221</v>
      </c>
      <c r="C178" t="s">
        <v>222</v>
      </c>
      <c r="D178" t="s">
        <v>223</v>
      </c>
      <c r="E178" t="s">
        <v>596</v>
      </c>
      <c r="F178" t="s">
        <v>225</v>
      </c>
      <c r="G178" t="s">
        <v>226</v>
      </c>
      <c r="H178" t="s">
        <v>226</v>
      </c>
      <c r="I178" t="s">
        <v>226</v>
      </c>
      <c r="J178" t="s">
        <v>227</v>
      </c>
      <c r="K178" t="s">
        <v>228</v>
      </c>
      <c r="L178" t="s">
        <v>228</v>
      </c>
      <c r="M178" t="s">
        <v>228</v>
      </c>
      <c r="N178" t="s">
        <v>228</v>
      </c>
      <c r="O178" t="s">
        <v>229</v>
      </c>
      <c r="P178">
        <v>2</v>
      </c>
      <c r="Q178" t="s">
        <v>230</v>
      </c>
      <c r="R178" t="s">
        <v>231</v>
      </c>
      <c r="S178" t="s">
        <v>232</v>
      </c>
      <c r="T178">
        <v>0</v>
      </c>
      <c r="U178" t="s">
        <v>230</v>
      </c>
      <c r="V178" t="s">
        <v>233</v>
      </c>
      <c r="W178" t="s">
        <v>223</v>
      </c>
      <c r="X178" t="s">
        <v>234</v>
      </c>
      <c r="Y178" t="s">
        <v>597</v>
      </c>
      <c r="Z178" t="s">
        <v>232</v>
      </c>
      <c r="AA178" t="s">
        <v>236</v>
      </c>
      <c r="AB178" t="s">
        <v>237</v>
      </c>
      <c r="AC178" t="s">
        <v>236</v>
      </c>
      <c r="AD178" t="s">
        <v>238</v>
      </c>
      <c r="AE178" t="s">
        <v>239</v>
      </c>
      <c r="AF178" t="s">
        <v>239</v>
      </c>
      <c r="AG178" t="s">
        <v>239</v>
      </c>
      <c r="AH178" t="s">
        <v>239</v>
      </c>
      <c r="AI178" t="s">
        <v>240</v>
      </c>
      <c r="AJ178" t="s">
        <v>241</v>
      </c>
      <c r="AK178" t="s">
        <v>242</v>
      </c>
      <c r="AL178" t="s">
        <v>234</v>
      </c>
      <c r="AM178" t="s">
        <v>243</v>
      </c>
      <c r="AN178" t="s">
        <v>244</v>
      </c>
      <c r="AO178" t="s">
        <v>245</v>
      </c>
      <c r="AX178">
        <v>36.655211909999998</v>
      </c>
      <c r="AY178">
        <v>37.12738693</v>
      </c>
      <c r="AZ178">
        <v>37.599561950000002</v>
      </c>
      <c r="BA178">
        <v>38.071736970000003</v>
      </c>
      <c r="BB178">
        <v>38.543911989999998</v>
      </c>
      <c r="BC178">
        <v>39.01608701</v>
      </c>
      <c r="BD178">
        <v>39.48649975</v>
      </c>
      <c r="BE178">
        <v>39.956912500000001</v>
      </c>
      <c r="BF178">
        <v>40.427325250000003</v>
      </c>
      <c r="BG178">
        <v>40.897737999999997</v>
      </c>
      <c r="BH178">
        <v>41.368150749999998</v>
      </c>
      <c r="BI178">
        <v>40.864380750000002</v>
      </c>
      <c r="BJ178">
        <v>40.360610749999999</v>
      </c>
      <c r="BK178">
        <v>39.856840750000003</v>
      </c>
      <c r="BL178">
        <v>39.353070760000001</v>
      </c>
      <c r="BM178">
        <v>38.849300759999998</v>
      </c>
      <c r="BN178">
        <v>38.343768490000002</v>
      </c>
      <c r="BO178">
        <v>37.794179470000003</v>
      </c>
      <c r="BP178">
        <v>37.274754649999998</v>
      </c>
      <c r="BQ178">
        <v>36.75532982</v>
      </c>
      <c r="BR178">
        <v>36.235904990000002</v>
      </c>
      <c r="BS178">
        <v>36.676633279999997</v>
      </c>
      <c r="BT178">
        <v>37.11736157</v>
      </c>
      <c r="BU178">
        <v>37.558089870000003</v>
      </c>
      <c r="BV178">
        <v>37.998818159999999</v>
      </c>
      <c r="BW178">
        <v>38.439546450000002</v>
      </c>
      <c r="BX178">
        <v>38.880274749999998</v>
      </c>
      <c r="BY178">
        <v>39.321003040000001</v>
      </c>
      <c r="BZ178">
        <v>39.761731330000003</v>
      </c>
      <c r="CA178">
        <v>39.708080010000003</v>
      </c>
      <c r="CB178">
        <v>39.69735953</v>
      </c>
      <c r="CC178">
        <v>38.230459969999998</v>
      </c>
      <c r="CD178">
        <v>36.763560409999997</v>
      </c>
      <c r="CE178">
        <v>35.296660850000002</v>
      </c>
      <c r="CF178">
        <v>33.82976129</v>
      </c>
      <c r="CG178">
        <v>32.32144839</v>
      </c>
      <c r="CH178">
        <v>30.882892009999999</v>
      </c>
      <c r="CI178">
        <v>29.44433562</v>
      </c>
      <c r="CJ178">
        <v>47.195396559999999</v>
      </c>
      <c r="CK178">
        <v>29.600340930000002</v>
      </c>
      <c r="CL178">
        <v>29.695085150000001</v>
      </c>
      <c r="CM178">
        <v>29.78982937</v>
      </c>
      <c r="CN178">
        <v>29.884573589999999</v>
      </c>
      <c r="CO178">
        <v>29.94407241</v>
      </c>
      <c r="CP178">
        <v>29.93375824</v>
      </c>
      <c r="CQ178">
        <v>29.923444060000001</v>
      </c>
      <c r="CR178">
        <v>29.8426391</v>
      </c>
      <c r="CS178">
        <v>29.76183413</v>
      </c>
      <c r="CT178">
        <v>29.681029169999999</v>
      </c>
      <c r="CU178">
        <v>29.82201075</v>
      </c>
      <c r="CV178">
        <v>29.798220109999999</v>
      </c>
      <c r="CW178">
        <v>29.739289809999999</v>
      </c>
      <c r="CX178">
        <v>29.76738039</v>
      </c>
    </row>
    <row r="179" spans="1:102" x14ac:dyDescent="0.3">
      <c r="A179" t="s">
        <v>220</v>
      </c>
      <c r="B179" t="s">
        <v>221</v>
      </c>
      <c r="C179" t="s">
        <v>222</v>
      </c>
      <c r="D179" t="s">
        <v>223</v>
      </c>
      <c r="E179" t="s">
        <v>598</v>
      </c>
      <c r="F179" t="s">
        <v>225</v>
      </c>
      <c r="G179" t="s">
        <v>226</v>
      </c>
      <c r="H179" t="s">
        <v>226</v>
      </c>
      <c r="I179" t="s">
        <v>226</v>
      </c>
      <c r="J179" t="s">
        <v>227</v>
      </c>
      <c r="K179" t="s">
        <v>228</v>
      </c>
      <c r="L179" t="s">
        <v>228</v>
      </c>
      <c r="M179" t="s">
        <v>228</v>
      </c>
      <c r="N179" t="s">
        <v>228</v>
      </c>
      <c r="O179" t="s">
        <v>229</v>
      </c>
      <c r="P179">
        <v>2</v>
      </c>
      <c r="Q179" t="s">
        <v>230</v>
      </c>
      <c r="R179" t="s">
        <v>231</v>
      </c>
      <c r="S179" t="s">
        <v>232</v>
      </c>
      <c r="T179">
        <v>0</v>
      </c>
      <c r="U179" t="s">
        <v>230</v>
      </c>
      <c r="V179" t="s">
        <v>233</v>
      </c>
      <c r="W179" t="s">
        <v>223</v>
      </c>
      <c r="X179" t="s">
        <v>234</v>
      </c>
      <c r="Y179" t="s">
        <v>599</v>
      </c>
      <c r="Z179" t="s">
        <v>232</v>
      </c>
      <c r="AA179" t="s">
        <v>236</v>
      </c>
      <c r="AB179" t="s">
        <v>237</v>
      </c>
      <c r="AC179" t="s">
        <v>236</v>
      </c>
      <c r="AD179" t="s">
        <v>238</v>
      </c>
      <c r="AE179" t="s">
        <v>239</v>
      </c>
      <c r="AF179" t="s">
        <v>239</v>
      </c>
      <c r="AG179" t="s">
        <v>239</v>
      </c>
      <c r="AH179" t="s">
        <v>239</v>
      </c>
      <c r="AI179" t="s">
        <v>240</v>
      </c>
      <c r="AJ179" t="s">
        <v>241</v>
      </c>
      <c r="AK179" t="s">
        <v>242</v>
      </c>
      <c r="AL179" t="s">
        <v>234</v>
      </c>
      <c r="AM179" t="s">
        <v>243</v>
      </c>
      <c r="AN179" t="s">
        <v>244</v>
      </c>
      <c r="AO179" t="s">
        <v>245</v>
      </c>
      <c r="BZ179">
        <v>2.2414515000000002</v>
      </c>
      <c r="CA179">
        <v>2.3312813609999998</v>
      </c>
      <c r="CB179">
        <v>2.4191921710000002</v>
      </c>
      <c r="CC179">
        <v>2.5090220319999998</v>
      </c>
      <c r="CD179">
        <v>2.5398265379999998</v>
      </c>
      <c r="CE179">
        <v>2.5706310440000002</v>
      </c>
      <c r="CF179">
        <v>2.6014355500000002</v>
      </c>
      <c r="CG179">
        <v>2.6322400560000001</v>
      </c>
      <c r="CH179">
        <v>2.6514305650000001</v>
      </c>
      <c r="CI179">
        <v>2.6706210750000001</v>
      </c>
      <c r="CJ179">
        <v>2.6898115840000001</v>
      </c>
      <c r="CK179">
        <v>2.6638361989999999</v>
      </c>
      <c r="CL179">
        <v>2.6378608130000001</v>
      </c>
      <c r="CM179">
        <v>2.6118854279999999</v>
      </c>
      <c r="CN179">
        <v>2.5630122759999998</v>
      </c>
      <c r="CO179">
        <v>2.5141391230000001</v>
      </c>
      <c r="CP179">
        <v>2.465265971</v>
      </c>
      <c r="CQ179">
        <v>2.4163928189999999</v>
      </c>
      <c r="CR179">
        <v>2.3675196660000002</v>
      </c>
      <c r="CS179">
        <v>2.3186465140000001</v>
      </c>
      <c r="CT179">
        <v>2.269773362</v>
      </c>
      <c r="CU179">
        <v>2.219818563</v>
      </c>
      <c r="CV179">
        <v>2.2209002089999998</v>
      </c>
      <c r="CW179">
        <v>2.2209002089999998</v>
      </c>
      <c r="CX179">
        <v>2.2209002089999998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90B18-9FBF-4675-9DEF-0D5C73E3F89C}">
  <dimension ref="A1"/>
  <sheetViews>
    <sheetView showGridLines="0" workbookViewId="0"/>
  </sheetViews>
  <sheetFormatPr defaultRowHeight="14.4" x14ac:dyDescent="0.3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142EC-DB82-49F8-8305-7E5E647A3562}">
  <dimension ref="A1:A179"/>
  <sheetViews>
    <sheetView topLeftCell="A130" workbookViewId="0">
      <selection activeCell="C152" sqref="C152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64</v>
      </c>
    </row>
    <row r="66" spans="1:1" x14ac:dyDescent="0.3">
      <c r="A66" t="s">
        <v>65</v>
      </c>
    </row>
    <row r="67" spans="1:1" x14ac:dyDescent="0.3">
      <c r="A67" t="s">
        <v>66</v>
      </c>
    </row>
    <row r="68" spans="1:1" x14ac:dyDescent="0.3">
      <c r="A68" t="s">
        <v>67</v>
      </c>
    </row>
    <row r="69" spans="1:1" x14ac:dyDescent="0.3">
      <c r="A69" t="s">
        <v>68</v>
      </c>
    </row>
    <row r="70" spans="1:1" x14ac:dyDescent="0.3">
      <c r="A70" t="s">
        <v>69</v>
      </c>
    </row>
    <row r="71" spans="1:1" x14ac:dyDescent="0.3">
      <c r="A71" t="s">
        <v>70</v>
      </c>
    </row>
    <row r="72" spans="1:1" x14ac:dyDescent="0.3">
      <c r="A72" t="s">
        <v>71</v>
      </c>
    </row>
    <row r="73" spans="1:1" x14ac:dyDescent="0.3">
      <c r="A73" t="s">
        <v>72</v>
      </c>
    </row>
    <row r="74" spans="1:1" x14ac:dyDescent="0.3">
      <c r="A74" t="s">
        <v>73</v>
      </c>
    </row>
    <row r="75" spans="1:1" x14ac:dyDescent="0.3">
      <c r="A75" t="s">
        <v>74</v>
      </c>
    </row>
    <row r="76" spans="1:1" x14ac:dyDescent="0.3">
      <c r="A76" t="s">
        <v>75</v>
      </c>
    </row>
    <row r="77" spans="1:1" x14ac:dyDescent="0.3">
      <c r="A77" t="s">
        <v>76</v>
      </c>
    </row>
    <row r="78" spans="1:1" x14ac:dyDescent="0.3">
      <c r="A78" t="s">
        <v>77</v>
      </c>
    </row>
    <row r="79" spans="1:1" x14ac:dyDescent="0.3">
      <c r="A79" t="s">
        <v>78</v>
      </c>
    </row>
    <row r="80" spans="1:1" x14ac:dyDescent="0.3">
      <c r="A80" t="s">
        <v>79</v>
      </c>
    </row>
    <row r="81" spans="1:1" x14ac:dyDescent="0.3">
      <c r="A81" t="s">
        <v>80</v>
      </c>
    </row>
    <row r="82" spans="1:1" x14ac:dyDescent="0.3">
      <c r="A82" t="s">
        <v>81</v>
      </c>
    </row>
    <row r="83" spans="1:1" x14ac:dyDescent="0.3">
      <c r="A83" t="s">
        <v>82</v>
      </c>
    </row>
    <row r="84" spans="1:1" x14ac:dyDescent="0.3">
      <c r="A84" t="s">
        <v>83</v>
      </c>
    </row>
    <row r="85" spans="1:1" x14ac:dyDescent="0.3">
      <c r="A85" t="s">
        <v>84</v>
      </c>
    </row>
    <row r="86" spans="1:1" x14ac:dyDescent="0.3">
      <c r="A86" t="s">
        <v>85</v>
      </c>
    </row>
    <row r="87" spans="1:1" x14ac:dyDescent="0.3">
      <c r="A87" t="s">
        <v>86</v>
      </c>
    </row>
    <row r="88" spans="1:1" x14ac:dyDescent="0.3">
      <c r="A88" t="s">
        <v>87</v>
      </c>
    </row>
    <row r="89" spans="1:1" x14ac:dyDescent="0.3">
      <c r="A89" t="s">
        <v>88</v>
      </c>
    </row>
    <row r="90" spans="1:1" x14ac:dyDescent="0.3">
      <c r="A90" t="s">
        <v>89</v>
      </c>
    </row>
    <row r="91" spans="1:1" x14ac:dyDescent="0.3">
      <c r="A91" t="s">
        <v>90</v>
      </c>
    </row>
    <row r="92" spans="1:1" x14ac:dyDescent="0.3">
      <c r="A92" t="s">
        <v>91</v>
      </c>
    </row>
    <row r="93" spans="1:1" x14ac:dyDescent="0.3">
      <c r="A93" t="s">
        <v>92</v>
      </c>
    </row>
    <row r="94" spans="1:1" x14ac:dyDescent="0.3">
      <c r="A94" t="s">
        <v>93</v>
      </c>
    </row>
    <row r="95" spans="1:1" x14ac:dyDescent="0.3">
      <c r="A95" t="s">
        <v>94</v>
      </c>
    </row>
    <row r="96" spans="1:1" x14ac:dyDescent="0.3">
      <c r="A96" t="s">
        <v>95</v>
      </c>
    </row>
    <row r="97" spans="1:1" x14ac:dyDescent="0.3">
      <c r="A97" t="s">
        <v>96</v>
      </c>
    </row>
    <row r="98" spans="1:1" x14ac:dyDescent="0.3">
      <c r="A98" t="s">
        <v>97</v>
      </c>
    </row>
    <row r="99" spans="1:1" x14ac:dyDescent="0.3">
      <c r="A99" t="s">
        <v>98</v>
      </c>
    </row>
    <row r="100" spans="1:1" x14ac:dyDescent="0.3">
      <c r="A100" t="s">
        <v>99</v>
      </c>
    </row>
    <row r="101" spans="1:1" x14ac:dyDescent="0.3">
      <c r="A101" t="s">
        <v>100</v>
      </c>
    </row>
    <row r="102" spans="1:1" x14ac:dyDescent="0.3">
      <c r="A102" t="s">
        <v>101</v>
      </c>
    </row>
    <row r="103" spans="1:1" x14ac:dyDescent="0.3">
      <c r="A103" t="s">
        <v>102</v>
      </c>
    </row>
    <row r="104" spans="1:1" x14ac:dyDescent="0.3">
      <c r="A104" t="s">
        <v>103</v>
      </c>
    </row>
    <row r="105" spans="1:1" x14ac:dyDescent="0.3">
      <c r="A105" t="s">
        <v>104</v>
      </c>
    </row>
    <row r="106" spans="1:1" x14ac:dyDescent="0.3">
      <c r="A106" t="s">
        <v>105</v>
      </c>
    </row>
    <row r="107" spans="1:1" x14ac:dyDescent="0.3">
      <c r="A107" t="s">
        <v>106</v>
      </c>
    </row>
    <row r="108" spans="1:1" x14ac:dyDescent="0.3">
      <c r="A108" t="s">
        <v>107</v>
      </c>
    </row>
    <row r="109" spans="1:1" x14ac:dyDescent="0.3">
      <c r="A109" t="s">
        <v>108</v>
      </c>
    </row>
    <row r="110" spans="1:1" x14ac:dyDescent="0.3">
      <c r="A110" t="s">
        <v>109</v>
      </c>
    </row>
    <row r="111" spans="1:1" x14ac:dyDescent="0.3">
      <c r="A111" t="s">
        <v>110</v>
      </c>
    </row>
    <row r="112" spans="1:1" x14ac:dyDescent="0.3">
      <c r="A112" t="s">
        <v>111</v>
      </c>
    </row>
    <row r="113" spans="1:1" x14ac:dyDescent="0.3">
      <c r="A113" t="s">
        <v>112</v>
      </c>
    </row>
    <row r="114" spans="1:1" x14ac:dyDescent="0.3">
      <c r="A114" t="s">
        <v>113</v>
      </c>
    </row>
    <row r="115" spans="1:1" x14ac:dyDescent="0.3">
      <c r="A115" t="s">
        <v>114</v>
      </c>
    </row>
    <row r="116" spans="1:1" x14ac:dyDescent="0.3">
      <c r="A116" t="s">
        <v>115</v>
      </c>
    </row>
    <row r="117" spans="1:1" x14ac:dyDescent="0.3">
      <c r="A117" t="s">
        <v>116</v>
      </c>
    </row>
    <row r="118" spans="1:1" x14ac:dyDescent="0.3">
      <c r="A118" t="s">
        <v>117</v>
      </c>
    </row>
    <row r="119" spans="1:1" x14ac:dyDescent="0.3">
      <c r="A119" t="s">
        <v>118</v>
      </c>
    </row>
    <row r="120" spans="1:1" x14ac:dyDescent="0.3">
      <c r="A120" t="s">
        <v>119</v>
      </c>
    </row>
    <row r="121" spans="1:1" x14ac:dyDescent="0.3">
      <c r="A121" t="s">
        <v>120</v>
      </c>
    </row>
    <row r="122" spans="1:1" x14ac:dyDescent="0.3">
      <c r="A122" t="s">
        <v>121</v>
      </c>
    </row>
    <row r="123" spans="1:1" x14ac:dyDescent="0.3">
      <c r="A123" t="s">
        <v>122</v>
      </c>
    </row>
    <row r="124" spans="1:1" x14ac:dyDescent="0.3">
      <c r="A124" t="s">
        <v>123</v>
      </c>
    </row>
    <row r="125" spans="1:1" x14ac:dyDescent="0.3">
      <c r="A125" t="s">
        <v>124</v>
      </c>
    </row>
    <row r="126" spans="1:1" x14ac:dyDescent="0.3">
      <c r="A126" t="s">
        <v>125</v>
      </c>
    </row>
    <row r="127" spans="1:1" x14ac:dyDescent="0.3">
      <c r="A127" t="s">
        <v>126</v>
      </c>
    </row>
    <row r="128" spans="1:1" x14ac:dyDescent="0.3">
      <c r="A128" t="s">
        <v>127</v>
      </c>
    </row>
    <row r="129" spans="1:1" x14ac:dyDescent="0.3">
      <c r="A129" t="s">
        <v>128</v>
      </c>
    </row>
    <row r="130" spans="1:1" x14ac:dyDescent="0.3">
      <c r="A130" t="s">
        <v>129</v>
      </c>
    </row>
    <row r="131" spans="1:1" x14ac:dyDescent="0.3">
      <c r="A131" t="s">
        <v>130</v>
      </c>
    </row>
    <row r="132" spans="1:1" x14ac:dyDescent="0.3">
      <c r="A132" t="s">
        <v>131</v>
      </c>
    </row>
    <row r="133" spans="1:1" x14ac:dyDescent="0.3">
      <c r="A133" t="s">
        <v>132</v>
      </c>
    </row>
    <row r="134" spans="1:1" x14ac:dyDescent="0.3">
      <c r="A134" t="s">
        <v>133</v>
      </c>
    </row>
    <row r="135" spans="1:1" x14ac:dyDescent="0.3">
      <c r="A135" t="s">
        <v>134</v>
      </c>
    </row>
    <row r="136" spans="1:1" x14ac:dyDescent="0.3">
      <c r="A136" t="s">
        <v>135</v>
      </c>
    </row>
    <row r="137" spans="1:1" x14ac:dyDescent="0.3">
      <c r="A137" t="s">
        <v>136</v>
      </c>
    </row>
    <row r="138" spans="1:1" x14ac:dyDescent="0.3">
      <c r="A138" t="s">
        <v>137</v>
      </c>
    </row>
    <row r="139" spans="1:1" x14ac:dyDescent="0.3">
      <c r="A139" t="s">
        <v>138</v>
      </c>
    </row>
    <row r="140" spans="1:1" x14ac:dyDescent="0.3">
      <c r="A140" t="s">
        <v>139</v>
      </c>
    </row>
    <row r="141" spans="1:1" x14ac:dyDescent="0.3">
      <c r="A141" t="s">
        <v>140</v>
      </c>
    </row>
    <row r="142" spans="1:1" x14ac:dyDescent="0.3">
      <c r="A142" t="s">
        <v>141</v>
      </c>
    </row>
    <row r="143" spans="1:1" x14ac:dyDescent="0.3">
      <c r="A143" t="s">
        <v>142</v>
      </c>
    </row>
    <row r="144" spans="1:1" x14ac:dyDescent="0.3">
      <c r="A144" t="s">
        <v>143</v>
      </c>
    </row>
    <row r="145" spans="1:1" x14ac:dyDescent="0.3">
      <c r="A145" t="s">
        <v>144</v>
      </c>
    </row>
    <row r="146" spans="1:1" x14ac:dyDescent="0.3">
      <c r="A146" t="s">
        <v>145</v>
      </c>
    </row>
    <row r="147" spans="1:1" x14ac:dyDescent="0.3">
      <c r="A147" t="s">
        <v>146</v>
      </c>
    </row>
    <row r="148" spans="1:1" x14ac:dyDescent="0.3">
      <c r="A148" t="s">
        <v>147</v>
      </c>
    </row>
    <row r="149" spans="1:1" x14ac:dyDescent="0.3">
      <c r="A149" t="s">
        <v>148</v>
      </c>
    </row>
    <row r="150" spans="1:1" x14ac:dyDescent="0.3">
      <c r="A150" t="s">
        <v>149</v>
      </c>
    </row>
    <row r="151" spans="1:1" x14ac:dyDescent="0.3">
      <c r="A151" t="s">
        <v>150</v>
      </c>
    </row>
    <row r="152" spans="1:1" x14ac:dyDescent="0.3">
      <c r="A152" t="s">
        <v>151</v>
      </c>
    </row>
    <row r="153" spans="1:1" x14ac:dyDescent="0.3">
      <c r="A153" t="s">
        <v>152</v>
      </c>
    </row>
    <row r="154" spans="1:1" x14ac:dyDescent="0.3">
      <c r="A154" t="s">
        <v>153</v>
      </c>
    </row>
    <row r="155" spans="1:1" x14ac:dyDescent="0.3">
      <c r="A155" t="s">
        <v>154</v>
      </c>
    </row>
    <row r="156" spans="1:1" x14ac:dyDescent="0.3">
      <c r="A156" t="s">
        <v>155</v>
      </c>
    </row>
    <row r="157" spans="1:1" x14ac:dyDescent="0.3">
      <c r="A157" t="s">
        <v>156</v>
      </c>
    </row>
    <row r="158" spans="1:1" x14ac:dyDescent="0.3">
      <c r="A158" t="s">
        <v>157</v>
      </c>
    </row>
    <row r="159" spans="1:1" x14ac:dyDescent="0.3">
      <c r="A159" t="s">
        <v>158</v>
      </c>
    </row>
    <row r="160" spans="1:1" x14ac:dyDescent="0.3">
      <c r="A160" t="s">
        <v>159</v>
      </c>
    </row>
    <row r="161" spans="1:1" x14ac:dyDescent="0.3">
      <c r="A161" t="s">
        <v>160</v>
      </c>
    </row>
    <row r="162" spans="1:1" x14ac:dyDescent="0.3">
      <c r="A162" t="s">
        <v>161</v>
      </c>
    </row>
    <row r="163" spans="1:1" x14ac:dyDescent="0.3">
      <c r="A163" t="s">
        <v>162</v>
      </c>
    </row>
    <row r="164" spans="1:1" x14ac:dyDescent="0.3">
      <c r="A164" t="s">
        <v>163</v>
      </c>
    </row>
    <row r="165" spans="1:1" x14ac:dyDescent="0.3">
      <c r="A165" t="s">
        <v>164</v>
      </c>
    </row>
    <row r="166" spans="1:1" x14ac:dyDescent="0.3">
      <c r="A166" t="s">
        <v>165</v>
      </c>
    </row>
    <row r="167" spans="1:1" x14ac:dyDescent="0.3">
      <c r="A167" t="s">
        <v>166</v>
      </c>
    </row>
    <row r="168" spans="1:1" x14ac:dyDescent="0.3">
      <c r="A168" t="s">
        <v>167</v>
      </c>
    </row>
    <row r="169" spans="1:1" x14ac:dyDescent="0.3">
      <c r="A169" t="s">
        <v>168</v>
      </c>
    </row>
    <row r="170" spans="1:1" x14ac:dyDescent="0.3">
      <c r="A170" t="s">
        <v>169</v>
      </c>
    </row>
    <row r="171" spans="1:1" x14ac:dyDescent="0.3">
      <c r="A171" t="s">
        <v>170</v>
      </c>
    </row>
    <row r="172" spans="1:1" x14ac:dyDescent="0.3">
      <c r="A172" t="s">
        <v>171</v>
      </c>
    </row>
    <row r="173" spans="1:1" x14ac:dyDescent="0.3">
      <c r="A173" t="s">
        <v>172</v>
      </c>
    </row>
    <row r="174" spans="1:1" x14ac:dyDescent="0.3">
      <c r="A174" t="s">
        <v>173</v>
      </c>
    </row>
    <row r="175" spans="1:1" x14ac:dyDescent="0.3">
      <c r="A175" t="s">
        <v>174</v>
      </c>
    </row>
    <row r="176" spans="1:1" x14ac:dyDescent="0.3">
      <c r="A176" t="s">
        <v>175</v>
      </c>
    </row>
    <row r="177" spans="1:1" x14ac:dyDescent="0.3">
      <c r="A177" t="s">
        <v>176</v>
      </c>
    </row>
    <row r="178" spans="1:1" x14ac:dyDescent="0.3">
      <c r="A178" t="s">
        <v>177</v>
      </c>
    </row>
    <row r="179" spans="1:1" x14ac:dyDescent="0.3">
      <c r="A179" t="s">
        <v>178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5BCB9ECB3B0DFE42A61CA68338208089" ma:contentTypeVersion="10" ma:contentTypeDescription="Ein neues Dokument erstellen." ma:contentTypeScope="" ma:versionID="32c5804f83d42255678497615c7cdf27">
  <xsd:schema xmlns:xsd="http://www.w3.org/2001/XMLSchema" xmlns:xs="http://www.w3.org/2001/XMLSchema" xmlns:p="http://schemas.microsoft.com/office/2006/metadata/properties" xmlns:ns2="938da60d-4642-413d-85aa-e98b25a009ac" xmlns:ns3="9baeeacb-e513-4050-b326-d2145e9eb1ca" targetNamespace="http://schemas.microsoft.com/office/2006/metadata/properties" ma:root="true" ma:fieldsID="275f817f2ad96d0554193fb5d0e68d48" ns2:_="" ns3:_="">
    <xsd:import namespace="938da60d-4642-413d-85aa-e98b25a009ac"/>
    <xsd:import namespace="9baeeacb-e513-4050-b326-d2145e9eb1c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8da60d-4642-413d-85aa-e98b25a009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ildmarkierungen" ma:readOnly="false" ma:fieldId="{5cf76f15-5ced-4ddc-b409-7134ff3c332f}" ma:taxonomyMulti="true" ma:sspId="1a14e36f-e084-4b04-bba6-548b1473dca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aeeacb-e513-4050-b326-d2145e9eb1c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a96d2ee-de58-4e75-a6ca-1ac75aeec518}" ma:internalName="TaxCatchAll" ma:showField="CatchAllData" ma:web="9baeeacb-e513-4050-b326-d2145e9eb1c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baeeacb-e513-4050-b326-d2145e9eb1ca" xsi:nil="true"/>
    <lcf76f155ced4ddcb4097134ff3c332f xmlns="938da60d-4642-413d-85aa-e98b25a009a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DC68032-8436-49DC-9F76-4BE1DDE15772}"/>
</file>

<file path=customXml/itemProps2.xml><?xml version="1.0" encoding="utf-8"?>
<ds:datastoreItem xmlns:ds="http://schemas.openxmlformats.org/officeDocument/2006/customXml" ds:itemID="{FC2C02A7-60FD-49B8-958C-62498FB24294}"/>
</file>

<file path=customXml/itemProps3.xml><?xml version="1.0" encoding="utf-8"?>
<ds:datastoreItem xmlns:ds="http://schemas.openxmlformats.org/officeDocument/2006/customXml" ds:itemID="{F270B0AE-8EAE-4677-AACA-283964E82D9D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Output&gt;&gt;</vt:lpstr>
      <vt:lpstr>Output</vt:lpstr>
      <vt:lpstr>Edit&gt;&gt;</vt:lpstr>
      <vt:lpstr>ED_Freshwater</vt:lpstr>
      <vt:lpstr>Raw&gt;&gt;</vt:lpstr>
      <vt:lpstr>WB_WDI_ER_H2O_FWST_ZS_WIDEF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Rohkämper, Felix Balthasar</cp:lastModifiedBy>
  <dcterms:created xsi:type="dcterms:W3CDTF">2026-04-09T11:25:16Z</dcterms:created>
  <dcterms:modified xsi:type="dcterms:W3CDTF">2026-04-09T11:38:52Z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0x0101005BCB9ECB3B0DFE42A61CA68338208089</vt:lpwstr>
  </property>
</Properties>
</file>