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.sharepoint.com/sites/MasterThesis_hkmy77/Freigegebene Dokumente/General/03_Data/04_Variable Selection/Variables prepped/"/>
    </mc:Choice>
  </mc:AlternateContent>
  <xr:revisionPtr revIDLastSave="17" documentId="8_{2FB47942-7766-4C18-9EC0-F9AFC94C5902}" xr6:coauthVersionLast="47" xr6:coauthVersionMax="47" xr10:uidLastSave="{1CD040B4-3CA9-4447-A0F1-28E1F6889E1B}"/>
  <bookViews>
    <workbookView xWindow="-120" yWindow="-18120" windowWidth="29040" windowHeight="17520" xr2:uid="{00000000-000D-0000-FFFF-FFFF00000000}"/>
  </bookViews>
  <sheets>
    <sheet name="Output" sheetId="3" r:id="rId1"/>
    <sheet name="Raw&gt;&gt;" sheetId="2" r:id="rId2"/>
    <sheet name="Ease of Doing Busines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47" i="3"/>
  <c r="D8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4" i="3"/>
  <c r="D48" i="3"/>
  <c r="D49" i="3"/>
  <c r="D50" i="3"/>
  <c r="D51" i="3"/>
  <c r="D52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G46" i="3" s="1"/>
  <c r="D68" i="3"/>
  <c r="H46" i="3" s="1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7" i="3"/>
  <c r="G53" i="3"/>
  <c r="F43" i="3"/>
  <c r="F46" i="3"/>
  <c r="H45" i="3"/>
  <c r="D46" i="3" l="1"/>
  <c r="G69" i="3"/>
  <c r="F53" i="3" l="1"/>
  <c r="D53" i="3" s="1"/>
  <c r="G43" i="3"/>
  <c r="D43" i="3" s="1"/>
  <c r="G45" i="3"/>
  <c r="D45" i="3" s="1"/>
  <c r="F69" i="3"/>
  <c r="D69" i="3" s="1"/>
</calcChain>
</file>

<file path=xl/sharedStrings.xml><?xml version="1.0" encoding="utf-8"?>
<sst xmlns="http://schemas.openxmlformats.org/spreadsheetml/2006/main" count="456" uniqueCount="344">
  <si>
    <t>Economy</t>
  </si>
  <si>
    <t>DB 2019</t>
  </si>
  <si>
    <t>DB 2020</t>
  </si>
  <si>
    <t>Region</t>
  </si>
  <si>
    <t>East Asia &amp; Pacific</t>
  </si>
  <si>
    <t>Europe &amp; Central Asia</t>
  </si>
  <si>
    <t>Latin America &amp; Caribbean</t>
  </si>
  <si>
    <t>Middle East &amp; North Africa</t>
  </si>
  <si>
    <t>OECD high income</t>
  </si>
  <si>
    <t>South Asia</t>
  </si>
  <si>
    <t>Sub-Saharan Africa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</si>
  <si>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</si>
  <si>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</si>
  <si>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</si>
  <si>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</si>
  <si>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</si>
  <si>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</si>
  <si>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</si>
  <si>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</si>
  <si>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</si>
  <si>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</si>
  <si>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</si>
  <si>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</si>
  <si>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</si>
  <si>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Bangladesh - Chittagong</t>
  </si>
  <si>
    <t>Bangladesh - Dhaka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</si>
  <si>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</si>
  <si>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</si>
  <si>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</si>
  <si>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</si>
  <si>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</si>
  <si>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</si>
  <si>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</si>
  <si>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</si>
  <si>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</si>
  <si>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</si>
  <si>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Brazil - Rio de Janeiro</t>
  </si>
  <si>
    <t>Brazil - São Paulo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</si>
  <si>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</si>
  <si>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</si>
  <si>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</si>
  <si>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</si>
  <si>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</si>
  <si>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</si>
  <si>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</si>
  <si>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</si>
  <si>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</si>
  <si>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</si>
  <si>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</si>
  <si>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</si>
  <si>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- Beijing</t>
  </si>
  <si>
    <t>China - Shanghai</t>
  </si>
  <si>
    <t>Colombia</t>
  </si>
  <si>
    <t>Comoros</t>
  </si>
  <si>
    <t>Congo, Rep.</t>
  </si>
  <si>
    <t>Costa Rica</t>
  </si>
  <si>
    <t>Côte d'Ivoire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</si>
  <si>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</si>
  <si>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</si>
  <si>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</si>
  <si>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</si>
  <si>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</si>
  <si>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</si>
  <si>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</si>
  <si>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</si>
  <si>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</si>
  <si>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</si>
  <si>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</si>
  <si>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</si>
  <si>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</si>
  <si>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</si>
  <si>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</si>
  <si>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</si>
  <si>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</si>
  <si>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</si>
  <si>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</si>
  <si>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</si>
  <si>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</si>
  <si>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</si>
  <si>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</si>
  <si>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</si>
  <si>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</si>
  <si>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</si>
  <si>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</si>
  <si>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</si>
  <si>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</si>
  <si>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</si>
  <si>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</si>
  <si>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</si>
  <si>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</si>
  <si>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</si>
  <si>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India - Delhi</t>
  </si>
  <si>
    <t>India - Mumbai</t>
  </si>
  <si>
    <t>Indonesia</t>
  </si>
  <si>
    <t>Indonesia - Jakarta</t>
  </si>
  <si>
    <t>Indonesia - Surabaya</t>
  </si>
  <si>
    <t>Iraq</t>
  </si>
  <si>
    <t>Ireland</t>
  </si>
  <si>
    <t>Israel</t>
  </si>
  <si>
    <t>Italy</t>
  </si>
  <si>
    <t>Jamaica</t>
  </si>
  <si>
    <t>Japan</t>
  </si>
  <si>
    <t>Japan - Osaka</t>
  </si>
  <si>
    <t>Japan - Tokyo</t>
  </si>
  <si>
    <t>Jordan</t>
  </si>
  <si>
    <t>Kazakhstan</t>
  </si>
  <si>
    <t>Kenya</t>
  </si>
  <si>
    <t>Kiribati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</si>
  <si>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</si>
  <si>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</si>
  <si>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</si>
  <si>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</si>
  <si>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</si>
  <si>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</si>
  <si>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</si>
  <si>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</si>
  <si>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</si>
  <si>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Liechtenstein*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</si>
  <si>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</si>
  <si>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</si>
  <si>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</si>
  <si>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</si>
  <si>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</si>
  <si>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</si>
  <si>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</si>
  <si>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</si>
  <si>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</si>
  <si>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</si>
  <si>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</si>
  <si>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</si>
  <si>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Mexico - Mexico City</t>
  </si>
  <si>
    <t>Mexico - Monterrey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</si>
  <si>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</si>
  <si>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</si>
  <si>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</si>
  <si>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</si>
  <si>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</si>
  <si>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</si>
  <si>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</si>
  <si>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</si>
  <si>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</si>
  <si>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</si>
  <si>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</si>
  <si>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</si>
  <si>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</si>
  <si>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</si>
  <si>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Nigeria - Kano</t>
  </si>
  <si>
    <t>Nigeria - Lagos</t>
  </si>
  <si>
    <t>North Macedonia</t>
  </si>
  <si>
    <t>Norway</t>
  </si>
  <si>
    <t>Oman</t>
  </si>
  <si>
    <t>Pakistan</t>
  </si>
  <si>
    <t>Pakistan - Karachi</t>
  </si>
  <si>
    <t>Pakistan - Lahore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</si>
  <si>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</si>
  <si>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</si>
  <si>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</si>
  <si>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</si>
  <si>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</si>
  <si>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</si>
  <si>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</si>
  <si>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</si>
  <si>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</si>
  <si>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</si>
  <si>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</si>
  <si>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 - Moscow</t>
  </si>
  <si>
    <t>Russian Federation - Saint Petersburg</t>
  </si>
  <si>
    <t>Rwanda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</si>
  <si>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</si>
  <si>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</si>
  <si>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</si>
  <si>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</si>
  <si>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</si>
  <si>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</si>
  <si>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</si>
  <si>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</si>
  <si>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</si>
  <si>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</si>
  <si>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</si>
  <si>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</si>
  <si>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</si>
  <si>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</si>
  <si>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</si>
  <si>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</si>
  <si>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</si>
  <si>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</si>
  <si>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</si>
  <si>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</si>
  <si>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</si>
  <si>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</si>
  <si>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</si>
  <si>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</si>
  <si>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</si>
  <si>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</si>
  <si>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</si>
  <si>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</si>
  <si>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</si>
  <si>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</si>
  <si>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</si>
  <si>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</si>
  <si>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Uganda</t>
  </si>
  <si>
    <t>Ukraine</t>
  </si>
  <si>
    <t>United Arab Emirates</t>
  </si>
  <si>
    <t>United Kingdom</t>
  </si>
  <si>
    <t>United States</t>
  </si>
  <si>
    <t>United States - Los Angeles</t>
  </si>
  <si>
    <t>United States - New York City</t>
  </si>
  <si>
    <t>Uruguay</t>
  </si>
  <si>
    <t>Uzbekistan</t>
  </si>
  <si>
    <t>Vanuatu</t>
  </si>
  <si>
    <t>Venezuela, RB</t>
  </si>
  <si>
    <t>West Bank and Gaza</t>
  </si>
  <si>
    <t>Yemen, Rep.</t>
  </si>
  <si>
    <t>Zambia</t>
  </si>
  <si>
    <t>Zimbabwe</t>
  </si>
  <si>
    <t>NLD</t>
  </si>
  <si>
    <t>NOR</t>
  </si>
  <si>
    <t>SWE</t>
  </si>
  <si>
    <t>ESP</t>
  </si>
  <si>
    <t>USA</t>
  </si>
  <si>
    <t>JPN</t>
  </si>
  <si>
    <t>CHE</t>
  </si>
  <si>
    <t>DEU</t>
  </si>
  <si>
    <t>GBR</t>
  </si>
  <si>
    <t>DNK</t>
  </si>
  <si>
    <t>AUT</t>
  </si>
  <si>
    <t>CHN</t>
  </si>
  <si>
    <t>CAN</t>
  </si>
  <si>
    <t>EST</t>
  </si>
  <si>
    <t>FRA</t>
  </si>
  <si>
    <t>MYS</t>
  </si>
  <si>
    <t>AUS</t>
  </si>
  <si>
    <t>POL</t>
  </si>
  <si>
    <t>FIN</t>
  </si>
  <si>
    <t>SGP</t>
  </si>
  <si>
    <t>THA</t>
  </si>
  <si>
    <t>ITA</t>
  </si>
  <si>
    <t>CRI</t>
  </si>
  <si>
    <t>CHL</t>
  </si>
  <si>
    <t>BEL</t>
  </si>
  <si>
    <t>IND</t>
  </si>
  <si>
    <t>GRC</t>
  </si>
  <si>
    <t>ISL</t>
  </si>
  <si>
    <t>TUR</t>
  </si>
  <si>
    <t>ARG</t>
  </si>
  <si>
    <t>IRN</t>
  </si>
  <si>
    <t>NZL</t>
  </si>
  <si>
    <t>BOL</t>
  </si>
  <si>
    <t>PRT</t>
  </si>
  <si>
    <t>LBN</t>
  </si>
  <si>
    <t>MRT</t>
  </si>
  <si>
    <t>PRT
ESP</t>
  </si>
  <si>
    <t>SAU</t>
  </si>
  <si>
    <t>ROM
DEU
AUT</t>
  </si>
  <si>
    <t>POL
CZE
SVK
HUN</t>
  </si>
  <si>
    <t>COK</t>
  </si>
  <si>
    <t>ZAF</t>
  </si>
  <si>
    <t>ARE</t>
  </si>
  <si>
    <t>OMN</t>
  </si>
  <si>
    <t>URY</t>
  </si>
  <si>
    <t>PRY</t>
  </si>
  <si>
    <t>ESP
FRA</t>
  </si>
  <si>
    <t>KOR</t>
  </si>
  <si>
    <t>MAR</t>
  </si>
  <si>
    <t>ALB</t>
  </si>
  <si>
    <t>IDN</t>
  </si>
  <si>
    <t>BRB</t>
  </si>
  <si>
    <t>TTO</t>
  </si>
  <si>
    <t>BGD</t>
  </si>
  <si>
    <t>BRA</t>
  </si>
  <si>
    <t>HUN</t>
  </si>
  <si>
    <t>TWN</t>
  </si>
  <si>
    <t>MEX</t>
  </si>
  <si>
    <t>VNM</t>
  </si>
  <si>
    <t>SVN</t>
  </si>
  <si>
    <t>CZE</t>
  </si>
  <si>
    <t>SVK</t>
  </si>
  <si>
    <t>DEU
DNK</t>
  </si>
  <si>
    <t>LTU</t>
  </si>
  <si>
    <t>LVA</t>
  </si>
  <si>
    <t>IRL</t>
  </si>
  <si>
    <t>PER</t>
  </si>
  <si>
    <t>RUS</t>
  </si>
  <si>
    <t>COL</t>
  </si>
  <si>
    <t>KAZ</t>
  </si>
  <si>
    <t>EGY</t>
  </si>
  <si>
    <t>ZWE</t>
  </si>
  <si>
    <t>NAM</t>
  </si>
  <si>
    <t>KEN</t>
  </si>
  <si>
    <t>BWA</t>
  </si>
  <si>
    <t>PAK</t>
  </si>
  <si>
    <t>COD</t>
  </si>
  <si>
    <t>AGO</t>
  </si>
  <si>
    <t>BGR</t>
  </si>
  <si>
    <t>LUX</t>
  </si>
  <si>
    <t>ROU</t>
  </si>
  <si>
    <t>LKA</t>
  </si>
  <si>
    <t>NER</t>
  </si>
  <si>
    <t>UKR</t>
  </si>
  <si>
    <t>DJI</t>
  </si>
  <si>
    <t>UZB</t>
  </si>
  <si>
    <t>PAN</t>
  </si>
  <si>
    <t>MNG</t>
  </si>
  <si>
    <t>DMA</t>
  </si>
  <si>
    <t>JOR</t>
  </si>
  <si>
    <t>MOZ</t>
  </si>
  <si>
    <t>DOM</t>
  </si>
  <si>
    <t>QAT</t>
  </si>
  <si>
    <t>SRB</t>
  </si>
  <si>
    <t>PHL</t>
  </si>
  <si>
    <t>FJI</t>
  </si>
  <si>
    <t>UGA</t>
  </si>
  <si>
    <t>CYP</t>
  </si>
  <si>
    <t>HRV</t>
  </si>
  <si>
    <t>TUN</t>
  </si>
  <si>
    <t>DZA</t>
  </si>
  <si>
    <t>BHR</t>
  </si>
  <si>
    <t>ISR</t>
  </si>
  <si>
    <t>GAB</t>
  </si>
  <si>
    <t>NGA</t>
  </si>
  <si>
    <t>LCA</t>
  </si>
  <si>
    <t>Ease of doing business per country</t>
  </si>
  <si>
    <t>ISO</t>
  </si>
  <si>
    <t>Country</t>
  </si>
  <si>
    <t>Value</t>
  </si>
  <si>
    <t>Türkiye</t>
  </si>
  <si>
    <t>Islamic Republic of Iran</t>
  </si>
  <si>
    <t>Korea</t>
  </si>
  <si>
    <t>Saint Lucia</t>
  </si>
  <si>
    <t>Approach:</t>
  </si>
  <si>
    <t>Helper 1</t>
  </si>
  <si>
    <t>Helper 2</t>
  </si>
  <si>
    <t>Helper 3</t>
  </si>
  <si>
    <t>Country Helper 1</t>
  </si>
  <si>
    <t>Country Helper 2</t>
  </si>
  <si>
    <t>Country Helper 3</t>
  </si>
  <si>
    <t>ROM</t>
  </si>
  <si>
    <t>Viet Nam</t>
  </si>
  <si>
    <t>Chinese Taipei</t>
  </si>
  <si>
    <t>Russia</t>
  </si>
  <si>
    <t>Egypt</t>
  </si>
  <si>
    <t>Democratic Republic of the Congo</t>
  </si>
  <si>
    <t>Xlookup the countries from the database - if not found, then manually add name. When more than one country, average the score. Cook Islands were set to level of St. Lucia.</t>
  </si>
  <si>
    <t>Cook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</si>
</sst>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3" fillId="0" borderId="1" applyNumberFormat="0" applyFill="0" applyAlignment="0" applyProtection="0"/>
    <xf numFmtId="0" fontId="5" fillId="4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1"/>
    <xf numFmtId="0" fontId="4" fillId="4" borderId="0" xfId="2" applyFont="1"/>
    <xf numFmtId="0" fontId="0" fillId="5" borderId="0" xfId="0" applyFill="1"/>
    <xf numFmtId="0" fontId="2" fillId="3" borderId="0" xfId="0" applyFont="1" applyFill="1"/>
    <xf numFmtId="0" fontId="0" fillId="0" borderId="0" xfId="0"/>
  </cellXfs>
  <cellStyles count="3">
    <cellStyle name="Accent1" xfId="2" builtinId="29"/>
    <cellStyle name="Heading 1" xfId="1" builtinId="1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D273-9A92-4E5B-A0E6-749CDC23F16F}">
  <dimension ref="B2:L112"/>
  <sheetViews>
    <sheetView showGridLines="0" tabSelected="1" zoomScale="85" zoomScaleNormal="85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D6" sqref="D6"/>
    </sheetView>
  </sheetViews>
  <sheetFormatPr defaultRowHeight="14.4" outlineLevelCol="1" x14ac:dyDescent="0.3"/>
  <cols>
    <col min="1" max="1" width="2.44140625" customWidth="1"/>
    <col min="2" max="2" width="42.77734375" bestFit="1" customWidth="1"/>
    <col min="3" max="3" width="30.6640625" bestFit="1" customWidth="1"/>
    <col min="4" max="4" width="30.77734375" customWidth="1"/>
    <col min="6" max="6" width="10.44140625" customWidth="1" outlineLevel="1"/>
    <col min="7" max="8" width="10.77734375" customWidth="1" outlineLevel="1"/>
    <col min="9" max="9" width="8.88671875" customWidth="1" outlineLevel="1"/>
    <col min="10" max="12" width="15.5546875" customWidth="1" outlineLevel="1"/>
  </cols>
  <sheetData>
    <row r="2" spans="2:12" ht="20.399999999999999" thickBot="1" x14ac:dyDescent="0.45">
      <c r="B2" s="3" t="s">
        <v>321</v>
      </c>
      <c r="C2" s="3"/>
      <c r="D2" s="3"/>
      <c r="E2" s="3"/>
      <c r="F2" s="3"/>
      <c r="G2" s="3"/>
      <c r="H2" s="3"/>
      <c r="I2" s="3"/>
      <c r="J2" s="3"/>
    </row>
    <row r="3" spans="2:12" ht="15" thickTop="1" x14ac:dyDescent="0.3"/>
    <row r="4" spans="2:12" x14ac:dyDescent="0.3">
      <c r="B4" t="s">
        <v>329</v>
      </c>
      <c r="C4" t="s">
        <v>342</v>
      </c>
    </row>
    <row r="6" spans="2:12" x14ac:dyDescent="0.3">
      <c r="B6" s="4" t="s">
        <v>322</v>
      </c>
      <c r="C6" s="4" t="s">
        <v>323</v>
      </c>
      <c r="D6" s="4" t="s">
        <v>324</v>
      </c>
      <c r="F6" s="4" t="s">
        <v>330</v>
      </c>
      <c r="G6" s="4" t="s">
        <v>331</v>
      </c>
      <c r="H6" s="4" t="s">
        <v>332</v>
      </c>
      <c r="J6" s="4" t="s">
        <v>333</v>
      </c>
      <c r="K6" s="4" t="s">
        <v>334</v>
      </c>
      <c r="L6" s="4" t="s">
        <v>335</v>
      </c>
    </row>
    <row r="7" spans="2:12" x14ac:dyDescent="0.3">
      <c r="B7" t="s">
        <v>215</v>
      </c>
      <c r="C7" t="s">
        <v>141</v>
      </c>
      <c r="D7">
        <f>IFERROR(_xlfn.XLOOKUP(C7,'Ease of Doing Business'!$B$11:$B$223,'Ease of Doing Business'!$D$11:$D$223,"N/A",0,1),AVERAGE(F7:H7))</f>
        <v>76.099999999999994</v>
      </c>
    </row>
    <row r="8" spans="2:12" x14ac:dyDescent="0.3">
      <c r="B8" t="s">
        <v>216</v>
      </c>
      <c r="C8" t="s">
        <v>149</v>
      </c>
      <c r="D8">
        <f>IFERROR(_xlfn.XLOOKUP(C8,'Ease of Doing Business'!$B$11:$B$223,'Ease of Doing Business'!$D$11:$D$223,"N/A",0,1),AVERAGE(F8:H8))</f>
        <v>82.6</v>
      </c>
    </row>
    <row r="9" spans="2:12" x14ac:dyDescent="0.3">
      <c r="B9" t="s">
        <v>217</v>
      </c>
      <c r="C9" t="s">
        <v>189</v>
      </c>
      <c r="D9">
        <f>IFERROR(_xlfn.XLOOKUP(C9,'Ease of Doing Business'!$B$11:$B$223,'Ease of Doing Business'!$D$11:$D$223,"N/A",0,1),AVERAGE(F9:H9))</f>
        <v>82</v>
      </c>
    </row>
    <row r="10" spans="2:12" x14ac:dyDescent="0.3">
      <c r="B10" t="s">
        <v>218</v>
      </c>
      <c r="C10" t="s">
        <v>183</v>
      </c>
      <c r="D10">
        <f>IFERROR(_xlfn.XLOOKUP(C10,'Ease of Doing Business'!$B$11:$B$223,'Ease of Doing Business'!$D$11:$D$223,"N/A",0,1),AVERAGE(F10:H10))</f>
        <v>77.900000000000006</v>
      </c>
    </row>
    <row r="11" spans="2:12" x14ac:dyDescent="0.3">
      <c r="B11" t="s">
        <v>219</v>
      </c>
      <c r="C11" t="s">
        <v>204</v>
      </c>
      <c r="D11">
        <f>IFERROR(_xlfn.XLOOKUP(C11,'Ease of Doing Business'!$B$11:$B$223,'Ease of Doing Business'!$D$11:$D$223,"N/A",0,1),AVERAGE(F11:H11))</f>
        <v>84</v>
      </c>
    </row>
    <row r="12" spans="2:12" x14ac:dyDescent="0.3">
      <c r="B12" t="s">
        <v>220</v>
      </c>
      <c r="C12" t="s">
        <v>101</v>
      </c>
      <c r="D12">
        <f>IFERROR(_xlfn.XLOOKUP(C12,'Ease of Doing Business'!$B$11:$B$223,'Ease of Doing Business'!$D$11:$D$223,"N/A",0,1),AVERAGE(F12:H12))</f>
        <v>78</v>
      </c>
    </row>
    <row r="13" spans="2:12" x14ac:dyDescent="0.3">
      <c r="B13" t="s">
        <v>221</v>
      </c>
      <c r="C13" t="s">
        <v>190</v>
      </c>
      <c r="D13">
        <f>IFERROR(_xlfn.XLOOKUP(C13,'Ease of Doing Business'!$B$11:$B$223,'Ease of Doing Business'!$D$11:$D$223,"N/A",0,1),AVERAGE(F13:H13))</f>
        <v>76.599999999999994</v>
      </c>
    </row>
    <row r="14" spans="2:12" x14ac:dyDescent="0.3">
      <c r="B14" t="s">
        <v>222</v>
      </c>
      <c r="C14" t="s">
        <v>77</v>
      </c>
      <c r="D14">
        <f>IFERROR(_xlfn.XLOOKUP(C14,'Ease of Doing Business'!$B$11:$B$223,'Ease of Doing Business'!$D$11:$D$223,"N/A",0,1),AVERAGE(F14:H14))</f>
        <v>79.7</v>
      </c>
    </row>
    <row r="15" spans="2:12" x14ac:dyDescent="0.3">
      <c r="B15" t="s">
        <v>223</v>
      </c>
      <c r="C15" t="s">
        <v>203</v>
      </c>
      <c r="D15">
        <f>IFERROR(_xlfn.XLOOKUP(C15,'Ease of Doing Business'!$B$11:$B$223,'Ease of Doing Business'!$D$11:$D$223,"N/A",0,1),AVERAGE(F15:H15))</f>
        <v>83.5</v>
      </c>
    </row>
    <row r="16" spans="2:12" x14ac:dyDescent="0.3">
      <c r="B16" t="s">
        <v>224</v>
      </c>
      <c r="C16" t="s">
        <v>60</v>
      </c>
      <c r="D16">
        <f>IFERROR(_xlfn.XLOOKUP(C16,'Ease of Doing Business'!$B$11:$B$223,'Ease of Doing Business'!$D$11:$D$223,"N/A",0,1),AVERAGE(F16:H16))</f>
        <v>85.3</v>
      </c>
    </row>
    <row r="17" spans="2:4" x14ac:dyDescent="0.3">
      <c r="B17" t="s">
        <v>225</v>
      </c>
      <c r="C17" t="s">
        <v>19</v>
      </c>
      <c r="D17">
        <f>IFERROR(_xlfn.XLOOKUP(C17,'Ease of Doing Business'!$B$11:$B$223,'Ease of Doing Business'!$D$11:$D$223,"N/A",0,1),AVERAGE(F17:H17))</f>
        <v>78.7</v>
      </c>
    </row>
    <row r="18" spans="2:4" x14ac:dyDescent="0.3">
      <c r="B18" t="s">
        <v>226</v>
      </c>
      <c r="C18" t="s">
        <v>49</v>
      </c>
      <c r="D18">
        <f>IFERROR(_xlfn.XLOOKUP(C18,'Ease of Doing Business'!$B$11:$B$223,'Ease of Doing Business'!$D$11:$D$223,"N/A",0,1),AVERAGE(F18:H18))</f>
        <v>77.900000000000006</v>
      </c>
    </row>
    <row r="19" spans="2:4" x14ac:dyDescent="0.3">
      <c r="B19" t="s">
        <v>227</v>
      </c>
      <c r="C19" t="s">
        <v>45</v>
      </c>
      <c r="D19">
        <f>IFERROR(_xlfn.XLOOKUP(C19,'Ease of Doing Business'!$B$11:$B$223,'Ease of Doing Business'!$D$11:$D$223,"N/A",0,1),AVERAGE(F19:H19))</f>
        <v>79.599999999999994</v>
      </c>
    </row>
    <row r="20" spans="2:4" x14ac:dyDescent="0.3">
      <c r="B20" t="s">
        <v>228</v>
      </c>
      <c r="C20" t="s">
        <v>68</v>
      </c>
      <c r="D20">
        <f>IFERROR(_xlfn.XLOOKUP(C20,'Ease of Doing Business'!$B$11:$B$223,'Ease of Doing Business'!$D$11:$D$223,"N/A",0,1),AVERAGE(F20:H20))</f>
        <v>80.599999999999994</v>
      </c>
    </row>
    <row r="21" spans="2:4" x14ac:dyDescent="0.3">
      <c r="B21" t="s">
        <v>229</v>
      </c>
      <c r="C21" t="s">
        <v>73</v>
      </c>
      <c r="D21">
        <f>IFERROR(_xlfn.XLOOKUP(C21,'Ease of Doing Business'!$B$11:$B$223,'Ease of Doing Business'!$D$11:$D$223,"N/A",0,1),AVERAGE(F21:H21))</f>
        <v>76.8</v>
      </c>
    </row>
    <row r="22" spans="2:4" x14ac:dyDescent="0.3">
      <c r="B22" t="s">
        <v>230</v>
      </c>
      <c r="C22" t="s">
        <v>122</v>
      </c>
      <c r="D22">
        <f>IFERROR(_xlfn.XLOOKUP(C22,'Ease of Doing Business'!$B$11:$B$223,'Ease of Doing Business'!$D$11:$D$223,"N/A",0,1),AVERAGE(F22:H22))</f>
        <v>81.5</v>
      </c>
    </row>
    <row r="23" spans="2:4" x14ac:dyDescent="0.3">
      <c r="B23" t="s">
        <v>231</v>
      </c>
      <c r="C23" t="s">
        <v>18</v>
      </c>
      <c r="D23">
        <f>IFERROR(_xlfn.XLOOKUP(C23,'Ease of Doing Business'!$B$11:$B$223,'Ease of Doing Business'!$D$11:$D$223,"N/A",0,1),AVERAGE(F23:H23))</f>
        <v>81.2</v>
      </c>
    </row>
    <row r="24" spans="2:4" x14ac:dyDescent="0.3">
      <c r="B24" t="s">
        <v>232</v>
      </c>
      <c r="C24" t="s">
        <v>160</v>
      </c>
      <c r="D24">
        <f>IFERROR(_xlfn.XLOOKUP(C24,'Ease of Doing Business'!$B$11:$B$223,'Ease of Doing Business'!$D$11:$D$223,"N/A",0,1),AVERAGE(F24:H24))</f>
        <v>76.400000000000006</v>
      </c>
    </row>
    <row r="25" spans="2:4" x14ac:dyDescent="0.3">
      <c r="B25" t="s">
        <v>233</v>
      </c>
      <c r="C25" t="s">
        <v>72</v>
      </c>
      <c r="D25">
        <f>IFERROR(_xlfn.XLOOKUP(C25,'Ease of Doing Business'!$B$11:$B$223,'Ease of Doing Business'!$D$11:$D$223,"N/A",0,1),AVERAGE(F25:H25))</f>
        <v>80.2</v>
      </c>
    </row>
    <row r="26" spans="2:4" x14ac:dyDescent="0.3">
      <c r="B26" t="s">
        <v>234</v>
      </c>
      <c r="C26" t="s">
        <v>176</v>
      </c>
      <c r="D26">
        <f>IFERROR(_xlfn.XLOOKUP(C26,'Ease of Doing Business'!$B$11:$B$223,'Ease of Doing Business'!$D$11:$D$223,"N/A",0,1),AVERAGE(F26:H26))</f>
        <v>86.2</v>
      </c>
    </row>
    <row r="27" spans="2:4" x14ac:dyDescent="0.3">
      <c r="B27" t="s">
        <v>235</v>
      </c>
      <c r="C27" t="s">
        <v>194</v>
      </c>
      <c r="D27">
        <f>IFERROR(_xlfn.XLOOKUP(C27,'Ease of Doing Business'!$B$11:$B$223,'Ease of Doing Business'!$D$11:$D$223,"N/A",0,1),AVERAGE(F27:H27))</f>
        <v>80.099999999999994</v>
      </c>
    </row>
    <row r="28" spans="2:4" x14ac:dyDescent="0.3">
      <c r="B28" t="s">
        <v>236</v>
      </c>
      <c r="C28" t="s">
        <v>99</v>
      </c>
      <c r="D28">
        <f>IFERROR(_xlfn.XLOOKUP(C28,'Ease of Doing Business'!$B$11:$B$223,'Ease of Doing Business'!$D$11:$D$223,"N/A",0,1),AVERAGE(F28:H28))</f>
        <v>72.900000000000006</v>
      </c>
    </row>
    <row r="29" spans="2:4" x14ac:dyDescent="0.3">
      <c r="B29" t="s">
        <v>237</v>
      </c>
      <c r="C29" t="s">
        <v>55</v>
      </c>
      <c r="D29">
        <f>IFERROR(_xlfn.XLOOKUP(C29,'Ease of Doing Business'!$B$11:$B$223,'Ease of Doing Business'!$D$11:$D$223,"N/A",0,1),AVERAGE(F29:H29))</f>
        <v>69.2</v>
      </c>
    </row>
    <row r="30" spans="2:4" x14ac:dyDescent="0.3">
      <c r="B30" t="s">
        <v>238</v>
      </c>
      <c r="C30" t="s">
        <v>48</v>
      </c>
      <c r="D30">
        <f>IFERROR(_xlfn.XLOOKUP(C30,'Ease of Doing Business'!$B$11:$B$223,'Ease of Doing Business'!$D$11:$D$223,"N/A",0,1),AVERAGE(F30:H30))</f>
        <v>72.599999999999994</v>
      </c>
    </row>
    <row r="31" spans="2:4" x14ac:dyDescent="0.3">
      <c r="B31" t="s">
        <v>239</v>
      </c>
      <c r="C31" t="s">
        <v>28</v>
      </c>
      <c r="D31">
        <f>IFERROR(_xlfn.XLOOKUP(C31,'Ease of Doing Business'!$B$11:$B$223,'Ease of Doing Business'!$D$11:$D$223,"N/A",0,1),AVERAGE(F31:H31))</f>
        <v>75</v>
      </c>
    </row>
    <row r="32" spans="2:4" x14ac:dyDescent="0.3">
      <c r="B32" t="s">
        <v>240</v>
      </c>
      <c r="C32" t="s">
        <v>90</v>
      </c>
      <c r="D32">
        <f>IFERROR(_xlfn.XLOOKUP(C32,'Ease of Doing Business'!$B$11:$B$223,'Ease of Doing Business'!$D$11:$D$223,"N/A",0,1),AVERAGE(F32:H32))</f>
        <v>71</v>
      </c>
    </row>
    <row r="33" spans="2:12" x14ac:dyDescent="0.3">
      <c r="B33" t="s">
        <v>241</v>
      </c>
      <c r="C33" t="s">
        <v>79</v>
      </c>
      <c r="D33">
        <f>IFERROR(_xlfn.XLOOKUP(C33,'Ease of Doing Business'!$B$11:$B$223,'Ease of Doing Business'!$D$11:$D$223,"N/A",0,1),AVERAGE(F33:H33))</f>
        <v>68.400000000000006</v>
      </c>
    </row>
    <row r="34" spans="2:12" x14ac:dyDescent="0.3">
      <c r="B34" t="s">
        <v>242</v>
      </c>
      <c r="C34" t="s">
        <v>89</v>
      </c>
      <c r="D34">
        <f>IFERROR(_xlfn.XLOOKUP(C34,'Ease of Doing Business'!$B$11:$B$223,'Ease of Doing Business'!$D$11:$D$223,"N/A",0,1),AVERAGE(F34:H34))</f>
        <v>79</v>
      </c>
    </row>
    <row r="35" spans="2:12" x14ac:dyDescent="0.3">
      <c r="B35" t="s">
        <v>243</v>
      </c>
      <c r="C35" t="s">
        <v>325</v>
      </c>
      <c r="D35">
        <f>IFERROR(_xlfn.XLOOKUP(C35,'Ease of Doing Business'!$B$11:$B$223,'Ease of Doing Business'!$D$11:$D$223,"N/A",0,1),AVERAGE(F35:H35))</f>
        <v>76.8</v>
      </c>
    </row>
    <row r="36" spans="2:12" x14ac:dyDescent="0.3">
      <c r="B36" t="s">
        <v>244</v>
      </c>
      <c r="C36" t="s">
        <v>16</v>
      </c>
      <c r="D36">
        <f>IFERROR(_xlfn.XLOOKUP(C36,'Ease of Doing Business'!$B$11:$B$223,'Ease of Doing Business'!$D$11:$D$223,"N/A",0,1),AVERAGE(F36:H36))</f>
        <v>59</v>
      </c>
    </row>
    <row r="37" spans="2:12" x14ac:dyDescent="0.3">
      <c r="B37" t="s">
        <v>245</v>
      </c>
      <c r="C37" t="s">
        <v>326</v>
      </c>
      <c r="D37">
        <f>IFERROR(_xlfn.XLOOKUP(C37,'Ease of Doing Business'!$B$11:$B$223,'Ease of Doing Business'!$D$11:$D$223,"N/A",0,1),AVERAGE(F37:H37))</f>
        <v>58.5</v>
      </c>
    </row>
    <row r="38" spans="2:12" x14ac:dyDescent="0.3">
      <c r="B38" t="s">
        <v>246</v>
      </c>
      <c r="C38" t="s">
        <v>142</v>
      </c>
      <c r="D38">
        <f>IFERROR(_xlfn.XLOOKUP(C38,'Ease of Doing Business'!$B$11:$B$223,'Ease of Doing Business'!$D$11:$D$223,"N/A",0,1),AVERAGE(F38:H38))</f>
        <v>86.8</v>
      </c>
    </row>
    <row r="39" spans="2:12" x14ac:dyDescent="0.3">
      <c r="B39" t="s">
        <v>247</v>
      </c>
      <c r="C39" t="s">
        <v>32</v>
      </c>
      <c r="D39">
        <f>IFERROR(_xlfn.XLOOKUP(C39,'Ease of Doing Business'!$B$11:$B$223,'Ease of Doing Business'!$D$11:$D$223,"N/A",0,1),AVERAGE(F39:H39))</f>
        <v>51.7</v>
      </c>
    </row>
    <row r="40" spans="2:12" x14ac:dyDescent="0.3">
      <c r="B40" t="s">
        <v>248</v>
      </c>
      <c r="C40" t="s">
        <v>161</v>
      </c>
      <c r="D40">
        <f>IFERROR(_xlfn.XLOOKUP(C40,'Ease of Doing Business'!$B$11:$B$223,'Ease of Doing Business'!$D$11:$D$223,"N/A",0,1),AVERAGE(F40:H40))</f>
        <v>76.5</v>
      </c>
    </row>
    <row r="41" spans="2:12" x14ac:dyDescent="0.3">
      <c r="B41" t="s">
        <v>249</v>
      </c>
      <c r="C41" t="s">
        <v>113</v>
      </c>
      <c r="D41">
        <f>IFERROR(_xlfn.XLOOKUP(C41,'Ease of Doing Business'!$B$11:$B$223,'Ease of Doing Business'!$D$11:$D$223,"N/A",0,1),AVERAGE(F41:H41))</f>
        <v>54.3</v>
      </c>
    </row>
    <row r="42" spans="2:12" x14ac:dyDescent="0.3">
      <c r="B42" t="s">
        <v>250</v>
      </c>
      <c r="C42" t="s">
        <v>127</v>
      </c>
      <c r="D42">
        <f>IFERROR(_xlfn.XLOOKUP(C42,'Ease of Doing Business'!$B$11:$B$223,'Ease of Doing Business'!$D$11:$D$223,"N/A",0,1),AVERAGE(F42:H42))</f>
        <v>51.1</v>
      </c>
    </row>
    <row r="43" spans="2:12" x14ac:dyDescent="0.3">
      <c r="B43" s="5" t="s">
        <v>251</v>
      </c>
      <c r="C43" t="e">
        <v>#N/A</v>
      </c>
      <c r="D43">
        <f>IFERROR(_xlfn.XLOOKUP(C43,'Ease of Doing Business'!$B$11:$B$223,'Ease of Doing Business'!$D$11:$D$223,"N/A",0,1),AVERAGE(F43:H43))</f>
        <v>77.2</v>
      </c>
      <c r="F43">
        <f>_xlfn.XLOOKUP(J43,$B$7:$B$112,$D$7:$D$112)</f>
        <v>76.5</v>
      </c>
      <c r="G43">
        <f>_xlfn.XLOOKUP(K43,$B$7:$B$112,$D$7:$D$112)</f>
        <v>77.900000000000006</v>
      </c>
      <c r="J43" t="s">
        <v>248</v>
      </c>
      <c r="K43" t="s">
        <v>218</v>
      </c>
    </row>
    <row r="44" spans="2:12" x14ac:dyDescent="0.3">
      <c r="B44" t="s">
        <v>252</v>
      </c>
      <c r="C44" t="s">
        <v>171</v>
      </c>
      <c r="D44">
        <f>IFERROR(_xlfn.XLOOKUP(C44,'Ease of Doing Business'!$B$11:$B$223,'Ease of Doing Business'!$D$11:$D$223,"N/A",0,1),AVERAGE(F44:H44))</f>
        <v>71.599999999999994</v>
      </c>
    </row>
    <row r="45" spans="2:12" x14ac:dyDescent="0.3">
      <c r="B45" s="5" t="s">
        <v>253</v>
      </c>
      <c r="C45" t="e">
        <v>#N/A</v>
      </c>
      <c r="D45">
        <f>IFERROR(_xlfn.XLOOKUP(C45,'Ease of Doing Business'!$B$11:$B$223,'Ease of Doing Business'!$D$11:$D$223,"N/A",0,1),AVERAGE(F45:H45))</f>
        <v>79.2</v>
      </c>
      <c r="G45">
        <f t="shared" ref="G45:H46" si="0">_xlfn.XLOOKUP(K45,$B$7:$B$112,$D$7:$D$112)</f>
        <v>79.7</v>
      </c>
      <c r="H45">
        <f t="shared" si="0"/>
        <v>78.7</v>
      </c>
      <c r="J45" t="s">
        <v>336</v>
      </c>
      <c r="K45" t="s">
        <v>222</v>
      </c>
      <c r="L45" t="s">
        <v>225</v>
      </c>
    </row>
    <row r="46" spans="2:12" x14ac:dyDescent="0.3">
      <c r="B46" s="5" t="s">
        <v>254</v>
      </c>
      <c r="C46" t="e">
        <v>#N/A</v>
      </c>
      <c r="D46">
        <f>IFERROR(_xlfn.XLOOKUP(C46,'Ease of Doing Business'!$B$11:$B$223,'Ease of Doing Business'!$D$11:$D$223,"N/A",0,1),AVERAGE(F46:H46))</f>
        <v>76.099999999999994</v>
      </c>
      <c r="F46">
        <f t="shared" ref="F46" si="1">_xlfn.XLOOKUP(J46,$B$7:$B$112,$D$7:$D$112)</f>
        <v>76.400000000000006</v>
      </c>
      <c r="G46">
        <f t="shared" si="0"/>
        <v>76.3</v>
      </c>
      <c r="H46">
        <f t="shared" si="0"/>
        <v>75.599999999999994</v>
      </c>
      <c r="J46" t="s">
        <v>232</v>
      </c>
      <c r="K46" t="s">
        <v>275</v>
      </c>
      <c r="L46" t="s">
        <v>276</v>
      </c>
    </row>
    <row r="47" spans="2:12" x14ac:dyDescent="0.3">
      <c r="B47" s="5" t="s">
        <v>255</v>
      </c>
      <c r="C47" s="5" t="s">
        <v>343</v>
      </c>
      <c r="D47">
        <f>D112</f>
        <v>63.7</v>
      </c>
    </row>
    <row r="48" spans="2:12" x14ac:dyDescent="0.3">
      <c r="B48" t="s">
        <v>256</v>
      </c>
      <c r="C48" s="5" t="s">
        <v>181</v>
      </c>
      <c r="D48">
        <f>IFERROR(_xlfn.XLOOKUP(C48,'Ease of Doing Business'!$B$11:$B$223,'Ease of Doing Business'!$D$11:$D$223,"N/A",0,1),AVERAGE(F48:H48))</f>
        <v>67</v>
      </c>
    </row>
    <row r="49" spans="2:11" x14ac:dyDescent="0.3">
      <c r="B49" t="s">
        <v>257</v>
      </c>
      <c r="C49" t="s">
        <v>202</v>
      </c>
      <c r="D49">
        <f>IFERROR(_xlfn.XLOOKUP(C49,'Ease of Doing Business'!$B$11:$B$223,'Ease of Doing Business'!$D$11:$D$223,"N/A",0,1),AVERAGE(F49:H49))</f>
        <v>80.900000000000006</v>
      </c>
    </row>
    <row r="50" spans="2:11" x14ac:dyDescent="0.3">
      <c r="B50" t="s">
        <v>258</v>
      </c>
      <c r="C50" t="s">
        <v>150</v>
      </c>
      <c r="D50">
        <f>IFERROR(_xlfn.XLOOKUP(C50,'Ease of Doing Business'!$B$11:$B$223,'Ease of Doing Business'!$D$11:$D$223,"N/A",0,1),AVERAGE(F50:H50))</f>
        <v>70</v>
      </c>
    </row>
    <row r="51" spans="2:11" x14ac:dyDescent="0.3">
      <c r="B51" t="s">
        <v>259</v>
      </c>
      <c r="C51" t="s">
        <v>207</v>
      </c>
      <c r="D51">
        <f>IFERROR(_xlfn.XLOOKUP(C51,'Ease of Doing Business'!$B$11:$B$223,'Ease of Doing Business'!$D$11:$D$223,"N/A",0,1),AVERAGE(F51:H51))</f>
        <v>61.5</v>
      </c>
    </row>
    <row r="52" spans="2:11" x14ac:dyDescent="0.3">
      <c r="B52" t="s">
        <v>260</v>
      </c>
      <c r="C52" t="s">
        <v>157</v>
      </c>
      <c r="D52">
        <f>IFERROR(_xlfn.XLOOKUP(C52,'Ease of Doing Business'!$B$11:$B$223,'Ease of Doing Business'!$D$11:$D$223,"N/A",0,1),AVERAGE(F52:H52))</f>
        <v>59.1</v>
      </c>
    </row>
    <row r="53" spans="2:11" x14ac:dyDescent="0.3">
      <c r="B53" t="s">
        <v>261</v>
      </c>
      <c r="C53" t="e">
        <v>#N/A</v>
      </c>
      <c r="D53">
        <f>IFERROR(_xlfn.XLOOKUP(C53,'Ease of Doing Business'!$B$11:$B$223,'Ease of Doing Business'!$D$11:$D$223,"N/A",0,1),AVERAGE(F53:H53))</f>
        <v>77.349999999999994</v>
      </c>
      <c r="F53">
        <f t="shared" ref="F53" si="2">_xlfn.XLOOKUP(J53,$B$7:$B$112,$D$7:$D$112)</f>
        <v>77.900000000000006</v>
      </c>
      <c r="G53">
        <f t="shared" ref="G53" si="3">_xlfn.XLOOKUP(K53,$B$7:$B$112,$D$7:$D$112)</f>
        <v>76.8</v>
      </c>
      <c r="J53" t="s">
        <v>218</v>
      </c>
      <c r="K53" t="s">
        <v>229</v>
      </c>
    </row>
    <row r="54" spans="2:11" x14ac:dyDescent="0.3">
      <c r="B54" t="s">
        <v>262</v>
      </c>
      <c r="C54" t="s">
        <v>327</v>
      </c>
      <c r="D54">
        <f>IFERROR(_xlfn.XLOOKUP(C54,'Ease of Doing Business'!$B$11:$B$223,'Ease of Doing Business'!$D$11:$D$223,"N/A",0,1),AVERAGE(F54:H54))</f>
        <v>84</v>
      </c>
    </row>
    <row r="55" spans="2:11" x14ac:dyDescent="0.3">
      <c r="B55" t="s">
        <v>263</v>
      </c>
      <c r="C55" t="s">
        <v>136</v>
      </c>
      <c r="D55">
        <f>IFERROR(_xlfn.XLOOKUP(C55,'Ease of Doing Business'!$B$11:$B$223,'Ease of Doing Business'!$D$11:$D$223,"N/A",0,1),AVERAGE(F55:H55))</f>
        <v>73.400000000000006</v>
      </c>
    </row>
    <row r="56" spans="2:11" x14ac:dyDescent="0.3">
      <c r="B56" t="s">
        <v>264</v>
      </c>
      <c r="C56" t="s">
        <v>12</v>
      </c>
      <c r="D56">
        <f>IFERROR(_xlfn.XLOOKUP(C56,'Ease of Doing Business'!$B$11:$B$223,'Ease of Doing Business'!$D$11:$D$223,"N/A",0,1),AVERAGE(F56:H56))</f>
        <v>67.7</v>
      </c>
    </row>
    <row r="57" spans="2:11" x14ac:dyDescent="0.3">
      <c r="B57" t="s">
        <v>265</v>
      </c>
      <c r="C57" t="s">
        <v>93</v>
      </c>
      <c r="D57">
        <f>IFERROR(_xlfn.XLOOKUP(C57,'Ease of Doing Business'!$B$11:$B$223,'Ease of Doing Business'!$D$11:$D$223,"N/A",0,1),AVERAGE(F57:H57))</f>
        <v>69.599999999999994</v>
      </c>
    </row>
    <row r="58" spans="2:11" x14ac:dyDescent="0.3">
      <c r="B58" t="s">
        <v>266</v>
      </c>
      <c r="C58" t="s">
        <v>26</v>
      </c>
      <c r="D58">
        <f>IFERROR(_xlfn.XLOOKUP(C58,'Ease of Doing Business'!$B$11:$B$223,'Ease of Doing Business'!$D$11:$D$223,"N/A",0,1),AVERAGE(F58:H58))</f>
        <v>57.9</v>
      </c>
    </row>
    <row r="59" spans="2:11" x14ac:dyDescent="0.3">
      <c r="B59" t="s">
        <v>267</v>
      </c>
      <c r="C59" t="s">
        <v>198</v>
      </c>
      <c r="D59">
        <f>IFERROR(_xlfn.XLOOKUP(C59,'Ease of Doing Business'!$B$11:$B$223,'Ease of Doing Business'!$D$11:$D$223,"N/A",0,1),AVERAGE(F59:H59))</f>
        <v>61.3</v>
      </c>
    </row>
    <row r="60" spans="2:11" x14ac:dyDescent="0.3">
      <c r="B60" t="s">
        <v>268</v>
      </c>
      <c r="C60" t="s">
        <v>23</v>
      </c>
      <c r="D60">
        <f>IFERROR(_xlfn.XLOOKUP(C60,'Ease of Doing Business'!$B$11:$B$223,'Ease of Doing Business'!$D$11:$D$223,"N/A",0,1),AVERAGE(F60:H60))</f>
        <v>45</v>
      </c>
    </row>
    <row r="61" spans="2:11" x14ac:dyDescent="0.3">
      <c r="B61" t="s">
        <v>269</v>
      </c>
      <c r="C61" t="s">
        <v>35</v>
      </c>
      <c r="D61">
        <f>IFERROR(_xlfn.XLOOKUP(C61,'Ease of Doing Business'!$B$11:$B$223,'Ease of Doing Business'!$D$11:$D$223,"N/A",0,1),AVERAGE(F61:H61))</f>
        <v>59.1</v>
      </c>
    </row>
    <row r="62" spans="2:11" x14ac:dyDescent="0.3">
      <c r="B62" t="s">
        <v>270</v>
      </c>
      <c r="C62" t="s">
        <v>88</v>
      </c>
      <c r="D62">
        <f>IFERROR(_xlfn.XLOOKUP(C62,'Ease of Doing Business'!$B$11:$B$223,'Ease of Doing Business'!$D$11:$D$223,"N/A",0,1),AVERAGE(F62:H62))</f>
        <v>73.400000000000006</v>
      </c>
    </row>
    <row r="63" spans="2:11" x14ac:dyDescent="0.3">
      <c r="B63" t="s">
        <v>271</v>
      </c>
      <c r="C63" t="s">
        <v>338</v>
      </c>
      <c r="D63">
        <f>IFERROR(_xlfn.XLOOKUP(C63,'Ease of Doing Business'!$B$11:$B$223,'Ease of Doing Business'!$D$11:$D$223,"N/A",0,1),AVERAGE(F63:H63))</f>
        <v>80.900000000000006</v>
      </c>
    </row>
    <row r="64" spans="2:11" x14ac:dyDescent="0.3">
      <c r="B64" t="s">
        <v>272</v>
      </c>
      <c r="C64" t="s">
        <v>129</v>
      </c>
      <c r="D64">
        <f>IFERROR(_xlfn.XLOOKUP(C64,'Ease of Doing Business'!$B$11:$B$223,'Ease of Doing Business'!$D$11:$D$223,"N/A",0,1),AVERAGE(F64:H64))</f>
        <v>72.400000000000006</v>
      </c>
    </row>
    <row r="65" spans="2:11" x14ac:dyDescent="0.3">
      <c r="B65" t="s">
        <v>273</v>
      </c>
      <c r="C65" t="s">
        <v>337</v>
      </c>
      <c r="D65">
        <f>IFERROR(_xlfn.XLOOKUP(C65,'Ease of Doing Business'!$B$11:$B$223,'Ease of Doing Business'!$D$11:$D$223,"N/A",0,1),AVERAGE(F65:H65))</f>
        <v>69.8</v>
      </c>
    </row>
    <row r="66" spans="2:11" x14ac:dyDescent="0.3">
      <c r="B66" t="s">
        <v>274</v>
      </c>
      <c r="C66" t="s">
        <v>178</v>
      </c>
      <c r="D66">
        <f>IFERROR(_xlfn.XLOOKUP(C66,'Ease of Doing Business'!$B$11:$B$223,'Ease of Doing Business'!$D$11:$D$223,"N/A",0,1),AVERAGE(F66:H66))</f>
        <v>76.5</v>
      </c>
    </row>
    <row r="67" spans="2:11" x14ac:dyDescent="0.3">
      <c r="B67" t="s">
        <v>275</v>
      </c>
      <c r="C67" t="s">
        <v>59</v>
      </c>
      <c r="D67">
        <f>IFERROR(_xlfn.XLOOKUP(C67,'Ease of Doing Business'!$B$11:$B$223,'Ease of Doing Business'!$D$11:$D$223,"N/A",0,1),AVERAGE(F67:H67))</f>
        <v>76.3</v>
      </c>
    </row>
    <row r="68" spans="2:11" x14ac:dyDescent="0.3">
      <c r="B68" t="s">
        <v>276</v>
      </c>
      <c r="C68" t="s">
        <v>177</v>
      </c>
      <c r="D68">
        <f>IFERROR(_xlfn.XLOOKUP(C68,'Ease of Doing Business'!$B$11:$B$223,'Ease of Doing Business'!$D$11:$D$223,"N/A",0,1),AVERAGE(F68:H68))</f>
        <v>75.599999999999994</v>
      </c>
    </row>
    <row r="69" spans="2:11" x14ac:dyDescent="0.3">
      <c r="B69" s="5" t="s">
        <v>277</v>
      </c>
      <c r="C69" t="e">
        <v>#N/A</v>
      </c>
      <c r="D69">
        <f>IFERROR(_xlfn.XLOOKUP(C69,'Ease of Doing Business'!$B$11:$B$223,'Ease of Doing Business'!$D$11:$D$223,"N/A",0,1),AVERAGE(F69:H69))</f>
        <v>82.5</v>
      </c>
      <c r="F69">
        <f t="shared" ref="F69" si="4">_xlfn.XLOOKUP(J69,$B$7:$B$112,$D$7:$D$112)</f>
        <v>79.7</v>
      </c>
      <c r="G69">
        <f t="shared" ref="G69" si="5">_xlfn.XLOOKUP(K69,$B$7:$B$112,$D$7:$D$112)</f>
        <v>85.3</v>
      </c>
      <c r="J69" t="s">
        <v>222</v>
      </c>
      <c r="K69" t="s">
        <v>224</v>
      </c>
    </row>
    <row r="70" spans="2:11" x14ac:dyDescent="0.3">
      <c r="B70" t="s">
        <v>278</v>
      </c>
      <c r="C70" t="s">
        <v>118</v>
      </c>
      <c r="D70">
        <f>IFERROR(_xlfn.XLOOKUP(C70,'Ease of Doing Business'!$B$11:$B$223,'Ease of Doing Business'!$D$11:$D$223,"N/A",0,1),AVERAGE(F70:H70))</f>
        <v>81.599999999999994</v>
      </c>
    </row>
    <row r="71" spans="2:11" x14ac:dyDescent="0.3">
      <c r="B71" t="s">
        <v>279</v>
      </c>
      <c r="C71" t="s">
        <v>112</v>
      </c>
      <c r="D71">
        <f>IFERROR(_xlfn.XLOOKUP(C71,'Ease of Doing Business'!$B$11:$B$223,'Ease of Doing Business'!$D$11:$D$223,"N/A",0,1),AVERAGE(F71:H71))</f>
        <v>80.3</v>
      </c>
    </row>
    <row r="72" spans="2:11" x14ac:dyDescent="0.3">
      <c r="B72" t="s">
        <v>280</v>
      </c>
      <c r="C72" t="s">
        <v>97</v>
      </c>
      <c r="D72">
        <f>IFERROR(_xlfn.XLOOKUP(C72,'Ease of Doing Business'!$B$11:$B$223,'Ease of Doing Business'!$D$11:$D$223,"N/A",0,1),AVERAGE(F72:H72))</f>
        <v>79.599999999999994</v>
      </c>
    </row>
    <row r="73" spans="2:11" x14ac:dyDescent="0.3">
      <c r="B73" t="s">
        <v>281</v>
      </c>
      <c r="C73" t="s">
        <v>158</v>
      </c>
      <c r="D73">
        <f>IFERROR(_xlfn.XLOOKUP(C73,'Ease of Doing Business'!$B$11:$B$223,'Ease of Doing Business'!$D$11:$D$223,"N/A",0,1),AVERAGE(F73:H73))</f>
        <v>68.7</v>
      </c>
    </row>
    <row r="74" spans="2:11" x14ac:dyDescent="0.3">
      <c r="B74" t="s">
        <v>282</v>
      </c>
      <c r="C74" t="s">
        <v>339</v>
      </c>
      <c r="D74">
        <f>IFERROR(_xlfn.XLOOKUP(C74,'Ease of Doing Business'!$B$11:$B$223,'Ease of Doing Business'!$D$11:$D$223,"N/A",0,1),AVERAGE(F74:H74))</f>
        <v>78.2</v>
      </c>
    </row>
    <row r="75" spans="2:11" x14ac:dyDescent="0.3">
      <c r="B75" t="s">
        <v>283</v>
      </c>
      <c r="C75" t="s">
        <v>52</v>
      </c>
      <c r="D75">
        <f>IFERROR(_xlfn.XLOOKUP(C75,'Ease of Doing Business'!$B$11:$B$223,'Ease of Doing Business'!$D$11:$D$223,"N/A",0,1),AVERAGE(F75:H75))</f>
        <v>70.099999999999994</v>
      </c>
    </row>
    <row r="76" spans="2:11" x14ac:dyDescent="0.3">
      <c r="B76" t="s">
        <v>284</v>
      </c>
      <c r="C76" t="s">
        <v>105</v>
      </c>
      <c r="D76">
        <f>IFERROR(_xlfn.XLOOKUP(C76,'Ease of Doing Business'!$B$11:$B$223,'Ease of Doing Business'!$D$11:$D$223,"N/A",0,1),AVERAGE(F76:H76))</f>
        <v>79.599999999999994</v>
      </c>
    </row>
    <row r="77" spans="2:11" x14ac:dyDescent="0.3">
      <c r="B77" t="s">
        <v>285</v>
      </c>
      <c r="C77" t="s">
        <v>340</v>
      </c>
      <c r="D77">
        <f>IFERROR(_xlfn.XLOOKUP(C77,'Ease of Doing Business'!$B$11:$B$223,'Ease of Doing Business'!$D$11:$D$223,"N/A",0,1),AVERAGE(F77:H77))</f>
        <v>60.1</v>
      </c>
    </row>
    <row r="78" spans="2:11" x14ac:dyDescent="0.3">
      <c r="B78" t="s">
        <v>286</v>
      </c>
      <c r="C78" t="s">
        <v>214</v>
      </c>
      <c r="D78">
        <f>IFERROR(_xlfn.XLOOKUP(C78,'Ease of Doing Business'!$B$11:$B$223,'Ease of Doing Business'!$D$11:$D$223,"N/A",0,1),AVERAGE(F78:H78))</f>
        <v>54.5</v>
      </c>
    </row>
    <row r="79" spans="2:11" x14ac:dyDescent="0.3">
      <c r="B79" t="s">
        <v>287</v>
      </c>
      <c r="C79" t="s">
        <v>139</v>
      </c>
      <c r="D79">
        <f>IFERROR(_xlfn.XLOOKUP(C79,'Ease of Doing Business'!$B$11:$B$223,'Ease of Doing Business'!$D$11:$D$223,"N/A",0,1),AVERAGE(F79:H79))</f>
        <v>61.4</v>
      </c>
    </row>
    <row r="80" spans="2:11" x14ac:dyDescent="0.3">
      <c r="B80" t="s">
        <v>288</v>
      </c>
      <c r="C80" t="s">
        <v>106</v>
      </c>
      <c r="D80">
        <f>IFERROR(_xlfn.XLOOKUP(C80,'Ease of Doing Business'!$B$11:$B$223,'Ease of Doing Business'!$D$11:$D$223,"N/A",0,1),AVERAGE(F80:H80))</f>
        <v>73.2</v>
      </c>
    </row>
    <row r="81" spans="2:4" x14ac:dyDescent="0.3">
      <c r="B81" t="s">
        <v>289</v>
      </c>
      <c r="C81" t="s">
        <v>34</v>
      </c>
      <c r="D81">
        <f>IFERROR(_xlfn.XLOOKUP(C81,'Ease of Doing Business'!$B$11:$B$223,'Ease of Doing Business'!$D$11:$D$223,"N/A",0,1),AVERAGE(F81:H81))</f>
        <v>66.2</v>
      </c>
    </row>
    <row r="82" spans="2:4" x14ac:dyDescent="0.3">
      <c r="B82" t="s">
        <v>290</v>
      </c>
      <c r="C82" t="s">
        <v>151</v>
      </c>
      <c r="D82">
        <f>IFERROR(_xlfn.XLOOKUP(C82,'Ease of Doing Business'!$B$11:$B$223,'Ease of Doing Business'!$D$11:$D$223,"N/A",0,1),AVERAGE(F82:H82))</f>
        <v>61</v>
      </c>
    </row>
    <row r="83" spans="2:4" x14ac:dyDescent="0.3">
      <c r="B83" t="s">
        <v>291</v>
      </c>
      <c r="C83" t="s">
        <v>341</v>
      </c>
      <c r="D83">
        <f>IFERROR(_xlfn.XLOOKUP(C83,'Ease of Doing Business'!$B$11:$B$223,'Ease of Doing Business'!$D$11:$D$223,"N/A",0,1),AVERAGE(F83:H83))</f>
        <v>36.200000000000003</v>
      </c>
    </row>
    <row r="84" spans="2:4" x14ac:dyDescent="0.3">
      <c r="B84" t="s">
        <v>292</v>
      </c>
      <c r="C84" t="s">
        <v>14</v>
      </c>
      <c r="D84">
        <f>IFERROR(_xlfn.XLOOKUP(C84,'Ease of Doing Business'!$B$11:$B$223,'Ease of Doing Business'!$D$11:$D$223,"N/A",0,1),AVERAGE(F84:H84))</f>
        <v>41.3</v>
      </c>
    </row>
    <row r="85" spans="2:4" x14ac:dyDescent="0.3">
      <c r="B85" t="s">
        <v>293</v>
      </c>
      <c r="C85" t="s">
        <v>39</v>
      </c>
      <c r="D85">
        <f>IFERROR(_xlfn.XLOOKUP(C85,'Ease of Doing Business'!$B$11:$B$223,'Ease of Doing Business'!$D$11:$D$223,"N/A",0,1),AVERAGE(F85:H85))</f>
        <v>72</v>
      </c>
    </row>
    <row r="86" spans="2:4" x14ac:dyDescent="0.3">
      <c r="B86" t="s">
        <v>294</v>
      </c>
      <c r="C86" t="s">
        <v>119</v>
      </c>
      <c r="D86">
        <f>IFERROR(_xlfn.XLOOKUP(C86,'Ease of Doing Business'!$B$11:$B$223,'Ease of Doing Business'!$D$11:$D$223,"N/A",0,1),AVERAGE(F86:H86))</f>
        <v>69.599999999999994</v>
      </c>
    </row>
    <row r="87" spans="2:4" x14ac:dyDescent="0.3">
      <c r="B87" t="s">
        <v>295</v>
      </c>
      <c r="C87" t="s">
        <v>164</v>
      </c>
      <c r="D87">
        <f>IFERROR(_xlfn.XLOOKUP(C87,'Ease of Doing Business'!$B$11:$B$223,'Ease of Doing Business'!$D$11:$D$223,"N/A",0,1),AVERAGE(F87:H87))</f>
        <v>73.3</v>
      </c>
    </row>
    <row r="88" spans="2:4" x14ac:dyDescent="0.3">
      <c r="B88" t="s">
        <v>296</v>
      </c>
      <c r="C88" t="s">
        <v>184</v>
      </c>
      <c r="D88">
        <f>IFERROR(_xlfn.XLOOKUP(C88,'Ease of Doing Business'!$B$11:$B$223,'Ease of Doing Business'!$D$11:$D$223,"N/A",0,1),AVERAGE(F88:H88))</f>
        <v>61.8</v>
      </c>
    </row>
    <row r="89" spans="2:4" x14ac:dyDescent="0.3">
      <c r="B89" t="s">
        <v>297</v>
      </c>
      <c r="C89" t="s">
        <v>144</v>
      </c>
      <c r="D89">
        <f>IFERROR(_xlfn.XLOOKUP(C89,'Ease of Doing Business'!$B$11:$B$223,'Ease of Doing Business'!$D$11:$D$223,"N/A",0,1),AVERAGE(F89:H89))</f>
        <v>56.8</v>
      </c>
    </row>
    <row r="90" spans="2:4" x14ac:dyDescent="0.3">
      <c r="B90" t="s">
        <v>298</v>
      </c>
      <c r="C90" t="s">
        <v>201</v>
      </c>
      <c r="D90">
        <f>IFERROR(_xlfn.XLOOKUP(C90,'Ease of Doing Business'!$B$11:$B$223,'Ease of Doing Business'!$D$11:$D$223,"N/A",0,1),AVERAGE(F90:H90))</f>
        <v>70.2</v>
      </c>
    </row>
    <row r="91" spans="2:4" x14ac:dyDescent="0.3">
      <c r="B91" t="s">
        <v>299</v>
      </c>
      <c r="C91" t="s">
        <v>61</v>
      </c>
      <c r="D91">
        <f>IFERROR(_xlfn.XLOOKUP(C91,'Ease of Doing Business'!$B$11:$B$223,'Ease of Doing Business'!$D$11:$D$223,"N/A",0,1),AVERAGE(F91:H91))</f>
        <v>60.5</v>
      </c>
    </row>
    <row r="92" spans="2:4" x14ac:dyDescent="0.3">
      <c r="B92" t="s">
        <v>300</v>
      </c>
      <c r="C92" t="s">
        <v>208</v>
      </c>
      <c r="D92">
        <f>IFERROR(_xlfn.XLOOKUP(C92,'Ease of Doing Business'!$B$11:$B$223,'Ease of Doing Business'!$D$11:$D$223,"N/A",0,1),AVERAGE(F92:H92))</f>
        <v>69.900000000000006</v>
      </c>
    </row>
    <row r="93" spans="2:4" x14ac:dyDescent="0.3">
      <c r="B93" t="s">
        <v>301</v>
      </c>
      <c r="C93" t="s">
        <v>155</v>
      </c>
      <c r="D93">
        <f>IFERROR(_xlfn.XLOOKUP(C93,'Ease of Doing Business'!$B$11:$B$223,'Ease of Doing Business'!$D$11:$D$223,"N/A",0,1),AVERAGE(F93:H93))</f>
        <v>66.599999999999994</v>
      </c>
    </row>
    <row r="94" spans="2:4" x14ac:dyDescent="0.3">
      <c r="B94" t="s">
        <v>302</v>
      </c>
      <c r="C94" t="s">
        <v>134</v>
      </c>
      <c r="D94">
        <f>IFERROR(_xlfn.XLOOKUP(C94,'Ease of Doing Business'!$B$11:$B$223,'Ease of Doing Business'!$D$11:$D$223,"N/A",0,1),AVERAGE(F94:H94))</f>
        <v>67.8</v>
      </c>
    </row>
    <row r="95" spans="2:4" x14ac:dyDescent="0.3">
      <c r="B95" t="s">
        <v>303</v>
      </c>
      <c r="C95" t="s">
        <v>62</v>
      </c>
      <c r="D95">
        <f>IFERROR(_xlfn.XLOOKUP(C95,'Ease of Doing Business'!$B$11:$B$223,'Ease of Doing Business'!$D$11:$D$223,"N/A",0,1),AVERAGE(F95:H95))</f>
        <v>60.5</v>
      </c>
    </row>
    <row r="96" spans="2:4" x14ac:dyDescent="0.3">
      <c r="B96" t="s">
        <v>304</v>
      </c>
      <c r="C96" t="s">
        <v>104</v>
      </c>
      <c r="D96">
        <f>IFERROR(_xlfn.XLOOKUP(C96,'Ease of Doing Business'!$B$11:$B$223,'Ease of Doing Business'!$D$11:$D$223,"N/A",0,1),AVERAGE(F96:H96))</f>
        <v>69</v>
      </c>
    </row>
    <row r="97" spans="2:4" x14ac:dyDescent="0.3">
      <c r="B97" t="s">
        <v>305</v>
      </c>
      <c r="C97" t="s">
        <v>137</v>
      </c>
      <c r="D97">
        <f>IFERROR(_xlfn.XLOOKUP(C97,'Ease of Doing Business'!$B$11:$B$223,'Ease of Doing Business'!$D$11:$D$223,"N/A",0,1),AVERAGE(F97:H97))</f>
        <v>55</v>
      </c>
    </row>
    <row r="98" spans="2:4" x14ac:dyDescent="0.3">
      <c r="B98" t="s">
        <v>306</v>
      </c>
      <c r="C98" t="s">
        <v>63</v>
      </c>
      <c r="D98">
        <f>IFERROR(_xlfn.XLOOKUP(C98,'Ease of Doing Business'!$B$11:$B$223,'Ease of Doing Business'!$D$11:$D$223,"N/A",0,1),AVERAGE(F98:H98))</f>
        <v>60</v>
      </c>
    </row>
    <row r="99" spans="2:4" x14ac:dyDescent="0.3">
      <c r="B99" t="s">
        <v>307</v>
      </c>
      <c r="C99" t="s">
        <v>163</v>
      </c>
      <c r="D99">
        <f>IFERROR(_xlfn.XLOOKUP(C99,'Ease of Doing Business'!$B$11:$B$223,'Ease of Doing Business'!$D$11:$D$223,"N/A",0,1),AVERAGE(F99:H99))</f>
        <v>68.7</v>
      </c>
    </row>
    <row r="100" spans="2:4" x14ac:dyDescent="0.3">
      <c r="B100" t="s">
        <v>308</v>
      </c>
      <c r="C100" t="s">
        <v>173</v>
      </c>
      <c r="D100">
        <f>IFERROR(_xlfn.XLOOKUP(C100,'Ease of Doing Business'!$B$11:$B$223,'Ease of Doing Business'!$D$11:$D$223,"N/A",0,1),AVERAGE(F100:H100))</f>
        <v>75.7</v>
      </c>
    </row>
    <row r="101" spans="2:4" x14ac:dyDescent="0.3">
      <c r="B101" t="s">
        <v>309</v>
      </c>
      <c r="C101" t="s">
        <v>159</v>
      </c>
      <c r="D101">
        <f>IFERROR(_xlfn.XLOOKUP(C101,'Ease of Doing Business'!$B$11:$B$223,'Ease of Doing Business'!$D$11:$D$223,"N/A",0,1),AVERAGE(F101:H101))</f>
        <v>62.8</v>
      </c>
    </row>
    <row r="102" spans="2:4" x14ac:dyDescent="0.3">
      <c r="B102" t="s">
        <v>310</v>
      </c>
      <c r="C102" t="s">
        <v>71</v>
      </c>
      <c r="D102">
        <f>IFERROR(_xlfn.XLOOKUP(C102,'Ease of Doing Business'!$B$11:$B$223,'Ease of Doing Business'!$D$11:$D$223,"N/A",0,1),AVERAGE(F102:H102))</f>
        <v>61.5</v>
      </c>
    </row>
    <row r="103" spans="2:4" x14ac:dyDescent="0.3">
      <c r="B103" t="s">
        <v>311</v>
      </c>
      <c r="C103" t="s">
        <v>200</v>
      </c>
      <c r="D103">
        <f>IFERROR(_xlfn.XLOOKUP(C103,'Ease of Doing Business'!$B$11:$B$223,'Ease of Doing Business'!$D$11:$D$223,"N/A",0,1),AVERAGE(F103:H103))</f>
        <v>60</v>
      </c>
    </row>
    <row r="104" spans="2:4" x14ac:dyDescent="0.3">
      <c r="B104" t="s">
        <v>312</v>
      </c>
      <c r="C104" t="s">
        <v>58</v>
      </c>
      <c r="D104">
        <f>IFERROR(_xlfn.XLOOKUP(C104,'Ease of Doing Business'!$B$11:$B$223,'Ease of Doing Business'!$D$11:$D$223,"N/A",0,1),AVERAGE(F104:H104))</f>
        <v>73.400000000000006</v>
      </c>
    </row>
    <row r="105" spans="2:4" x14ac:dyDescent="0.3">
      <c r="B105" t="s">
        <v>313</v>
      </c>
      <c r="C105" t="s">
        <v>57</v>
      </c>
      <c r="D105">
        <f>IFERROR(_xlfn.XLOOKUP(C105,'Ease of Doing Business'!$B$11:$B$223,'Ease of Doing Business'!$D$11:$D$223,"N/A",0,1),AVERAGE(F105:H105))</f>
        <v>73.599999999999994</v>
      </c>
    </row>
    <row r="106" spans="2:4" x14ac:dyDescent="0.3">
      <c r="B106" t="s">
        <v>314</v>
      </c>
      <c r="C106" t="s">
        <v>199</v>
      </c>
      <c r="D106">
        <f>IFERROR(_xlfn.XLOOKUP(C106,'Ease of Doing Business'!$B$11:$B$223,'Ease of Doing Business'!$D$11:$D$223,"N/A",0,1),AVERAGE(F106:H106))</f>
        <v>68.7</v>
      </c>
    </row>
    <row r="107" spans="2:4" x14ac:dyDescent="0.3">
      <c r="B107" t="s">
        <v>315</v>
      </c>
      <c r="C107" t="s">
        <v>13</v>
      </c>
      <c r="D107">
        <f>IFERROR(_xlfn.XLOOKUP(C107,'Ease of Doing Business'!$B$11:$B$223,'Ease of Doing Business'!$D$11:$D$223,"N/A",0,1),AVERAGE(F107:H107))</f>
        <v>48.6</v>
      </c>
    </row>
    <row r="108" spans="2:4" x14ac:dyDescent="0.3">
      <c r="B108" t="s">
        <v>316</v>
      </c>
      <c r="C108" t="s">
        <v>22</v>
      </c>
      <c r="D108">
        <f>IFERROR(_xlfn.XLOOKUP(C108,'Ease of Doing Business'!$B$11:$B$223,'Ease of Doing Business'!$D$11:$D$223,"N/A",0,1),AVERAGE(F108:H108))</f>
        <v>76</v>
      </c>
    </row>
    <row r="109" spans="2:4" x14ac:dyDescent="0.3">
      <c r="B109" t="s">
        <v>317</v>
      </c>
      <c r="C109" t="s">
        <v>98</v>
      </c>
      <c r="D109">
        <f>IFERROR(_xlfn.XLOOKUP(C109,'Ease of Doing Business'!$B$11:$B$223,'Ease of Doing Business'!$D$11:$D$223,"N/A",0,1),AVERAGE(F109:H109))</f>
        <v>76.7</v>
      </c>
    </row>
    <row r="110" spans="2:4" x14ac:dyDescent="0.3">
      <c r="B110" t="s">
        <v>318</v>
      </c>
      <c r="C110" t="s">
        <v>74</v>
      </c>
      <c r="D110">
        <f>IFERROR(_xlfn.XLOOKUP(C110,'Ease of Doing Business'!$B$11:$B$223,'Ease of Doing Business'!$D$11:$D$223,"N/A",0,1),AVERAGE(F110:H110))</f>
        <v>45</v>
      </c>
    </row>
    <row r="111" spans="2:4" x14ac:dyDescent="0.3">
      <c r="B111" t="s">
        <v>319</v>
      </c>
      <c r="C111" t="s">
        <v>145</v>
      </c>
      <c r="D111">
        <f>IFERROR(_xlfn.XLOOKUP(C111,'Ease of Doing Business'!$B$11:$B$223,'Ease of Doing Business'!$D$11:$D$223,"N/A",0,1),AVERAGE(F111:H111))</f>
        <v>56.9</v>
      </c>
    </row>
    <row r="112" spans="2:4" x14ac:dyDescent="0.3">
      <c r="B112" t="s">
        <v>320</v>
      </c>
      <c r="C112" t="s">
        <v>328</v>
      </c>
      <c r="D112">
        <f>IFERROR(_xlfn.XLOOKUP(C112,'Ease of Doing Business'!$B$11:$B$223,'Ease of Doing Business'!$D$11:$D$223,"N/A",0,1),AVERAGE(F112:H112))</f>
        <v>63.7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6FFC-9E03-4F41-9C2A-777FC8C33D85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workbookViewId="0">
      <pane ySplit="1" topLeftCell="A162" activePane="bottomLeft" state="frozen"/>
      <selection pane="bottomLeft" activeCell="B182" sqref="B182"/>
    </sheetView>
  </sheetViews>
  <sheetFormatPr defaultRowHeight="15" customHeight="1" x14ac:dyDescent="0.3"/>
  <cols>
    <col min="1" max="1" width="2.77734375" customWidth="1"/>
    <col min="2" max="2" width="42.77734375" customWidth="1"/>
    <col min="3" max="4" width="21.33203125" customWidth="1"/>
  </cols>
  <sheetData>
    <row r="1" spans="1:4" ht="15" customHeight="1" x14ac:dyDescent="0.3">
      <c r="A1" s="1"/>
      <c r="B1" s="1" t="s">
        <v>0</v>
      </c>
      <c r="C1" s="1" t="s">
        <v>1</v>
      </c>
      <c r="D1" s="1" t="s">
        <v>2</v>
      </c>
    </row>
    <row r="2" spans="1:4" ht="15" customHeight="1" x14ac:dyDescent="0.3">
      <c r="A2" s="6" t="s">
        <v>3</v>
      </c>
      <c r="B2" s="7"/>
      <c r="C2" s="7"/>
      <c r="D2" s="7"/>
    </row>
    <row r="3" spans="1:4" ht="15" customHeight="1" x14ac:dyDescent="0.3">
      <c r="A3" s="2"/>
      <c r="B3" t="s">
        <v>4</v>
      </c>
      <c r="C3">
        <v>62.7</v>
      </c>
      <c r="D3">
        <v>63.3</v>
      </c>
    </row>
    <row r="4" spans="1:4" ht="15" customHeight="1" x14ac:dyDescent="0.3">
      <c r="A4" s="2"/>
      <c r="B4" t="s">
        <v>5</v>
      </c>
      <c r="C4">
        <v>71.8</v>
      </c>
      <c r="D4">
        <v>73.099999999999994</v>
      </c>
    </row>
    <row r="5" spans="1:4" ht="15" customHeight="1" x14ac:dyDescent="0.3">
      <c r="A5" s="2"/>
      <c r="B5" t="s">
        <v>6</v>
      </c>
      <c r="C5">
        <v>58.8</v>
      </c>
      <c r="D5">
        <v>59.1</v>
      </c>
    </row>
    <row r="6" spans="1:4" ht="15" customHeight="1" x14ac:dyDescent="0.3">
      <c r="A6" s="2"/>
      <c r="B6" t="s">
        <v>7</v>
      </c>
      <c r="C6">
        <v>58.4</v>
      </c>
      <c r="D6">
        <v>60.2</v>
      </c>
    </row>
    <row r="7" spans="1:4" ht="15" customHeight="1" x14ac:dyDescent="0.3">
      <c r="A7" s="2"/>
      <c r="B7" t="s">
        <v>8</v>
      </c>
      <c r="C7">
        <v>78.2</v>
      </c>
      <c r="D7">
        <v>78.400000000000006</v>
      </c>
    </row>
    <row r="8" spans="1:4" ht="15" customHeight="1" x14ac:dyDescent="0.3">
      <c r="A8" s="2"/>
      <c r="B8" t="s">
        <v>9</v>
      </c>
      <c r="C8">
        <v>56.3</v>
      </c>
      <c r="D8">
        <v>58.2</v>
      </c>
    </row>
    <row r="9" spans="1:4" ht="15" customHeight="1" x14ac:dyDescent="0.3">
      <c r="A9" s="2"/>
      <c r="B9" t="s">
        <v>10</v>
      </c>
      <c r="C9">
        <v>50.9</v>
      </c>
      <c r="D9">
        <v>51.8</v>
      </c>
    </row>
    <row r="10" spans="1:4" ht="15" customHeight="1" x14ac:dyDescent="0.3">
      <c r="A10" s="6" t="s">
        <v>0</v>
      </c>
      <c r="B10" s="7"/>
      <c r="C10" s="7"/>
      <c r="D10" s="7"/>
    </row>
    <row r="11" spans="1:4" ht="15" customHeight="1" x14ac:dyDescent="0.3">
      <c r="A11" s="2"/>
      <c r="B11" t="s">
        <v>11</v>
      </c>
      <c r="C11">
        <v>44.2</v>
      </c>
      <c r="D11">
        <v>44.1</v>
      </c>
    </row>
    <row r="12" spans="1:4" ht="15" customHeight="1" x14ac:dyDescent="0.3">
      <c r="A12" s="2"/>
      <c r="B12" t="s">
        <v>12</v>
      </c>
      <c r="C12">
        <v>67</v>
      </c>
      <c r="D12">
        <v>67.7</v>
      </c>
    </row>
    <row r="13" spans="1:4" ht="15" customHeight="1" x14ac:dyDescent="0.3">
      <c r="A13" s="2"/>
      <c r="B13" t="s">
        <v>13</v>
      </c>
      <c r="C13">
        <v>48.5</v>
      </c>
      <c r="D13">
        <v>48.6</v>
      </c>
    </row>
    <row r="14" spans="1:4" ht="15" customHeight="1" x14ac:dyDescent="0.3">
      <c r="A14" s="2"/>
      <c r="B14" t="s">
        <v>14</v>
      </c>
      <c r="C14">
        <v>41.2</v>
      </c>
      <c r="D14">
        <v>41.3</v>
      </c>
    </row>
    <row r="15" spans="1:4" ht="15" customHeight="1" x14ac:dyDescent="0.3">
      <c r="A15" s="2"/>
      <c r="B15" t="s">
        <v>15</v>
      </c>
      <c r="C15">
        <v>59.9</v>
      </c>
      <c r="D15">
        <v>60.3</v>
      </c>
    </row>
    <row r="16" spans="1:4" ht="15" customHeight="1" x14ac:dyDescent="0.3">
      <c r="A16" s="2"/>
      <c r="B16" t="s">
        <v>16</v>
      </c>
      <c r="C16">
        <v>58.2</v>
      </c>
      <c r="D16">
        <v>59</v>
      </c>
    </row>
    <row r="17" spans="1:4" ht="15" customHeight="1" x14ac:dyDescent="0.3">
      <c r="A17" s="2"/>
      <c r="B17" t="s">
        <v>17</v>
      </c>
      <c r="C17">
        <v>73.2</v>
      </c>
      <c r="D17">
        <v>74.5</v>
      </c>
    </row>
    <row r="18" spans="1:4" ht="15" customHeight="1" x14ac:dyDescent="0.3">
      <c r="A18" s="2"/>
      <c r="B18" t="s">
        <v>18</v>
      </c>
      <c r="C18">
        <v>80.7</v>
      </c>
      <c r="D18">
        <v>81.2</v>
      </c>
    </row>
    <row r="19" spans="1:4" ht="15" customHeight="1" x14ac:dyDescent="0.3">
      <c r="A19" s="2"/>
      <c r="B19" t="s">
        <v>19</v>
      </c>
      <c r="C19">
        <v>78.7</v>
      </c>
      <c r="D19">
        <v>78.7</v>
      </c>
    </row>
    <row r="20" spans="1:4" ht="15" customHeight="1" x14ac:dyDescent="0.3">
      <c r="A20" s="2"/>
      <c r="B20" t="s">
        <v>20</v>
      </c>
      <c r="C20">
        <v>73.599999999999994</v>
      </c>
      <c r="D20">
        <v>76.7</v>
      </c>
    </row>
    <row r="21" spans="1:4" ht="15" customHeight="1" x14ac:dyDescent="0.3">
      <c r="A21" s="2"/>
      <c r="B21" t="s">
        <v>21</v>
      </c>
      <c r="C21">
        <v>59.4</v>
      </c>
      <c r="D21">
        <v>59.9</v>
      </c>
    </row>
    <row r="22" spans="1:4" ht="15" customHeight="1" x14ac:dyDescent="0.3">
      <c r="A22" s="2"/>
      <c r="B22" t="s">
        <v>22</v>
      </c>
      <c r="C22">
        <v>70.099999999999994</v>
      </c>
      <c r="D22">
        <v>76</v>
      </c>
    </row>
    <row r="23" spans="1:4" ht="15" customHeight="1" x14ac:dyDescent="0.3">
      <c r="A23" s="2"/>
      <c r="B23" t="s">
        <v>23</v>
      </c>
      <c r="C23">
        <v>42.5</v>
      </c>
      <c r="D23">
        <v>45</v>
      </c>
    </row>
    <row r="24" spans="1:4" ht="15" customHeight="1" x14ac:dyDescent="0.3">
      <c r="A24" s="2"/>
      <c r="B24" t="s">
        <v>24</v>
      </c>
      <c r="C24">
        <v>43.4</v>
      </c>
      <c r="D24">
        <v>45.6</v>
      </c>
    </row>
    <row r="25" spans="1:4" ht="15" customHeight="1" x14ac:dyDescent="0.3">
      <c r="A25" s="2"/>
      <c r="B25" t="s">
        <v>25</v>
      </c>
      <c r="C25">
        <v>42.2</v>
      </c>
      <c r="D25">
        <v>44.9</v>
      </c>
    </row>
    <row r="26" spans="1:4" ht="15" customHeight="1" x14ac:dyDescent="0.3">
      <c r="A26" s="2"/>
      <c r="B26" t="s">
        <v>26</v>
      </c>
      <c r="C26">
        <v>57.7</v>
      </c>
      <c r="D26">
        <v>57.9</v>
      </c>
    </row>
    <row r="27" spans="1:4" ht="15" customHeight="1" x14ac:dyDescent="0.3">
      <c r="A27" s="2"/>
      <c r="B27" t="s">
        <v>27</v>
      </c>
      <c r="C27">
        <v>74.400000000000006</v>
      </c>
      <c r="D27">
        <v>74.3</v>
      </c>
    </row>
    <row r="28" spans="1:4" ht="15" customHeight="1" x14ac:dyDescent="0.3">
      <c r="A28" s="2"/>
      <c r="B28" t="s">
        <v>28</v>
      </c>
      <c r="C28">
        <v>74.7</v>
      </c>
      <c r="D28">
        <v>75</v>
      </c>
    </row>
    <row r="29" spans="1:4" ht="15" customHeight="1" x14ac:dyDescent="0.3">
      <c r="A29" s="2"/>
      <c r="B29" t="s">
        <v>29</v>
      </c>
      <c r="C29">
        <v>55.3</v>
      </c>
      <c r="D29">
        <v>55.5</v>
      </c>
    </row>
    <row r="30" spans="1:4" ht="15" customHeight="1" x14ac:dyDescent="0.3">
      <c r="A30" s="2"/>
      <c r="B30" t="s">
        <v>30</v>
      </c>
      <c r="C30">
        <v>51.7</v>
      </c>
      <c r="D30">
        <v>52.4</v>
      </c>
    </row>
    <row r="31" spans="1:4" ht="15" customHeight="1" x14ac:dyDescent="0.3">
      <c r="A31" s="2"/>
      <c r="B31" t="s">
        <v>31</v>
      </c>
      <c r="C31">
        <v>66</v>
      </c>
      <c r="D31">
        <v>66</v>
      </c>
    </row>
    <row r="32" spans="1:4" ht="15" customHeight="1" x14ac:dyDescent="0.3">
      <c r="A32" s="2"/>
      <c r="B32" t="s">
        <v>32</v>
      </c>
      <c r="C32">
        <v>51.6</v>
      </c>
      <c r="D32">
        <v>51.7</v>
      </c>
    </row>
    <row r="33" spans="1:4" ht="15" customHeight="1" x14ac:dyDescent="0.3">
      <c r="A33" s="2"/>
      <c r="B33" t="s">
        <v>33</v>
      </c>
      <c r="C33">
        <v>65.400000000000006</v>
      </c>
      <c r="D33">
        <v>65.400000000000006</v>
      </c>
    </row>
    <row r="34" spans="1:4" ht="15" customHeight="1" x14ac:dyDescent="0.3">
      <c r="A34" s="2"/>
      <c r="B34" t="s">
        <v>34</v>
      </c>
      <c r="C34">
        <v>66.2</v>
      </c>
      <c r="D34">
        <v>66.2</v>
      </c>
    </row>
    <row r="35" spans="1:4" ht="15" customHeight="1" x14ac:dyDescent="0.3">
      <c r="A35" s="2"/>
      <c r="B35" t="s">
        <v>35</v>
      </c>
      <c r="C35">
        <v>58.6</v>
      </c>
      <c r="D35">
        <v>59.1</v>
      </c>
    </row>
    <row r="36" spans="1:4" ht="15" customHeight="1" x14ac:dyDescent="0.3">
      <c r="A36" s="2"/>
      <c r="B36" t="s">
        <v>36</v>
      </c>
      <c r="C36">
        <v>59</v>
      </c>
      <c r="D36">
        <v>59.5</v>
      </c>
    </row>
    <row r="37" spans="1:4" ht="15" customHeight="1" x14ac:dyDescent="0.3">
      <c r="A37" s="2"/>
      <c r="B37" t="s">
        <v>37</v>
      </c>
      <c r="C37">
        <v>58.3</v>
      </c>
      <c r="D37">
        <v>58.8</v>
      </c>
    </row>
    <row r="38" spans="1:4" ht="15" customHeight="1" x14ac:dyDescent="0.3">
      <c r="A38" s="2"/>
      <c r="B38" t="s">
        <v>38</v>
      </c>
      <c r="C38">
        <v>69.599999999999994</v>
      </c>
      <c r="D38">
        <v>70.099999999999994</v>
      </c>
    </row>
    <row r="39" spans="1:4" ht="15" customHeight="1" x14ac:dyDescent="0.3">
      <c r="A39" s="2"/>
      <c r="B39" t="s">
        <v>39</v>
      </c>
      <c r="C39">
        <v>71.8</v>
      </c>
      <c r="D39">
        <v>72</v>
      </c>
    </row>
    <row r="40" spans="1:4" ht="15" customHeight="1" x14ac:dyDescent="0.3">
      <c r="A40" s="2"/>
      <c r="B40" t="s">
        <v>40</v>
      </c>
      <c r="C40">
        <v>51.3</v>
      </c>
      <c r="D40">
        <v>51.4</v>
      </c>
    </row>
    <row r="41" spans="1:4" ht="15" customHeight="1" x14ac:dyDescent="0.3">
      <c r="A41" s="2"/>
      <c r="B41" t="s">
        <v>41</v>
      </c>
      <c r="C41">
        <v>46.5</v>
      </c>
      <c r="D41">
        <v>46.8</v>
      </c>
    </row>
    <row r="42" spans="1:4" ht="15" customHeight="1" x14ac:dyDescent="0.3">
      <c r="A42" s="2"/>
      <c r="B42" t="s">
        <v>42</v>
      </c>
      <c r="C42">
        <v>54</v>
      </c>
      <c r="D42">
        <v>55</v>
      </c>
    </row>
    <row r="43" spans="1:4" ht="15" customHeight="1" x14ac:dyDescent="0.3">
      <c r="A43" s="2"/>
      <c r="B43" t="s">
        <v>43</v>
      </c>
      <c r="C43">
        <v>53.8</v>
      </c>
      <c r="D43">
        <v>53.8</v>
      </c>
    </row>
    <row r="44" spans="1:4" ht="15" customHeight="1" x14ac:dyDescent="0.3">
      <c r="A44" s="2"/>
      <c r="B44" t="s">
        <v>44</v>
      </c>
      <c r="C44">
        <v>46</v>
      </c>
      <c r="D44">
        <v>46.1</v>
      </c>
    </row>
    <row r="45" spans="1:4" ht="14.4" x14ac:dyDescent="0.3">
      <c r="A45" s="2"/>
      <c r="B45" t="s">
        <v>45</v>
      </c>
      <c r="C45">
        <v>79.7</v>
      </c>
      <c r="D45">
        <v>79.599999999999994</v>
      </c>
    </row>
    <row r="46" spans="1:4" ht="14.4" x14ac:dyDescent="0.3">
      <c r="A46" s="2"/>
      <c r="B46" t="s">
        <v>46</v>
      </c>
      <c r="C46">
        <v>34.799999999999997</v>
      </c>
      <c r="D46">
        <v>35.6</v>
      </c>
    </row>
    <row r="47" spans="1:4" ht="14.4" x14ac:dyDescent="0.3">
      <c r="A47" s="2"/>
      <c r="B47" t="s">
        <v>47</v>
      </c>
      <c r="C47">
        <v>36.700000000000003</v>
      </c>
      <c r="D47">
        <v>36.9</v>
      </c>
    </row>
    <row r="48" spans="1:4" ht="14.4" x14ac:dyDescent="0.3">
      <c r="A48" s="2"/>
      <c r="B48" t="s">
        <v>48</v>
      </c>
      <c r="C48">
        <v>72.3</v>
      </c>
      <c r="D48">
        <v>72.599999999999994</v>
      </c>
    </row>
    <row r="49" spans="1:4" ht="14.4" x14ac:dyDescent="0.3">
      <c r="A49" s="2"/>
      <c r="B49" t="s">
        <v>49</v>
      </c>
      <c r="C49">
        <v>74</v>
      </c>
      <c r="D49">
        <v>77.900000000000006</v>
      </c>
    </row>
    <row r="50" spans="1:4" ht="14.4" x14ac:dyDescent="0.3">
      <c r="A50" s="2"/>
      <c r="B50" t="s">
        <v>50</v>
      </c>
      <c r="C50">
        <v>73.900000000000006</v>
      </c>
      <c r="D50">
        <v>78.2</v>
      </c>
    </row>
    <row r="51" spans="1:4" ht="14.4" x14ac:dyDescent="0.3">
      <c r="A51" s="2"/>
      <c r="B51" t="s">
        <v>51</v>
      </c>
      <c r="C51">
        <v>74</v>
      </c>
      <c r="D51">
        <v>77.7</v>
      </c>
    </row>
    <row r="52" spans="1:4" ht="14.4" x14ac:dyDescent="0.3">
      <c r="A52" s="2"/>
      <c r="B52" t="s">
        <v>52</v>
      </c>
      <c r="C52">
        <v>69.2</v>
      </c>
      <c r="D52">
        <v>70.099999999999994</v>
      </c>
    </row>
    <row r="53" spans="1:4" ht="14.4" x14ac:dyDescent="0.3">
      <c r="A53" s="2"/>
      <c r="B53" t="s">
        <v>53</v>
      </c>
      <c r="C53">
        <v>47</v>
      </c>
      <c r="D53">
        <v>47.9</v>
      </c>
    </row>
    <row r="54" spans="1:4" ht="14.4" x14ac:dyDescent="0.3">
      <c r="A54" s="2"/>
      <c r="B54" t="s">
        <v>341</v>
      </c>
      <c r="C54">
        <v>35.200000000000003</v>
      </c>
      <c r="D54">
        <v>36.200000000000003</v>
      </c>
    </row>
    <row r="55" spans="1:4" ht="14.4" x14ac:dyDescent="0.3">
      <c r="A55" s="2"/>
      <c r="B55" t="s">
        <v>54</v>
      </c>
      <c r="C55">
        <v>38.200000000000003</v>
      </c>
      <c r="D55">
        <v>39.5</v>
      </c>
    </row>
    <row r="56" spans="1:4" ht="14.4" x14ac:dyDescent="0.3">
      <c r="A56" s="2"/>
      <c r="B56" t="s">
        <v>55</v>
      </c>
      <c r="C56">
        <v>68.8</v>
      </c>
      <c r="D56">
        <v>69.2</v>
      </c>
    </row>
    <row r="57" spans="1:4" ht="14.4" x14ac:dyDescent="0.3">
      <c r="A57" s="2"/>
      <c r="B57" t="s">
        <v>56</v>
      </c>
      <c r="C57">
        <v>58.3</v>
      </c>
      <c r="D57">
        <v>60.7</v>
      </c>
    </row>
    <row r="58" spans="1:4" ht="14.4" x14ac:dyDescent="0.3">
      <c r="A58" s="2"/>
      <c r="B58" t="s">
        <v>57</v>
      </c>
      <c r="C58">
        <v>73</v>
      </c>
      <c r="D58">
        <v>73.599999999999994</v>
      </c>
    </row>
    <row r="59" spans="1:4" ht="14.4" x14ac:dyDescent="0.3">
      <c r="A59" s="2"/>
      <c r="B59" t="s">
        <v>58</v>
      </c>
      <c r="C59">
        <v>72.8</v>
      </c>
      <c r="D59">
        <v>73.400000000000006</v>
      </c>
    </row>
    <row r="60" spans="1:4" ht="14.4" x14ac:dyDescent="0.3">
      <c r="A60" s="2"/>
      <c r="B60" t="s">
        <v>59</v>
      </c>
      <c r="C60">
        <v>76.3</v>
      </c>
      <c r="D60">
        <v>76.3</v>
      </c>
    </row>
    <row r="61" spans="1:4" ht="14.4" x14ac:dyDescent="0.3">
      <c r="A61" s="2"/>
      <c r="B61" t="s">
        <v>60</v>
      </c>
      <c r="C61">
        <v>85.2</v>
      </c>
      <c r="D61">
        <v>85.3</v>
      </c>
    </row>
    <row r="62" spans="1:4" ht="14.4" x14ac:dyDescent="0.3">
      <c r="A62" s="2"/>
      <c r="B62" t="s">
        <v>61</v>
      </c>
      <c r="C62">
        <v>58.4</v>
      </c>
      <c r="D62">
        <v>60.5</v>
      </c>
    </row>
    <row r="63" spans="1:4" ht="14.4" x14ac:dyDescent="0.3">
      <c r="A63" s="2"/>
      <c r="B63" t="s">
        <v>62</v>
      </c>
      <c r="C63">
        <v>60.5</v>
      </c>
      <c r="D63">
        <v>60.5</v>
      </c>
    </row>
    <row r="64" spans="1:4" ht="14.4" x14ac:dyDescent="0.3">
      <c r="A64" s="2"/>
      <c r="B64" t="s">
        <v>63</v>
      </c>
      <c r="C64">
        <v>59.3</v>
      </c>
      <c r="D64">
        <v>60</v>
      </c>
    </row>
    <row r="65" spans="1:4" ht="14.4" x14ac:dyDescent="0.3">
      <c r="A65" s="2"/>
      <c r="B65" t="s">
        <v>64</v>
      </c>
      <c r="C65">
        <v>57.6</v>
      </c>
      <c r="D65">
        <v>57.7</v>
      </c>
    </row>
    <row r="66" spans="1:4" ht="14.4" x14ac:dyDescent="0.3">
      <c r="A66" s="2"/>
      <c r="B66" t="s">
        <v>340</v>
      </c>
      <c r="C66">
        <v>58.5</v>
      </c>
      <c r="D66">
        <v>60.1</v>
      </c>
    </row>
    <row r="67" spans="1:4" ht="14.4" x14ac:dyDescent="0.3">
      <c r="A67" s="2"/>
      <c r="B67" t="s">
        <v>65</v>
      </c>
      <c r="C67">
        <v>64.900000000000006</v>
      </c>
      <c r="D67">
        <v>65.3</v>
      </c>
    </row>
    <row r="68" spans="1:4" ht="14.4" x14ac:dyDescent="0.3">
      <c r="A68" s="2"/>
      <c r="B68" t="s">
        <v>66</v>
      </c>
      <c r="C68">
        <v>40.5</v>
      </c>
      <c r="D68">
        <v>41.1</v>
      </c>
    </row>
    <row r="69" spans="1:4" ht="14.4" x14ac:dyDescent="0.3">
      <c r="A69" s="2"/>
      <c r="B69" t="s">
        <v>67</v>
      </c>
      <c r="C69">
        <v>21.5</v>
      </c>
      <c r="D69">
        <v>21.6</v>
      </c>
    </row>
    <row r="70" spans="1:4" ht="14.4" x14ac:dyDescent="0.3">
      <c r="A70" s="2"/>
      <c r="B70" t="s">
        <v>68</v>
      </c>
      <c r="C70">
        <v>80.8</v>
      </c>
      <c r="D70">
        <v>80.599999999999994</v>
      </c>
    </row>
    <row r="71" spans="1:4" ht="14.4" x14ac:dyDescent="0.3">
      <c r="A71" s="2"/>
      <c r="B71" t="s">
        <v>69</v>
      </c>
      <c r="C71">
        <v>58.7</v>
      </c>
      <c r="D71">
        <v>59.5</v>
      </c>
    </row>
    <row r="72" spans="1:4" ht="14.4" x14ac:dyDescent="0.3">
      <c r="A72" s="2"/>
      <c r="B72" t="s">
        <v>70</v>
      </c>
      <c r="C72">
        <v>47.1</v>
      </c>
      <c r="D72">
        <v>48</v>
      </c>
    </row>
    <row r="73" spans="1:4" ht="14.4" x14ac:dyDescent="0.3">
      <c r="A73" s="2"/>
      <c r="B73" t="s">
        <v>71</v>
      </c>
      <c r="C73">
        <v>61.4</v>
      </c>
      <c r="D73">
        <v>61.5</v>
      </c>
    </row>
    <row r="74" spans="1:4" ht="14.4" x14ac:dyDescent="0.3">
      <c r="A74" s="2"/>
      <c r="B74" t="s">
        <v>72</v>
      </c>
      <c r="C74">
        <v>80</v>
      </c>
      <c r="D74">
        <v>80.2</v>
      </c>
    </row>
    <row r="75" spans="1:4" ht="14.4" x14ac:dyDescent="0.3">
      <c r="A75" s="2"/>
      <c r="B75" t="s">
        <v>73</v>
      </c>
      <c r="C75">
        <v>76.8</v>
      </c>
      <c r="D75">
        <v>76.8</v>
      </c>
    </row>
    <row r="76" spans="1:4" ht="14.4" x14ac:dyDescent="0.3">
      <c r="A76" s="2"/>
      <c r="B76" t="s">
        <v>74</v>
      </c>
      <c r="C76">
        <v>44.5</v>
      </c>
      <c r="D76">
        <v>45</v>
      </c>
    </row>
    <row r="77" spans="1:4" ht="14.4" x14ac:dyDescent="0.3">
      <c r="A77" s="2"/>
      <c r="B77" t="s">
        <v>75</v>
      </c>
      <c r="C77">
        <v>47.8</v>
      </c>
      <c r="D77">
        <v>50.3</v>
      </c>
    </row>
    <row r="78" spans="1:4" ht="14.4" x14ac:dyDescent="0.3">
      <c r="A78" s="2"/>
      <c r="B78" t="s">
        <v>76</v>
      </c>
      <c r="C78">
        <v>83.5</v>
      </c>
      <c r="D78">
        <v>83.7</v>
      </c>
    </row>
    <row r="79" spans="1:4" ht="14.4" x14ac:dyDescent="0.3">
      <c r="A79" s="2"/>
      <c r="B79" t="s">
        <v>77</v>
      </c>
      <c r="C79">
        <v>79.3</v>
      </c>
      <c r="D79">
        <v>79.7</v>
      </c>
    </row>
    <row r="80" spans="1:4" ht="14.4" x14ac:dyDescent="0.3">
      <c r="A80" s="2"/>
      <c r="B80" t="s">
        <v>78</v>
      </c>
      <c r="C80">
        <v>60.4</v>
      </c>
      <c r="D80">
        <v>60</v>
      </c>
    </row>
    <row r="81" spans="1:4" ht="14.4" x14ac:dyDescent="0.3">
      <c r="A81" s="2"/>
      <c r="B81" t="s">
        <v>79</v>
      </c>
      <c r="C81">
        <v>67.400000000000006</v>
      </c>
      <c r="D81">
        <v>68.400000000000006</v>
      </c>
    </row>
    <row r="82" spans="1:4" ht="14.4" x14ac:dyDescent="0.3">
      <c r="A82" s="2"/>
      <c r="B82" t="s">
        <v>80</v>
      </c>
      <c r="C82">
        <v>53.4</v>
      </c>
      <c r="D82">
        <v>53.4</v>
      </c>
    </row>
    <row r="83" spans="1:4" ht="14.4" x14ac:dyDescent="0.3">
      <c r="A83" s="2"/>
      <c r="B83" t="s">
        <v>81</v>
      </c>
      <c r="C83">
        <v>62.5</v>
      </c>
      <c r="D83">
        <v>62.6</v>
      </c>
    </row>
    <row r="84" spans="1:4" ht="14.4" x14ac:dyDescent="0.3">
      <c r="A84" s="2"/>
      <c r="B84" t="s">
        <v>82</v>
      </c>
      <c r="C84">
        <v>49.3</v>
      </c>
      <c r="D84">
        <v>49.4</v>
      </c>
    </row>
    <row r="85" spans="1:4" ht="14.4" x14ac:dyDescent="0.3">
      <c r="A85" s="2"/>
      <c r="B85" t="s">
        <v>83</v>
      </c>
      <c r="C85">
        <v>43.2</v>
      </c>
      <c r="D85">
        <v>43.2</v>
      </c>
    </row>
    <row r="86" spans="1:4" ht="14.4" x14ac:dyDescent="0.3">
      <c r="A86" s="2"/>
      <c r="B86" t="s">
        <v>84</v>
      </c>
      <c r="C86">
        <v>55.6</v>
      </c>
      <c r="D86">
        <v>55.5</v>
      </c>
    </row>
    <row r="87" spans="1:4" ht="14.4" x14ac:dyDescent="0.3">
      <c r="A87" s="2"/>
      <c r="B87" t="s">
        <v>85</v>
      </c>
      <c r="C87">
        <v>37.9</v>
      </c>
      <c r="D87">
        <v>40.700000000000003</v>
      </c>
    </row>
    <row r="88" spans="1:4" ht="14.4" x14ac:dyDescent="0.3">
      <c r="A88" s="2"/>
      <c r="B88" t="s">
        <v>86</v>
      </c>
      <c r="C88">
        <v>56</v>
      </c>
      <c r="D88">
        <v>56.3</v>
      </c>
    </row>
    <row r="89" spans="1:4" ht="14.4" x14ac:dyDescent="0.3">
      <c r="A89" s="2"/>
      <c r="B89" t="s">
        <v>87</v>
      </c>
      <c r="C89">
        <v>85.1</v>
      </c>
      <c r="D89">
        <v>85.3</v>
      </c>
    </row>
    <row r="90" spans="1:4" ht="14.4" x14ac:dyDescent="0.3">
      <c r="A90" s="2"/>
      <c r="B90" t="s">
        <v>88</v>
      </c>
      <c r="C90">
        <v>73.2</v>
      </c>
      <c r="D90">
        <v>73.400000000000006</v>
      </c>
    </row>
    <row r="91" spans="1:4" ht="14.4" x14ac:dyDescent="0.3">
      <c r="A91" s="2"/>
      <c r="B91" t="s">
        <v>89</v>
      </c>
      <c r="C91">
        <v>79</v>
      </c>
      <c r="D91">
        <v>79</v>
      </c>
    </row>
    <row r="92" spans="1:4" ht="14.4" x14ac:dyDescent="0.3">
      <c r="A92" s="2"/>
      <c r="B92" t="s">
        <v>90</v>
      </c>
      <c r="C92">
        <v>67.5</v>
      </c>
      <c r="D92">
        <v>71</v>
      </c>
    </row>
    <row r="93" spans="1:4" ht="14.4" x14ac:dyDescent="0.3">
      <c r="A93" s="2"/>
      <c r="B93" t="s">
        <v>91</v>
      </c>
      <c r="C93">
        <v>68.099999999999994</v>
      </c>
      <c r="D93">
        <v>71.900000000000006</v>
      </c>
    </row>
    <row r="94" spans="1:4" ht="14.4" x14ac:dyDescent="0.3">
      <c r="A94" s="2"/>
      <c r="B94" t="s">
        <v>92</v>
      </c>
      <c r="C94">
        <v>66.8</v>
      </c>
      <c r="D94">
        <v>70.099999999999994</v>
      </c>
    </row>
    <row r="95" spans="1:4" ht="14.4" x14ac:dyDescent="0.3">
      <c r="A95" s="2"/>
      <c r="B95" t="s">
        <v>93</v>
      </c>
      <c r="C95">
        <v>68.2</v>
      </c>
      <c r="D95">
        <v>69.599999999999994</v>
      </c>
    </row>
    <row r="96" spans="1:4" ht="14.4" x14ac:dyDescent="0.3">
      <c r="A96" s="2"/>
      <c r="B96" t="s">
        <v>94</v>
      </c>
      <c r="C96">
        <v>68.400000000000006</v>
      </c>
      <c r="D96">
        <v>69.8</v>
      </c>
    </row>
    <row r="97" spans="1:4" ht="14.4" x14ac:dyDescent="0.3">
      <c r="A97" s="2"/>
      <c r="B97" t="s">
        <v>95</v>
      </c>
      <c r="C97">
        <v>67.400000000000006</v>
      </c>
      <c r="D97">
        <v>68.8</v>
      </c>
    </row>
    <row r="98" spans="1:4" ht="14.4" x14ac:dyDescent="0.3">
      <c r="A98" s="2"/>
      <c r="B98" t="s">
        <v>326</v>
      </c>
      <c r="C98">
        <v>58.6</v>
      </c>
      <c r="D98">
        <v>58.5</v>
      </c>
    </row>
    <row r="99" spans="1:4" ht="14.4" x14ac:dyDescent="0.3">
      <c r="A99" s="2"/>
      <c r="B99" t="s">
        <v>96</v>
      </c>
      <c r="C99">
        <v>44.7</v>
      </c>
      <c r="D99">
        <v>44.7</v>
      </c>
    </row>
    <row r="100" spans="1:4" ht="14.4" x14ac:dyDescent="0.3">
      <c r="A100" s="2"/>
      <c r="B100" t="s">
        <v>97</v>
      </c>
      <c r="C100">
        <v>79.599999999999994</v>
      </c>
      <c r="D100">
        <v>79.599999999999994</v>
      </c>
    </row>
    <row r="101" spans="1:4" ht="14.4" x14ac:dyDescent="0.3">
      <c r="A101" s="2"/>
      <c r="B101" t="s">
        <v>98</v>
      </c>
      <c r="C101">
        <v>75</v>
      </c>
      <c r="D101">
        <v>76.7</v>
      </c>
    </row>
    <row r="102" spans="1:4" ht="14.4" x14ac:dyDescent="0.3">
      <c r="A102" s="2"/>
      <c r="B102" t="s">
        <v>99</v>
      </c>
      <c r="C102">
        <v>73</v>
      </c>
      <c r="D102">
        <v>72.900000000000006</v>
      </c>
    </row>
    <row r="103" spans="1:4" ht="14.4" x14ac:dyDescent="0.3">
      <c r="A103" s="2"/>
      <c r="B103" t="s">
        <v>100</v>
      </c>
      <c r="C103">
        <v>68.3</v>
      </c>
      <c r="D103">
        <v>69.7</v>
      </c>
    </row>
    <row r="104" spans="1:4" ht="14.4" x14ac:dyDescent="0.3">
      <c r="A104" s="2"/>
      <c r="B104" t="s">
        <v>101</v>
      </c>
      <c r="C104">
        <v>78</v>
      </c>
      <c r="D104">
        <v>78</v>
      </c>
    </row>
    <row r="105" spans="1:4" ht="14.4" x14ac:dyDescent="0.3">
      <c r="A105" s="2"/>
      <c r="B105" t="s">
        <v>102</v>
      </c>
      <c r="C105">
        <v>78.5</v>
      </c>
      <c r="D105">
        <v>78.400000000000006</v>
      </c>
    </row>
    <row r="106" spans="1:4" ht="14.4" x14ac:dyDescent="0.3">
      <c r="A106" s="2"/>
      <c r="B106" t="s">
        <v>103</v>
      </c>
      <c r="C106">
        <v>77.8</v>
      </c>
      <c r="D106">
        <v>77.8</v>
      </c>
    </row>
    <row r="107" spans="1:4" ht="14.4" x14ac:dyDescent="0.3">
      <c r="A107" s="2"/>
      <c r="B107" t="s">
        <v>104</v>
      </c>
      <c r="C107">
        <v>61.3</v>
      </c>
      <c r="D107">
        <v>69</v>
      </c>
    </row>
    <row r="108" spans="1:4" ht="14.4" x14ac:dyDescent="0.3">
      <c r="A108" s="2"/>
      <c r="B108" t="s">
        <v>105</v>
      </c>
      <c r="C108">
        <v>78</v>
      </c>
      <c r="D108">
        <v>79.599999999999994</v>
      </c>
    </row>
    <row r="109" spans="1:4" ht="14.4" x14ac:dyDescent="0.3">
      <c r="A109" s="2"/>
      <c r="B109" t="s">
        <v>106</v>
      </c>
      <c r="C109">
        <v>71</v>
      </c>
      <c r="D109">
        <v>73.2</v>
      </c>
    </row>
    <row r="110" spans="1:4" ht="14.4" x14ac:dyDescent="0.3">
      <c r="A110" s="2"/>
      <c r="B110" t="s">
        <v>107</v>
      </c>
      <c r="C110">
        <v>46.8</v>
      </c>
      <c r="D110">
        <v>46.9</v>
      </c>
    </row>
    <row r="111" spans="1:4" ht="14.4" x14ac:dyDescent="0.3">
      <c r="A111" s="2"/>
      <c r="B111" t="s">
        <v>327</v>
      </c>
      <c r="C111">
        <v>84</v>
      </c>
      <c r="D111">
        <v>84</v>
      </c>
    </row>
    <row r="112" spans="1:4" ht="14.4" x14ac:dyDescent="0.3">
      <c r="A112" s="2"/>
      <c r="B112" t="s">
        <v>108</v>
      </c>
      <c r="C112">
        <v>71</v>
      </c>
      <c r="D112">
        <v>73.2</v>
      </c>
    </row>
    <row r="113" spans="1:4" ht="14.4" x14ac:dyDescent="0.3">
      <c r="A113" s="2"/>
      <c r="B113" t="s">
        <v>109</v>
      </c>
      <c r="C113">
        <v>62.6</v>
      </c>
      <c r="D113">
        <v>67.400000000000006</v>
      </c>
    </row>
    <row r="114" spans="1:4" ht="14.4" x14ac:dyDescent="0.3">
      <c r="A114" s="2"/>
      <c r="B114" t="s">
        <v>110</v>
      </c>
      <c r="C114">
        <v>65.400000000000006</v>
      </c>
      <c r="D114">
        <v>67.8</v>
      </c>
    </row>
    <row r="115" spans="1:4" ht="14.4" x14ac:dyDescent="0.3">
      <c r="A115" s="2"/>
      <c r="B115" t="s">
        <v>111</v>
      </c>
      <c r="C115">
        <v>49.8</v>
      </c>
      <c r="D115">
        <v>50.8</v>
      </c>
    </row>
    <row r="116" spans="1:4" ht="14.4" x14ac:dyDescent="0.3">
      <c r="A116" s="2"/>
      <c r="B116" t="s">
        <v>112</v>
      </c>
      <c r="C116">
        <v>80.3</v>
      </c>
      <c r="D116">
        <v>80.3</v>
      </c>
    </row>
    <row r="117" spans="1:4" ht="14.4" x14ac:dyDescent="0.3">
      <c r="A117" s="2"/>
      <c r="B117" t="s">
        <v>113</v>
      </c>
      <c r="C117">
        <v>54.4</v>
      </c>
      <c r="D117">
        <v>54.3</v>
      </c>
    </row>
    <row r="118" spans="1:4" ht="14.4" x14ac:dyDescent="0.3">
      <c r="A118" s="2"/>
      <c r="B118" t="s">
        <v>114</v>
      </c>
      <c r="C118">
        <v>58.7</v>
      </c>
      <c r="D118">
        <v>59.4</v>
      </c>
    </row>
    <row r="119" spans="1:4" ht="14.4" x14ac:dyDescent="0.3">
      <c r="A119" s="2"/>
      <c r="B119" t="s">
        <v>115</v>
      </c>
      <c r="C119">
        <v>43.5</v>
      </c>
      <c r="D119">
        <v>43.2</v>
      </c>
    </row>
    <row r="120" spans="1:4" ht="14.4" x14ac:dyDescent="0.3">
      <c r="A120" s="2"/>
      <c r="B120" t="s">
        <v>116</v>
      </c>
      <c r="C120">
        <v>32.700000000000003</v>
      </c>
      <c r="D120">
        <v>32.700000000000003</v>
      </c>
    </row>
    <row r="121" spans="1:4" ht="14.4" x14ac:dyDescent="0.3">
      <c r="A121" s="2"/>
      <c r="B121" t="s">
        <v>117</v>
      </c>
      <c r="C121">
        <v>64.900000000000006</v>
      </c>
      <c r="D121">
        <v>64.8</v>
      </c>
    </row>
    <row r="122" spans="1:4" ht="14.4" x14ac:dyDescent="0.3">
      <c r="A122" s="2"/>
      <c r="B122" t="s">
        <v>118</v>
      </c>
      <c r="C122">
        <v>81</v>
      </c>
      <c r="D122">
        <v>81.599999999999994</v>
      </c>
    </row>
    <row r="123" spans="1:4" ht="14.4" x14ac:dyDescent="0.3">
      <c r="A123" s="2"/>
      <c r="B123" t="s">
        <v>119</v>
      </c>
      <c r="C123">
        <v>69.599999999999994</v>
      </c>
      <c r="D123">
        <v>69.599999999999994</v>
      </c>
    </row>
    <row r="124" spans="1:4" ht="14.4" x14ac:dyDescent="0.3">
      <c r="A124" s="2"/>
      <c r="B124" t="s">
        <v>120</v>
      </c>
      <c r="C124">
        <v>47</v>
      </c>
      <c r="D124">
        <v>47.7</v>
      </c>
    </row>
    <row r="125" spans="1:4" ht="14.4" x14ac:dyDescent="0.3">
      <c r="A125" s="2"/>
      <c r="B125" t="s">
        <v>121</v>
      </c>
      <c r="C125">
        <v>60.4</v>
      </c>
      <c r="D125">
        <v>60.9</v>
      </c>
    </row>
    <row r="126" spans="1:4" ht="14.4" x14ac:dyDescent="0.3">
      <c r="A126" s="2"/>
      <c r="B126" t="s">
        <v>122</v>
      </c>
      <c r="C126">
        <v>81.3</v>
      </c>
      <c r="D126">
        <v>81.5</v>
      </c>
    </row>
    <row r="127" spans="1:4" ht="14.4" x14ac:dyDescent="0.3">
      <c r="A127" s="2"/>
      <c r="B127" t="s">
        <v>123</v>
      </c>
      <c r="C127">
        <v>53.3</v>
      </c>
      <c r="D127">
        <v>53.3</v>
      </c>
    </row>
    <row r="128" spans="1:4" ht="14.4" x14ac:dyDescent="0.3">
      <c r="A128" s="2"/>
      <c r="B128" t="s">
        <v>124</v>
      </c>
      <c r="C128">
        <v>53.1</v>
      </c>
      <c r="D128">
        <v>52.9</v>
      </c>
    </row>
    <row r="129" spans="1:4" ht="14.4" x14ac:dyDescent="0.3">
      <c r="A129" s="2"/>
      <c r="B129" t="s">
        <v>125</v>
      </c>
      <c r="C129">
        <v>65.5</v>
      </c>
      <c r="D129">
        <v>66.099999999999994</v>
      </c>
    </row>
    <row r="130" spans="1:4" ht="14.4" x14ac:dyDescent="0.3">
      <c r="A130" s="2"/>
      <c r="B130" t="s">
        <v>126</v>
      </c>
      <c r="C130">
        <v>50.9</v>
      </c>
      <c r="D130">
        <v>50.9</v>
      </c>
    </row>
    <row r="131" spans="1:4" ht="14.4" x14ac:dyDescent="0.3">
      <c r="A131" s="2"/>
      <c r="B131" t="s">
        <v>127</v>
      </c>
      <c r="C131">
        <v>49.4</v>
      </c>
      <c r="D131">
        <v>51.1</v>
      </c>
    </row>
    <row r="132" spans="1:4" ht="14.4" x14ac:dyDescent="0.3">
      <c r="A132" s="2"/>
      <c r="B132" t="s">
        <v>128</v>
      </c>
      <c r="C132">
        <v>80.3</v>
      </c>
      <c r="D132">
        <v>81.5</v>
      </c>
    </row>
    <row r="133" spans="1:4" ht="14.4" x14ac:dyDescent="0.3">
      <c r="A133" s="2"/>
      <c r="B133" t="s">
        <v>129</v>
      </c>
      <c r="C133">
        <v>72.3</v>
      </c>
      <c r="D133">
        <v>72.400000000000006</v>
      </c>
    </row>
    <row r="134" spans="1:4" ht="14.4" x14ac:dyDescent="0.3">
      <c r="A134" s="2"/>
      <c r="B134" t="s">
        <v>130</v>
      </c>
      <c r="C134">
        <v>71.599999999999994</v>
      </c>
      <c r="D134">
        <v>71.7</v>
      </c>
    </row>
    <row r="135" spans="1:4" ht="14.4" x14ac:dyDescent="0.3">
      <c r="A135" s="2"/>
      <c r="B135" t="s">
        <v>131</v>
      </c>
      <c r="C135">
        <v>75.7</v>
      </c>
      <c r="D135">
        <v>75.7</v>
      </c>
    </row>
    <row r="136" spans="1:4" ht="14.4" x14ac:dyDescent="0.3">
      <c r="A136" s="2"/>
      <c r="B136" t="s">
        <v>132</v>
      </c>
      <c r="C136">
        <v>48.1</v>
      </c>
      <c r="D136">
        <v>48.1</v>
      </c>
    </row>
    <row r="137" spans="1:4" ht="14.4" x14ac:dyDescent="0.3">
      <c r="A137" s="2"/>
      <c r="B137" t="s">
        <v>133</v>
      </c>
      <c r="C137">
        <v>73.099999999999994</v>
      </c>
      <c r="D137">
        <v>74.400000000000006</v>
      </c>
    </row>
    <row r="138" spans="1:4" ht="14.4" x14ac:dyDescent="0.3">
      <c r="A138" s="2"/>
      <c r="B138" t="s">
        <v>134</v>
      </c>
      <c r="C138">
        <v>67.7</v>
      </c>
      <c r="D138">
        <v>67.8</v>
      </c>
    </row>
    <row r="139" spans="1:4" ht="14.4" x14ac:dyDescent="0.3">
      <c r="A139" s="2"/>
      <c r="B139" t="s">
        <v>135</v>
      </c>
      <c r="C139">
        <v>73.7</v>
      </c>
      <c r="D139">
        <v>73.8</v>
      </c>
    </row>
    <row r="140" spans="1:4" ht="14.4" x14ac:dyDescent="0.3">
      <c r="A140" s="2"/>
      <c r="B140" t="s">
        <v>136</v>
      </c>
      <c r="C140">
        <v>71.7</v>
      </c>
      <c r="D140">
        <v>73.400000000000006</v>
      </c>
    </row>
    <row r="141" spans="1:4" ht="14.4" x14ac:dyDescent="0.3">
      <c r="A141" s="2"/>
      <c r="B141" t="s">
        <v>137</v>
      </c>
      <c r="C141">
        <v>54.6</v>
      </c>
      <c r="D141">
        <v>55</v>
      </c>
    </row>
    <row r="142" spans="1:4" ht="14.4" x14ac:dyDescent="0.3">
      <c r="A142" s="2"/>
      <c r="B142" t="s">
        <v>138</v>
      </c>
      <c r="C142">
        <v>43.5</v>
      </c>
      <c r="D142">
        <v>46.8</v>
      </c>
    </row>
    <row r="143" spans="1:4" ht="14.4" x14ac:dyDescent="0.3">
      <c r="A143" s="2"/>
      <c r="B143" t="s">
        <v>139</v>
      </c>
      <c r="C143">
        <v>61.4</v>
      </c>
      <c r="D143">
        <v>61.4</v>
      </c>
    </row>
    <row r="144" spans="1:4" ht="14.4" x14ac:dyDescent="0.3">
      <c r="A144" s="2"/>
      <c r="B144" t="s">
        <v>140</v>
      </c>
      <c r="C144">
        <v>59.7</v>
      </c>
      <c r="D144">
        <v>63.2</v>
      </c>
    </row>
    <row r="145" spans="1:4" ht="14.4" x14ac:dyDescent="0.3">
      <c r="A145" s="2"/>
      <c r="B145" t="s">
        <v>141</v>
      </c>
      <c r="C145">
        <v>76.099999999999994</v>
      </c>
      <c r="D145">
        <v>76.099999999999994</v>
      </c>
    </row>
    <row r="146" spans="1:4" ht="14.4" x14ac:dyDescent="0.3">
      <c r="A146" s="2"/>
      <c r="B146" t="s">
        <v>142</v>
      </c>
      <c r="C146">
        <v>87</v>
      </c>
      <c r="D146">
        <v>86.8</v>
      </c>
    </row>
    <row r="147" spans="1:4" ht="14.4" x14ac:dyDescent="0.3">
      <c r="A147" s="2"/>
      <c r="B147" t="s">
        <v>143</v>
      </c>
      <c r="C147">
        <v>54.5</v>
      </c>
      <c r="D147">
        <v>54.4</v>
      </c>
    </row>
    <row r="148" spans="1:4" ht="14.4" x14ac:dyDescent="0.3">
      <c r="A148" s="2"/>
      <c r="B148" t="s">
        <v>144</v>
      </c>
      <c r="C148">
        <v>52.3</v>
      </c>
      <c r="D148">
        <v>56.8</v>
      </c>
    </row>
    <row r="149" spans="1:4" ht="14.4" x14ac:dyDescent="0.3">
      <c r="A149" s="2"/>
      <c r="B149" t="s">
        <v>145</v>
      </c>
      <c r="C149">
        <v>53.4</v>
      </c>
      <c r="D149">
        <v>56.9</v>
      </c>
    </row>
    <row r="150" spans="1:4" ht="14.4" x14ac:dyDescent="0.3">
      <c r="A150" s="2"/>
      <c r="B150" t="s">
        <v>146</v>
      </c>
      <c r="C150">
        <v>56</v>
      </c>
      <c r="D150">
        <v>58.2</v>
      </c>
    </row>
    <row r="151" spans="1:4" ht="14.4" x14ac:dyDescent="0.3">
      <c r="A151" s="2"/>
      <c r="B151" t="s">
        <v>147</v>
      </c>
      <c r="C151">
        <v>52.6</v>
      </c>
      <c r="D151">
        <v>56.5</v>
      </c>
    </row>
    <row r="152" spans="1:4" ht="14.4" x14ac:dyDescent="0.3">
      <c r="A152" s="2"/>
      <c r="B152" t="s">
        <v>148</v>
      </c>
      <c r="C152">
        <v>80.7</v>
      </c>
      <c r="D152">
        <v>80.7</v>
      </c>
    </row>
    <row r="153" spans="1:4" ht="14.4" x14ac:dyDescent="0.3">
      <c r="A153" s="2"/>
      <c r="B153" t="s">
        <v>149</v>
      </c>
      <c r="C153">
        <v>82.9</v>
      </c>
      <c r="D153">
        <v>82.6</v>
      </c>
    </row>
    <row r="154" spans="1:4" ht="14.4" x14ac:dyDescent="0.3">
      <c r="A154" s="2"/>
      <c r="B154" t="s">
        <v>150</v>
      </c>
      <c r="C154">
        <v>68.8</v>
      </c>
      <c r="D154">
        <v>70</v>
      </c>
    </row>
    <row r="155" spans="1:4" ht="14.4" x14ac:dyDescent="0.3">
      <c r="A155" s="2"/>
      <c r="B155" t="s">
        <v>151</v>
      </c>
      <c r="C155">
        <v>55.5</v>
      </c>
      <c r="D155">
        <v>61</v>
      </c>
    </row>
    <row r="156" spans="1:4" ht="14.4" x14ac:dyDescent="0.3">
      <c r="A156" s="2"/>
      <c r="B156" t="s">
        <v>152</v>
      </c>
      <c r="C156">
        <v>54</v>
      </c>
      <c r="D156">
        <v>59.5</v>
      </c>
    </row>
    <row r="157" spans="1:4" ht="14.4" x14ac:dyDescent="0.3">
      <c r="A157" s="2"/>
      <c r="B157" t="s">
        <v>153</v>
      </c>
      <c r="C157">
        <v>58.2</v>
      </c>
      <c r="D157">
        <v>63.6</v>
      </c>
    </row>
    <row r="158" spans="1:4" ht="14.4" x14ac:dyDescent="0.3">
      <c r="A158" s="2"/>
      <c r="B158" t="s">
        <v>154</v>
      </c>
      <c r="C158">
        <v>53.7</v>
      </c>
      <c r="D158">
        <v>53.7</v>
      </c>
    </row>
    <row r="159" spans="1:4" ht="14.4" x14ac:dyDescent="0.3">
      <c r="A159" s="2"/>
      <c r="B159" t="s">
        <v>155</v>
      </c>
      <c r="C159">
        <v>66.900000000000006</v>
      </c>
      <c r="D159">
        <v>66.599999999999994</v>
      </c>
    </row>
    <row r="160" spans="1:4" ht="14.4" x14ac:dyDescent="0.3">
      <c r="A160" s="2"/>
      <c r="B160" t="s">
        <v>156</v>
      </c>
      <c r="C160">
        <v>59.4</v>
      </c>
      <c r="D160">
        <v>59.8</v>
      </c>
    </row>
    <row r="161" spans="1:4" ht="14.4" x14ac:dyDescent="0.3">
      <c r="A161" s="2"/>
      <c r="B161" t="s">
        <v>157</v>
      </c>
      <c r="C161">
        <v>58.5</v>
      </c>
      <c r="D161">
        <v>59.1</v>
      </c>
    </row>
    <row r="162" spans="1:4" ht="14.4" x14ac:dyDescent="0.3">
      <c r="A162" s="2"/>
      <c r="B162" t="s">
        <v>158</v>
      </c>
      <c r="C162">
        <v>68.3</v>
      </c>
      <c r="D162">
        <v>68.7</v>
      </c>
    </row>
    <row r="163" spans="1:4" ht="14.4" x14ac:dyDescent="0.3">
      <c r="A163" s="2"/>
      <c r="B163" t="s">
        <v>159</v>
      </c>
      <c r="C163">
        <v>60.9</v>
      </c>
      <c r="D163">
        <v>62.8</v>
      </c>
    </row>
    <row r="164" spans="1:4" ht="14.4" x14ac:dyDescent="0.3">
      <c r="A164" s="2"/>
      <c r="B164" t="s">
        <v>160</v>
      </c>
      <c r="C164">
        <v>76.900000000000006</v>
      </c>
      <c r="D164">
        <v>76.400000000000006</v>
      </c>
    </row>
    <row r="165" spans="1:4" ht="14.4" x14ac:dyDescent="0.3">
      <c r="A165" s="2"/>
      <c r="B165" t="s">
        <v>161</v>
      </c>
      <c r="C165">
        <v>76.400000000000006</v>
      </c>
      <c r="D165">
        <v>76.5</v>
      </c>
    </row>
    <row r="166" spans="1:4" ht="14.4" x14ac:dyDescent="0.3">
      <c r="A166" s="2"/>
      <c r="B166" t="s">
        <v>162</v>
      </c>
      <c r="C166">
        <v>70</v>
      </c>
      <c r="D166">
        <v>70.099999999999994</v>
      </c>
    </row>
    <row r="167" spans="1:4" ht="14.4" x14ac:dyDescent="0.3">
      <c r="A167" s="2"/>
      <c r="B167" t="s">
        <v>163</v>
      </c>
      <c r="C167">
        <v>66.7</v>
      </c>
      <c r="D167">
        <v>68.7</v>
      </c>
    </row>
    <row r="168" spans="1:4" ht="14.4" x14ac:dyDescent="0.3">
      <c r="A168" s="2"/>
      <c r="B168" t="s">
        <v>164</v>
      </c>
      <c r="C168">
        <v>72.5</v>
      </c>
      <c r="D168">
        <v>73.3</v>
      </c>
    </row>
    <row r="169" spans="1:4" ht="14.4" x14ac:dyDescent="0.3">
      <c r="A169" s="2"/>
      <c r="B169" t="s">
        <v>339</v>
      </c>
      <c r="C169">
        <v>77.400000000000006</v>
      </c>
      <c r="D169">
        <v>78.2</v>
      </c>
    </row>
    <row r="170" spans="1:4" ht="14.4" x14ac:dyDescent="0.3">
      <c r="A170" s="2"/>
      <c r="B170" t="s">
        <v>165</v>
      </c>
      <c r="C170">
        <v>77.5</v>
      </c>
      <c r="D170">
        <v>78.3</v>
      </c>
    </row>
    <row r="171" spans="1:4" ht="14.4" x14ac:dyDescent="0.3">
      <c r="A171" s="2"/>
      <c r="B171" t="s">
        <v>166</v>
      </c>
      <c r="C171">
        <v>77.2</v>
      </c>
      <c r="D171">
        <v>77.900000000000006</v>
      </c>
    </row>
    <row r="172" spans="1:4" ht="14.4" x14ac:dyDescent="0.3">
      <c r="A172" s="2"/>
      <c r="B172" t="s">
        <v>167</v>
      </c>
      <c r="C172">
        <v>75.400000000000006</v>
      </c>
      <c r="D172">
        <v>76.5</v>
      </c>
    </row>
    <row r="173" spans="1:4" ht="14.4" x14ac:dyDescent="0.3">
      <c r="A173" s="2"/>
      <c r="B173" t="s">
        <v>168</v>
      </c>
      <c r="C173">
        <v>62.1</v>
      </c>
      <c r="D173">
        <v>62.1</v>
      </c>
    </row>
    <row r="174" spans="1:4" ht="14.4" x14ac:dyDescent="0.3">
      <c r="A174" s="2"/>
      <c r="B174" t="s">
        <v>169</v>
      </c>
      <c r="C174">
        <v>64.2</v>
      </c>
      <c r="D174">
        <v>64.2</v>
      </c>
    </row>
    <row r="175" spans="1:4" ht="14.4" x14ac:dyDescent="0.3">
      <c r="A175" s="2"/>
      <c r="B175" t="s">
        <v>170</v>
      </c>
      <c r="C175">
        <v>45</v>
      </c>
      <c r="D175">
        <v>45</v>
      </c>
    </row>
    <row r="176" spans="1:4" ht="14.4" x14ac:dyDescent="0.3">
      <c r="A176" s="2"/>
      <c r="B176" t="s">
        <v>171</v>
      </c>
      <c r="C176">
        <v>63.8</v>
      </c>
      <c r="D176">
        <v>71.599999999999994</v>
      </c>
    </row>
    <row r="177" spans="1:4" ht="14.4" x14ac:dyDescent="0.3">
      <c r="A177" s="2"/>
      <c r="B177" t="s">
        <v>172</v>
      </c>
      <c r="C177">
        <v>54.4</v>
      </c>
      <c r="D177">
        <v>59.3</v>
      </c>
    </row>
    <row r="178" spans="1:4" ht="14.4" x14ac:dyDescent="0.3">
      <c r="A178" s="2"/>
      <c r="B178" t="s">
        <v>173</v>
      </c>
      <c r="C178">
        <v>73.900000000000006</v>
      </c>
      <c r="D178">
        <v>75.7</v>
      </c>
    </row>
    <row r="179" spans="1:4" ht="14.4" x14ac:dyDescent="0.3">
      <c r="A179" s="2"/>
      <c r="B179" t="s">
        <v>174</v>
      </c>
      <c r="C179">
        <v>61.5</v>
      </c>
      <c r="D179">
        <v>61.7</v>
      </c>
    </row>
    <row r="180" spans="1:4" ht="14.4" x14ac:dyDescent="0.3">
      <c r="A180" s="2"/>
      <c r="B180" t="s">
        <v>175</v>
      </c>
      <c r="C180">
        <v>47.2</v>
      </c>
      <c r="D180">
        <v>47.5</v>
      </c>
    </row>
    <row r="181" spans="1:4" ht="14.4" x14ac:dyDescent="0.3">
      <c r="A181" s="2"/>
      <c r="B181" t="s">
        <v>176</v>
      </c>
      <c r="C181">
        <v>85.8</v>
      </c>
      <c r="D181">
        <v>86.2</v>
      </c>
    </row>
    <row r="182" spans="1:4" ht="14.4" x14ac:dyDescent="0.3">
      <c r="A182" s="2"/>
      <c r="B182" t="s">
        <v>177</v>
      </c>
      <c r="C182">
        <v>75.400000000000006</v>
      </c>
      <c r="D182">
        <v>75.599999999999994</v>
      </c>
    </row>
    <row r="183" spans="1:4" ht="14.4" x14ac:dyDescent="0.3">
      <c r="A183" s="2"/>
      <c r="B183" t="s">
        <v>178</v>
      </c>
      <c r="C183">
        <v>76.400000000000006</v>
      </c>
      <c r="D183">
        <v>76.5</v>
      </c>
    </row>
    <row r="184" spans="1:4" ht="14.4" x14ac:dyDescent="0.3">
      <c r="A184" s="2"/>
      <c r="B184" t="s">
        <v>179</v>
      </c>
      <c r="C184">
        <v>55.2</v>
      </c>
      <c r="D184">
        <v>55.3</v>
      </c>
    </row>
    <row r="185" spans="1:4" ht="14.4" x14ac:dyDescent="0.3">
      <c r="A185" s="2"/>
      <c r="B185" t="s">
        <v>180</v>
      </c>
      <c r="C185">
        <v>20</v>
      </c>
      <c r="D185">
        <v>20</v>
      </c>
    </row>
    <row r="186" spans="1:4" ht="14.4" x14ac:dyDescent="0.3">
      <c r="A186" s="2"/>
      <c r="B186" t="s">
        <v>181</v>
      </c>
      <c r="C186">
        <v>66.7</v>
      </c>
      <c r="D186">
        <v>67</v>
      </c>
    </row>
    <row r="187" spans="1:4" ht="14.4" x14ac:dyDescent="0.3">
      <c r="A187" s="2"/>
      <c r="B187" t="s">
        <v>182</v>
      </c>
      <c r="C187">
        <v>33.6</v>
      </c>
      <c r="D187">
        <v>34.6</v>
      </c>
    </row>
    <row r="188" spans="1:4" ht="14.4" x14ac:dyDescent="0.3">
      <c r="A188" s="2"/>
      <c r="B188" t="s">
        <v>183</v>
      </c>
      <c r="C188">
        <v>77.7</v>
      </c>
      <c r="D188">
        <v>77.900000000000006</v>
      </c>
    </row>
    <row r="189" spans="1:4" ht="14.4" x14ac:dyDescent="0.3">
      <c r="A189" s="2"/>
      <c r="B189" t="s">
        <v>184</v>
      </c>
      <c r="C189">
        <v>61.8</v>
      </c>
      <c r="D189">
        <v>61.8</v>
      </c>
    </row>
    <row r="190" spans="1:4" ht="14.4" x14ac:dyDescent="0.3">
      <c r="A190" s="2"/>
      <c r="B190" t="s">
        <v>185</v>
      </c>
      <c r="C190">
        <v>54.6</v>
      </c>
      <c r="D190">
        <v>54.6</v>
      </c>
    </row>
    <row r="191" spans="1:4" ht="14.4" x14ac:dyDescent="0.3">
      <c r="A191" s="2"/>
      <c r="B191" t="s">
        <v>328</v>
      </c>
      <c r="C191">
        <v>63.6</v>
      </c>
      <c r="D191">
        <v>63.7</v>
      </c>
    </row>
    <row r="192" spans="1:4" ht="14.4" x14ac:dyDescent="0.3">
      <c r="A192" s="2"/>
      <c r="B192" t="s">
        <v>186</v>
      </c>
      <c r="C192">
        <v>57</v>
      </c>
      <c r="D192">
        <v>57.1</v>
      </c>
    </row>
    <row r="193" spans="1:4" ht="14.4" x14ac:dyDescent="0.3">
      <c r="A193" s="2"/>
      <c r="B193" t="s">
        <v>187</v>
      </c>
      <c r="C193">
        <v>48</v>
      </c>
      <c r="D193">
        <v>44.8</v>
      </c>
    </row>
    <row r="194" spans="1:4" ht="14.4" x14ac:dyDescent="0.3">
      <c r="A194" s="2"/>
      <c r="B194" t="s">
        <v>188</v>
      </c>
      <c r="C194">
        <v>47.4</v>
      </c>
      <c r="D194">
        <v>47.5</v>
      </c>
    </row>
    <row r="195" spans="1:4" ht="14.4" x14ac:dyDescent="0.3">
      <c r="A195" s="2"/>
      <c r="B195" t="s">
        <v>189</v>
      </c>
      <c r="C195">
        <v>82</v>
      </c>
      <c r="D195">
        <v>82</v>
      </c>
    </row>
    <row r="196" spans="1:4" ht="14.4" x14ac:dyDescent="0.3">
      <c r="A196" s="2"/>
      <c r="B196" t="s">
        <v>190</v>
      </c>
      <c r="C196">
        <v>76.599999999999994</v>
      </c>
      <c r="D196">
        <v>76.599999999999994</v>
      </c>
    </row>
    <row r="197" spans="1:4" ht="14.4" x14ac:dyDescent="0.3">
      <c r="A197" s="2"/>
      <c r="B197" t="s">
        <v>191</v>
      </c>
      <c r="C197">
        <v>41.5</v>
      </c>
      <c r="D197">
        <v>42</v>
      </c>
    </row>
    <row r="198" spans="1:4" ht="14.4" x14ac:dyDescent="0.3">
      <c r="A198" s="2"/>
      <c r="B198" t="s">
        <v>338</v>
      </c>
      <c r="C198">
        <v>81</v>
      </c>
      <c r="D198">
        <v>80.900000000000006</v>
      </c>
    </row>
    <row r="199" spans="1:4" ht="14.4" x14ac:dyDescent="0.3">
      <c r="A199" s="2"/>
      <c r="B199" t="s">
        <v>192</v>
      </c>
      <c r="C199">
        <v>55.4</v>
      </c>
      <c r="D199">
        <v>61.3</v>
      </c>
    </row>
    <row r="200" spans="1:4" ht="14.4" x14ac:dyDescent="0.3">
      <c r="A200" s="2"/>
      <c r="B200" t="s">
        <v>193</v>
      </c>
      <c r="C200">
        <v>54.3</v>
      </c>
      <c r="D200">
        <v>54.5</v>
      </c>
    </row>
    <row r="201" spans="1:4" ht="14.4" x14ac:dyDescent="0.3">
      <c r="A201" s="2"/>
      <c r="B201" t="s">
        <v>194</v>
      </c>
      <c r="C201">
        <v>79.5</v>
      </c>
      <c r="D201">
        <v>80.099999999999994</v>
      </c>
    </row>
    <row r="202" spans="1:4" ht="14.4" x14ac:dyDescent="0.3">
      <c r="A202" s="2"/>
      <c r="B202" t="s">
        <v>195</v>
      </c>
      <c r="C202">
        <v>39.700000000000003</v>
      </c>
      <c r="D202">
        <v>39.4</v>
      </c>
    </row>
    <row r="203" spans="1:4" ht="14.4" x14ac:dyDescent="0.3">
      <c r="A203" s="2"/>
      <c r="B203" t="s">
        <v>196</v>
      </c>
      <c r="C203">
        <v>55.3</v>
      </c>
      <c r="D203">
        <v>62.3</v>
      </c>
    </row>
    <row r="204" spans="1:4" ht="14.4" x14ac:dyDescent="0.3">
      <c r="A204" s="2"/>
      <c r="B204" t="s">
        <v>197</v>
      </c>
      <c r="C204">
        <v>61.7</v>
      </c>
      <c r="D204">
        <v>61.4</v>
      </c>
    </row>
    <row r="205" spans="1:4" ht="14.4" x14ac:dyDescent="0.3">
      <c r="A205" s="2"/>
      <c r="B205" t="s">
        <v>198</v>
      </c>
      <c r="C205">
        <v>61</v>
      </c>
      <c r="D205">
        <v>61.3</v>
      </c>
    </row>
    <row r="206" spans="1:4" ht="14.4" x14ac:dyDescent="0.3">
      <c r="A206" s="2"/>
      <c r="B206" t="s">
        <v>199</v>
      </c>
      <c r="C206">
        <v>67.2</v>
      </c>
      <c r="D206">
        <v>68.7</v>
      </c>
    </row>
    <row r="207" spans="1:4" ht="14.4" x14ac:dyDescent="0.3">
      <c r="A207" s="2"/>
      <c r="B207" t="s">
        <v>325</v>
      </c>
      <c r="C207">
        <v>75.3</v>
      </c>
      <c r="D207">
        <v>76.8</v>
      </c>
    </row>
    <row r="208" spans="1:4" ht="14.4" x14ac:dyDescent="0.3">
      <c r="A208" s="2"/>
      <c r="B208" t="s">
        <v>200</v>
      </c>
      <c r="C208">
        <v>58.4</v>
      </c>
      <c r="D208">
        <v>60</v>
      </c>
    </row>
    <row r="209" spans="1:4" ht="14.4" x14ac:dyDescent="0.3">
      <c r="A209" s="2"/>
      <c r="B209" t="s">
        <v>201</v>
      </c>
      <c r="C209">
        <v>69.099999999999994</v>
      </c>
      <c r="D209">
        <v>70.2</v>
      </c>
    </row>
    <row r="210" spans="1:4" ht="14.4" x14ac:dyDescent="0.3">
      <c r="A210" s="2"/>
      <c r="B210" t="s">
        <v>202</v>
      </c>
      <c r="C210">
        <v>81.599999999999994</v>
      </c>
      <c r="D210">
        <v>80.900000000000006</v>
      </c>
    </row>
    <row r="211" spans="1:4" ht="14.4" x14ac:dyDescent="0.3">
      <c r="A211" s="2"/>
      <c r="B211" t="s">
        <v>203</v>
      </c>
      <c r="C211">
        <v>83.6</v>
      </c>
      <c r="D211">
        <v>83.5</v>
      </c>
    </row>
    <row r="212" spans="1:4" ht="14.4" x14ac:dyDescent="0.3">
      <c r="A212" s="2"/>
      <c r="B212" t="s">
        <v>204</v>
      </c>
      <c r="C212">
        <v>83.6</v>
      </c>
      <c r="D212">
        <v>84</v>
      </c>
    </row>
    <row r="213" spans="1:4" ht="14.4" x14ac:dyDescent="0.3">
      <c r="A213" s="2"/>
      <c r="B213" t="s">
        <v>205</v>
      </c>
      <c r="C213">
        <v>81.400000000000006</v>
      </c>
      <c r="D213">
        <v>82.2</v>
      </c>
    </row>
    <row r="214" spans="1:4" ht="14.4" x14ac:dyDescent="0.3">
      <c r="A214" s="2"/>
      <c r="B214" t="s">
        <v>206</v>
      </c>
      <c r="C214">
        <v>85</v>
      </c>
      <c r="D214">
        <v>85.2</v>
      </c>
    </row>
    <row r="215" spans="1:4" ht="14.4" x14ac:dyDescent="0.3">
      <c r="A215" s="2"/>
      <c r="B215" t="s">
        <v>207</v>
      </c>
      <c r="C215">
        <v>61.4</v>
      </c>
      <c r="D215">
        <v>61.5</v>
      </c>
    </row>
    <row r="216" spans="1:4" ht="14.4" x14ac:dyDescent="0.3">
      <c r="A216" s="2"/>
      <c r="B216" t="s">
        <v>208</v>
      </c>
      <c r="C216">
        <v>67.8</v>
      </c>
      <c r="D216">
        <v>69.900000000000006</v>
      </c>
    </row>
    <row r="217" spans="1:4" ht="14.4" x14ac:dyDescent="0.3">
      <c r="A217" s="2"/>
      <c r="B217" t="s">
        <v>209</v>
      </c>
      <c r="C217">
        <v>60.7</v>
      </c>
      <c r="D217">
        <v>61.1</v>
      </c>
    </row>
    <row r="218" spans="1:4" ht="14.4" x14ac:dyDescent="0.3">
      <c r="A218" s="2"/>
      <c r="B218" t="s">
        <v>210</v>
      </c>
      <c r="C218">
        <v>32.1</v>
      </c>
      <c r="D218">
        <v>30.2</v>
      </c>
    </row>
    <row r="219" spans="1:4" ht="14.4" x14ac:dyDescent="0.3">
      <c r="A219" s="2"/>
      <c r="B219" t="s">
        <v>337</v>
      </c>
      <c r="C219">
        <v>68.599999999999994</v>
      </c>
      <c r="D219">
        <v>69.8</v>
      </c>
    </row>
    <row r="220" spans="1:4" ht="14.4" x14ac:dyDescent="0.3">
      <c r="A220" s="2"/>
      <c r="B220" t="s">
        <v>211</v>
      </c>
      <c r="C220">
        <v>59.7</v>
      </c>
      <c r="D220">
        <v>60</v>
      </c>
    </row>
    <row r="221" spans="1:4" ht="14.4" x14ac:dyDescent="0.3">
      <c r="A221" s="2"/>
      <c r="B221" t="s">
        <v>212</v>
      </c>
      <c r="C221">
        <v>30.7</v>
      </c>
      <c r="D221">
        <v>31.8</v>
      </c>
    </row>
    <row r="222" spans="1:4" ht="14.4" x14ac:dyDescent="0.3">
      <c r="A222" s="2"/>
      <c r="B222" t="s">
        <v>213</v>
      </c>
      <c r="C222">
        <v>65.7</v>
      </c>
      <c r="D222">
        <v>66.900000000000006</v>
      </c>
    </row>
    <row r="223" spans="1:4" ht="14.4" x14ac:dyDescent="0.3">
      <c r="A223" s="2"/>
      <c r="B223" t="s">
        <v>214</v>
      </c>
      <c r="C223">
        <v>50.5</v>
      </c>
      <c r="D223">
        <v>54.5</v>
      </c>
    </row>
  </sheetData>
  <mergeCells count="2">
    <mergeCell ref="A2:D2"/>
    <mergeCell ref="A10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10" ma:contentTypeDescription="Ein neues Dokument erstellen." ma:contentTypeScope="" ma:versionID="32c5804f83d42255678497615c7cdf27">
  <xsd:schema xmlns:xsd="http://www.w3.org/2001/XMLSchema" xmlns:xs="http://www.w3.org/2001/XMLSchema" xmlns:p="http://schemas.microsoft.com/office/2006/metadata/properties" xmlns:ns2="938da60d-4642-413d-85aa-e98b25a009ac" xmlns:ns3="9baeeacb-e513-4050-b326-d2145e9eb1ca" targetNamespace="http://schemas.microsoft.com/office/2006/metadata/properties" ma:root="true" ma:fieldsID="275f817f2ad96d0554193fb5d0e68d48" ns2:_="" ns3:_="">
    <xsd:import namespace="938da60d-4642-413d-85aa-e98b25a009ac"/>
    <xsd:import namespace="9baeeacb-e513-4050-b326-d2145e9eb1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eeacb-e513-4050-b326-d2145e9eb1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96d2ee-de58-4e75-a6ca-1ac75aeec518}" ma:internalName="TaxCatchAll" ma:showField="CatchAllData" ma:web="9baeeacb-e513-4050-b326-d2145e9eb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aeeacb-e513-4050-b326-d2145e9eb1ca" xsi:nil="true"/>
    <lcf76f155ced4ddcb4097134ff3c332f xmlns="938da60d-4642-413d-85aa-e98b25a009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A89BE3-9602-4FBF-94CA-0EB1CADE4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8da60d-4642-413d-85aa-e98b25a009ac"/>
    <ds:schemaRef ds:uri="9baeeacb-e513-4050-b326-d2145e9eb1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03781E-5DE0-4538-8CCE-E2DFC389E8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BE17F5-9652-44F5-9504-DB31E0FCA44B}">
  <ds:schemaRefs>
    <ds:schemaRef ds:uri="http://schemas.microsoft.com/office/2006/metadata/properties"/>
    <ds:schemaRef ds:uri="http://schemas.microsoft.com/office/infopath/2007/PartnerControls"/>
    <ds:schemaRef ds:uri="9baeeacb-e513-4050-b326-d2145e9eb1ca"/>
    <ds:schemaRef ds:uri="938da60d-4642-413d-85aa-e98b25a009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Raw&gt;&gt;</vt:lpstr>
      <vt:lpstr>Ease of Doing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Rohkämper, Felix Balthasar</cp:lastModifiedBy>
  <dcterms:created xsi:type="dcterms:W3CDTF">2026-04-08T14:04:17Z</dcterms:created>
  <dcterms:modified xsi:type="dcterms:W3CDTF">2026-04-10T08:14:35Z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  <property fmtid="{D5CDD505-2E9C-101B-9397-08002B2CF9AE}" pid="3" name="MediaServiceImageTags">
    <vt:lpwstr/>
  </property>
</Properties>
</file>