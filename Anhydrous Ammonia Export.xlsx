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u.sharepoint.com/sites/MasterThesis_hkmy77/Freigegebene Dokumente/General/03_Data/04_Variable Selection/Variables prepped/"/>
    </mc:Choice>
  </mc:AlternateContent>
  <xr:revisionPtr revIDLastSave="0" documentId="8_{3611F386-965A-4F81-8109-E1916CDB568C}" xr6:coauthVersionLast="47" xr6:coauthVersionMax="47" xr10:uidLastSave="{00000000-0000-0000-0000-000000000000}"/>
  <bookViews>
    <workbookView xWindow="-108" yWindow="-108" windowWidth="23256" windowHeight="13896" activeTab="2" xr2:uid="{F27479E6-D6B1-41D2-BFA8-A9D4072700E4}"/>
  </bookViews>
  <sheets>
    <sheet name="Methodology" sheetId="2" r:id="rId1"/>
    <sheet name="Ouput&gt;&gt;" sheetId="5" r:id="rId2"/>
    <sheet name="Output" sheetId="6" r:id="rId3"/>
    <sheet name="Transformed&gt;&gt;" sheetId="4" r:id="rId4"/>
    <sheet name="ED_CEPII Data" sheetId="7" r:id="rId5"/>
    <sheet name="ED_Country Codes" sheetId="9" r:id="rId6"/>
    <sheet name="Raw&gt;&gt;" sheetId="3" r:id="rId7"/>
    <sheet name="CEPII Data" sheetId="1" r:id="rId8"/>
    <sheet name="Country Codes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9" i="6" l="1"/>
  <c r="D110" i="6"/>
  <c r="D111" i="6"/>
  <c r="D112" i="6"/>
  <c r="D108" i="6"/>
  <c r="F111" i="6"/>
  <c r="G111" i="6"/>
  <c r="F112" i="6"/>
  <c r="G112" i="6"/>
  <c r="F110" i="6"/>
  <c r="G110" i="6"/>
  <c r="H110" i="6"/>
  <c r="H109" i="6"/>
  <c r="G109" i="6"/>
  <c r="G108" i="6"/>
  <c r="F108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7" i="6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5" i="7"/>
</calcChain>
</file>

<file path=xl/sharedStrings.xml><?xml version="1.0" encoding="utf-8"?>
<sst xmlns="http://schemas.openxmlformats.org/spreadsheetml/2006/main" count="1201" uniqueCount="991">
  <si>
    <t>k</t>
  </si>
  <si>
    <t>t</t>
  </si>
  <si>
    <t>Row Labels</t>
  </si>
  <si>
    <t>Sum of q</t>
  </si>
  <si>
    <t>Grand Total</t>
  </si>
  <si>
    <t>Methodology</t>
  </si>
  <si>
    <t>1. Download CEPII Data -&gt; more than 8mn rows --&gt; need to load as Pivot Table</t>
  </si>
  <si>
    <t>3. Apply country codes to map to database</t>
  </si>
  <si>
    <t>Ammonia: anhydrous</t>
  </si>
  <si>
    <t>Product</t>
  </si>
  <si>
    <t>Year</t>
  </si>
  <si>
    <t>2. Select prduct - anhydrous ammonia as best proxy for exisiting hydrogen export strucutre since closest concerning special requirements for export (temperature and pressurized storage) for 2024 - import quantity of export</t>
  </si>
  <si>
    <t>country_code,country_name,country_iso2,country_iso3</t>
  </si>
  <si>
    <t>4,Afghanistan,AF,AFG</t>
  </si>
  <si>
    <t>8,Albania,AL,ALB</t>
  </si>
  <si>
    <t>12,Algeria,DZ,DZA</t>
  </si>
  <si>
    <t>16,American Samoa,AS,ASM</t>
  </si>
  <si>
    <t>20,Andorra,AD,AND</t>
  </si>
  <si>
    <t>24,Angola,AO,AGO</t>
  </si>
  <si>
    <t>28,Antigua and Barbuda,AG,ATG</t>
  </si>
  <si>
    <t>31,Azerbaijan,AZ,AZE</t>
  </si>
  <si>
    <t>32,Argentina,AR,ARG</t>
  </si>
  <si>
    <t>36,Australia,AU,AUS</t>
  </si>
  <si>
    <t>40,Austria,AT,AUT</t>
  </si>
  <si>
    <t>44,Bahamas,BS,BHS</t>
  </si>
  <si>
    <t>48,Bahrain,BH,BHR</t>
  </si>
  <si>
    <t>50,Bangladesh,BD,BGD</t>
  </si>
  <si>
    <t>51,Armenia,AM,ARM</t>
  </si>
  <si>
    <t>52,Barbados,BB,BRB</t>
  </si>
  <si>
    <t>56,Belgium,BE,BEL</t>
  </si>
  <si>
    <t>58,Belgium-Luxembourg (...1998),BE,BEL</t>
  </si>
  <si>
    <t>60,Bermuda,BM,BMU</t>
  </si>
  <si>
    <t>64,Bhutan,BT,BTN</t>
  </si>
  <si>
    <t>68,Bolivia (Plurinational State of),BO,BOL</t>
  </si>
  <si>
    <t>70,Bosnia Herzegovina,BA,BIH</t>
  </si>
  <si>
    <t>72,Botswana,BW,BWA</t>
  </si>
  <si>
    <t>76,Brazil,BR,BRA</t>
  </si>
  <si>
    <t>84,Belize,BZ,BLZ</t>
  </si>
  <si>
    <t>86,Br. Indian Ocean Terr.,IO,IOT</t>
  </si>
  <si>
    <t>90,Solomon Isds,SB,SLB</t>
  </si>
  <si>
    <t>92,Br. Virgin Isds,VG,VGB</t>
  </si>
  <si>
    <t>96,Brunei Darussalam,BN,BRN</t>
  </si>
  <si>
    <t>100,Bulgaria,BG,BGR</t>
  </si>
  <si>
    <t>104,Myanmar,MM,MMR</t>
  </si>
  <si>
    <t>108,Burundi,BI,BDI</t>
  </si>
  <si>
    <t>112,Belarus,BY,BLR</t>
  </si>
  <si>
    <t>116,Cambodia,KH,KHM</t>
  </si>
  <si>
    <t>120,Cameroon,CM,CMR</t>
  </si>
  <si>
    <t>124,Canada,CA,CAN</t>
  </si>
  <si>
    <t>132,Cabo Verde,CV,CPV</t>
  </si>
  <si>
    <t>136,Cayman Isds,KY,CYM</t>
  </si>
  <si>
    <t>140,Central African Rep.,CF,CAF</t>
  </si>
  <si>
    <t>144,Sri Lanka,LK,LKA</t>
  </si>
  <si>
    <t>148,Chad,TD,TCD</t>
  </si>
  <si>
    <t>152,Chile,CL,CHL</t>
  </si>
  <si>
    <t>156,China,CN,CHN</t>
  </si>
  <si>
    <t>162,Christmas Isds,CX,CXR</t>
  </si>
  <si>
    <t>166,Cocos Isds,CC,CCK</t>
  </si>
  <si>
    <t>170,Colombia,CO,COL</t>
  </si>
  <si>
    <t>174,Comoros,KM,COM</t>
  </si>
  <si>
    <t>175,Mayotte (Overseas France),YT,MYT</t>
  </si>
  <si>
    <t>178,Congo,CG,COG</t>
  </si>
  <si>
    <t>180,Dem. Rep. of the Congo,CD,COD</t>
  </si>
  <si>
    <t>184,Cook Isds,CK,COK</t>
  </si>
  <si>
    <t>188,Costa Rica,CR,CRI</t>
  </si>
  <si>
    <t>191,Croatia,HR,HRV</t>
  </si>
  <si>
    <t>192,Cuba,CU,CUB</t>
  </si>
  <si>
    <t>196,Cyprus,CY,CYP</t>
  </si>
  <si>
    <t>200,Czechoslovakia (...1992),CS,CSK</t>
  </si>
  <si>
    <t>203,Czechia,CZ,CZE</t>
  </si>
  <si>
    <t>204,Benin,BJ,BEN</t>
  </si>
  <si>
    <t>208,Denmark,DK,DNK</t>
  </si>
  <si>
    <t>212,Dominica,DM,DMA</t>
  </si>
  <si>
    <t>214,Dominican Rep.,DO,DOM</t>
  </si>
  <si>
    <t>218,Ecuador,EC,ECU</t>
  </si>
  <si>
    <t>222,El Salvador,SV,SLV</t>
  </si>
  <si>
    <t>226,Equatorial Guinea,GQ,GNQ</t>
  </si>
  <si>
    <t>231,Ethiopia,ET,ETH</t>
  </si>
  <si>
    <t>232,Eritrea,ER,ERI</t>
  </si>
  <si>
    <t>233,Estonia,EE,EST</t>
  </si>
  <si>
    <t>238,Falkland Isds (Malvinas),FK,FLK</t>
  </si>
  <si>
    <t>242,Fiji,FJ,FJI</t>
  </si>
  <si>
    <t>246,Finland,FI,FIN</t>
  </si>
  <si>
    <t>251,France,FR,FRA</t>
  </si>
  <si>
    <t>258,French Polynesia,PF,PYF</t>
  </si>
  <si>
    <t>260,Fr. South Antarctic Terr.,TF,ATF</t>
  </si>
  <si>
    <t>262,Djibouti,DJ,DJI</t>
  </si>
  <si>
    <t>266,Gabon,GA,GAB</t>
  </si>
  <si>
    <t>268,Georgia,GE,GEO</t>
  </si>
  <si>
    <t>270,Gambia,GM,GMB</t>
  </si>
  <si>
    <t>275,State of Palestine,PS,PSE</t>
  </si>
  <si>
    <t>276,Germany,DE,DEU</t>
  </si>
  <si>
    <t>278,Dem. Rep. of Germany (...1990),DD,DDR</t>
  </si>
  <si>
    <t>280,Fed. Rep. of Germany (...1990),DE,DEU</t>
  </si>
  <si>
    <t>288,Ghana,GH,GHA</t>
  </si>
  <si>
    <t>292,Gibraltar,GI,GIB</t>
  </si>
  <si>
    <t>296,Kiribati,KI,KIR</t>
  </si>
  <si>
    <t>300,Greece,GR,GRC</t>
  </si>
  <si>
    <t>304,Greenland,GL,GRL</t>
  </si>
  <si>
    <t>308,Grenada,GD,GRD</t>
  </si>
  <si>
    <t>316,Guam,GU,GUM</t>
  </si>
  <si>
    <t>320,Guatemala,GT,GTM</t>
  </si>
  <si>
    <t>324,Guinea,GN,GIN</t>
  </si>
  <si>
    <t>328,Guyana,GY,GUY</t>
  </si>
  <si>
    <t>332,Haiti,HT,HTI</t>
  </si>
  <si>
    <t>340,Honduras,HN,HND</t>
  </si>
  <si>
    <t>344,"China, Hong Kong SAR",HK,HKG</t>
  </si>
  <si>
    <t>348,Hungary,HU,HUN</t>
  </si>
  <si>
    <t>352,Iceland,IS,ISL</t>
  </si>
  <si>
    <t>360,Indonesia,ID,IDN</t>
  </si>
  <si>
    <t>364,Iran,IR,IRN</t>
  </si>
  <si>
    <t>368,Iraq,IQ,IRQ</t>
  </si>
  <si>
    <t>372,Ireland,IE,IRL</t>
  </si>
  <si>
    <t>376,Israel,IL,ISR</t>
  </si>
  <si>
    <t>380,Italy,IT,ITA</t>
  </si>
  <si>
    <t>384,CÃƒÂ´te d'Ivoire,CI,CIV</t>
  </si>
  <si>
    <t>388,Jamaica,JM,JAM</t>
  </si>
  <si>
    <t>392,Japan,JP,JPN</t>
  </si>
  <si>
    <t>398,Kazakhstan,KZ,KAZ</t>
  </si>
  <si>
    <t>400,Jordan,JO,JOR</t>
  </si>
  <si>
    <t>404,Kenya,KE,KEN</t>
  </si>
  <si>
    <t>408,Dem. People's Rep. of Korea,KP,PRK</t>
  </si>
  <si>
    <t>410,Rep. of Korea,KR,KOR</t>
  </si>
  <si>
    <t>414,Kuwait,KW,KWT</t>
  </si>
  <si>
    <t>417,Kyrgyzstan,KG,KGZ</t>
  </si>
  <si>
    <t>418,Lao People's Dem. Rep.,LA,LAO</t>
  </si>
  <si>
    <t>422,Lebanon,LB,LBN</t>
  </si>
  <si>
    <t>426,Lesotho,LS,LSO</t>
  </si>
  <si>
    <t>428,Latvia,LV,LVA</t>
  </si>
  <si>
    <t>430,Liberia,LR,LBR</t>
  </si>
  <si>
    <t>434,Libya,LY,LBY</t>
  </si>
  <si>
    <t>440,Lithuania,LT,LTU</t>
  </si>
  <si>
    <t>442,Luxembourg,LU,LUX</t>
  </si>
  <si>
    <t>446,"China, Macao SAR",MO,MAC</t>
  </si>
  <si>
    <t>450,Madagascar,MG,MDG</t>
  </si>
  <si>
    <t>454,Malawi,MW,MWI</t>
  </si>
  <si>
    <t>458,Malaysia,MY,MYS</t>
  </si>
  <si>
    <t>462,Maldives,MV,MDV</t>
  </si>
  <si>
    <t>466,Mali,ML,MLI</t>
  </si>
  <si>
    <t>470,Malta,MT,MLT</t>
  </si>
  <si>
    <t>478,Mauritania,MR,MRT</t>
  </si>
  <si>
    <t>480,Mauritius,MU,MUS</t>
  </si>
  <si>
    <t>484,Mexico,MX,MEX</t>
  </si>
  <si>
    <t>490,"Other Asia, nes",,S19</t>
  </si>
  <si>
    <t>496,Mongolia,MN,MNG</t>
  </si>
  <si>
    <t>498,Rep. of Moldova,MD,MDA</t>
  </si>
  <si>
    <t>499,Montenegro,ME,MNE</t>
  </si>
  <si>
    <t>500,Montserrat,MS,MSR</t>
  </si>
  <si>
    <t>504,Morocco,MA,MAR</t>
  </si>
  <si>
    <t>508,Mozambique,MZ,MOZ</t>
  </si>
  <si>
    <t>512,Oman,OM,OMN</t>
  </si>
  <si>
    <t>516,Namibia,,NAM</t>
  </si>
  <si>
    <t>520,Nauru,NR,NRU</t>
  </si>
  <si>
    <t>524,Nepal,NP,NPL</t>
  </si>
  <si>
    <t>528,Netherlands,NL,NLD</t>
  </si>
  <si>
    <t>530,Netherlands Antilles (...2010),AN,ANT</t>
  </si>
  <si>
    <t>531,CuraÃƒÂ§ao,CW,CUW</t>
  </si>
  <si>
    <t>533,Aruba,AW,ABW</t>
  </si>
  <si>
    <t>534,Saint Maarten,SX,SXM</t>
  </si>
  <si>
    <t>535,Bonaire,BQ,BES</t>
  </si>
  <si>
    <t>540,New Caledonia,NC,NCL</t>
  </si>
  <si>
    <t>548,Vanuatu,VU,VUT</t>
  </si>
  <si>
    <t>554,New Zealand,NZ,NZL</t>
  </si>
  <si>
    <t>558,Nicaragua,NI,NIC</t>
  </si>
  <si>
    <t>562,Niger,NE,NER</t>
  </si>
  <si>
    <t>566,Nigeria,NG,NGA</t>
  </si>
  <si>
    <t>570,Niue,NU,NIU</t>
  </si>
  <si>
    <t>574,Norfolk Isds,NF,NFK</t>
  </si>
  <si>
    <t>579,Norway,NO,NOR</t>
  </si>
  <si>
    <t>580,N. Mariana Isds,MP,MNP</t>
  </si>
  <si>
    <t>583,FS Micronesia,FM,FSM</t>
  </si>
  <si>
    <t>584,Marshall Isds,MH,MHL</t>
  </si>
  <si>
    <t>585,Palau,PW,PLW</t>
  </si>
  <si>
    <t>586,Pakistan,PK,PAK</t>
  </si>
  <si>
    <t>591,Panama,PA,PAN</t>
  </si>
  <si>
    <t>598,Papua New Guinea,PG,PNG</t>
  </si>
  <si>
    <t>600,Paraguay,PY,PRY</t>
  </si>
  <si>
    <t>604,Peru,PE,PER</t>
  </si>
  <si>
    <t>608,Philippines,PH,PHL</t>
  </si>
  <si>
    <t>612,Pitcairn,PN,PCN</t>
  </si>
  <si>
    <t>616,Poland,PL,POL</t>
  </si>
  <si>
    <t>620,Portugal,PT,PRT</t>
  </si>
  <si>
    <t>624,Guinea-Bissau,GW,GNB</t>
  </si>
  <si>
    <t>626,Timor-Leste,TL,TLS</t>
  </si>
  <si>
    <t>634,Qatar,QA,QAT</t>
  </si>
  <si>
    <t>642,Romania,RO,ROU</t>
  </si>
  <si>
    <t>643,Russian Federation,RU,RUS</t>
  </si>
  <si>
    <t>646,Rwanda,RW,RWA</t>
  </si>
  <si>
    <t>652,Saint BarthÃƒÂ©lemy,BL,BLM</t>
  </si>
  <si>
    <t>654,Saint Helena,SH,SHN</t>
  </si>
  <si>
    <t>659,Saint Kitts and Nevis,KN,KNA</t>
  </si>
  <si>
    <t>660,Anguilla,AI,AIA</t>
  </si>
  <si>
    <t>662,Saint Lucia,LC,LCA</t>
  </si>
  <si>
    <t>666,Saint Pierre and Miquelon,PM,SPM</t>
  </si>
  <si>
    <t>670,Saint Vincent and the Grenadines,VC,VCT</t>
  </si>
  <si>
    <t>674,San Marino,SM,SMR</t>
  </si>
  <si>
    <t>678,Sao Tome and Principe,ST,STP</t>
  </si>
  <si>
    <t>682,Saudi Arabia,SA,SAU</t>
  </si>
  <si>
    <t>686,Senegal,SN,SEN</t>
  </si>
  <si>
    <t>688,Serbia,RS,SRB</t>
  </si>
  <si>
    <t>690,Seychelles,SC,SYC</t>
  </si>
  <si>
    <t>694,Sierra Leone,SL,SLE</t>
  </si>
  <si>
    <t>697,"Europe EFTA, nes",,R20</t>
  </si>
  <si>
    <t>699,India,IN,IND</t>
  </si>
  <si>
    <t>702,Singapore,SG,SGP</t>
  </si>
  <si>
    <t>703,Slovakia,SK,SVK</t>
  </si>
  <si>
    <t>704,Viet Nam,VN,VNM</t>
  </si>
  <si>
    <t>705,Slovenia,SI,SVN</t>
  </si>
  <si>
    <t>706,Somalia,SO,SOM</t>
  </si>
  <si>
    <t>710,South Africa,ZA,ZAF</t>
  </si>
  <si>
    <t>711,Southern African Customs Union (...1999),,ZA1</t>
  </si>
  <si>
    <t>716,Zimbabwe,ZW,ZWE</t>
  </si>
  <si>
    <t>724,Spain,ES,ESP</t>
  </si>
  <si>
    <t>728,South Sudan,SS,SSD</t>
  </si>
  <si>
    <t>729,Sudan,SD,SDN</t>
  </si>
  <si>
    <t>736,Sudan (...2011),SD,SDN</t>
  </si>
  <si>
    <t>740,Suriname,SR,SUR</t>
  </si>
  <si>
    <t>748,Eswatini,SZ,SWZ</t>
  </si>
  <si>
    <t>752,Sweden,SE,SWE</t>
  </si>
  <si>
    <t>757,Switzerland,CH,CHE</t>
  </si>
  <si>
    <t>760,Syria,SY,SYR</t>
  </si>
  <si>
    <t>762,Tajikistan,TJ,TJK</t>
  </si>
  <si>
    <t>764,Thailand,TH,THA</t>
  </si>
  <si>
    <t>768,Togo,TG,TGO</t>
  </si>
  <si>
    <t>772,Tokelau,TK,TKL</t>
  </si>
  <si>
    <t>776,Tonga,TO,TON</t>
  </si>
  <si>
    <t>780,Trinidad and Tobago,TT,TTO</t>
  </si>
  <si>
    <t>784,United Arab Emirates,AE,ARE</t>
  </si>
  <si>
    <t>788,Tunisia,TN,TUN</t>
  </si>
  <si>
    <t>792,TÃƒÂ¼rkiye,TR,TUR</t>
  </si>
  <si>
    <t>795,Turkmenistan,TM,TKM</t>
  </si>
  <si>
    <t>796,Turks and Caicos Isds,TC,TCA</t>
  </si>
  <si>
    <t>798,Tuvalu,TV,TUV</t>
  </si>
  <si>
    <t>800,Uganda,UG,UGA</t>
  </si>
  <si>
    <t>804,Ukraine,UA,UKR</t>
  </si>
  <si>
    <t>807,North Macedonia,MK,MKD</t>
  </si>
  <si>
    <t>810,USSR (...1990),SU,SUN</t>
  </si>
  <si>
    <t>818,Egypt,EG,EGY</t>
  </si>
  <si>
    <t>826,United Kingdom,GB,GBR</t>
  </si>
  <si>
    <t>834,United Rep. of Tanzania,TZ,TZA</t>
  </si>
  <si>
    <t>842,USA,US,USA</t>
  </si>
  <si>
    <t>849,US Misc. Pacific Isds,PU,PUS</t>
  </si>
  <si>
    <t>854,Burkina Faso,BF,BFA</t>
  </si>
  <si>
    <t>858,Uruguay,UY,URY</t>
  </si>
  <si>
    <t>860,Uzbekistan,UZ,UZB</t>
  </si>
  <si>
    <t>862,Venezuela,VE,VEN</t>
  </si>
  <si>
    <t>876,Wallis and Futuna Isds,WF,WLF</t>
  </si>
  <si>
    <t>882,Samoa,WS,WSM</t>
  </si>
  <si>
    <t>887,Yemen,YE,YEM</t>
  </si>
  <si>
    <t>891,Serbia and Montenegro (...2005),CS,SCG</t>
  </si>
  <si>
    <t>894,Zambia,ZM,ZMB</t>
  </si>
  <si>
    <t>country_code</t>
  </si>
  <si>
    <t>country_name</t>
  </si>
  <si>
    <t>country_iso2</t>
  </si>
  <si>
    <t>country_iso3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</si>
  <si>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</si>
  <si>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</si>
  <si>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</si>
  <si>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</si>
  <si>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</si>
  <si>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</si>
  <si>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</si>
  <si>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</si>
  <si>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</si>
  <si>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</si>
  <si>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</si>
  <si>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</si>
  <si>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</si>
  <si>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</si>
  <si>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</si>
  <si>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</si>
  <si>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</si>
  <si>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</si>
  <si>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Antigua and Barbuda</t>
  </si>
  <si>
    <t>AG</t>
  </si>
  <si>
    <t>ATG</t>
  </si>
  <si>
    <t>Azerbaijan</t>
  </si>
  <si>
    <t>AZ</t>
  </si>
  <si>
    <t>AZE</t>
  </si>
  <si>
    <t>Argentina</t>
  </si>
  <si>
    <t>AR</t>
  </si>
  <si>
    <t>ARG</t>
  </si>
  <si>
    <t>Australia</t>
  </si>
  <si>
    <t>AU</t>
  </si>
  <si>
    <t>AUS</t>
  </si>
  <si>
    <t>Austria</t>
  </si>
  <si>
    <t>AT</t>
  </si>
  <si>
    <t>AUT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</si>
  <si>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</si>
  <si>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</si>
  <si>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</si>
  <si>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</si>
  <si>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</si>
  <si>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</si>
  <si>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</si>
  <si>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</si>
  <si>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</si>
  <si>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Armenia</t>
  </si>
  <si>
    <t>AM</t>
  </si>
  <si>
    <t>ARM</t>
  </si>
  <si>
    <t>Barbados</t>
  </si>
  <si>
    <t>BB</t>
  </si>
  <si>
    <t>BRB</t>
  </si>
  <si>
    <t>Belgium</t>
  </si>
  <si>
    <t>BE</t>
  </si>
  <si>
    <t>BEL</t>
  </si>
  <si>
    <t>Belgium-Luxembourg (...1998)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</si>
  <si>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</si>
  <si>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</si>
  <si>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</si>
  <si>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</si>
  <si>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</si>
  <si>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</si>
  <si>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</si>
  <si>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</si>
  <si>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</si>
  <si>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Bosnia Herzegovina</t>
  </si>
  <si>
    <t>BA</t>
  </si>
  <si>
    <t>BIH</t>
  </si>
  <si>
    <t>Botswana</t>
  </si>
  <si>
    <t>BW</t>
  </si>
  <si>
    <t>BWA</t>
  </si>
  <si>
    <t>Brazil</t>
  </si>
  <si>
    <t>BR</t>
  </si>
  <si>
    <t>BRA</t>
  </si>
  <si>
    <t>Belize</t>
  </si>
  <si>
    <t>BZ</t>
  </si>
  <si>
    <t>BLZ</t>
  </si>
  <si>
    <t>Br. Indian Ocean Terr.</t>
  </si>
  <si>
    <t>IO</t>
  </si>
  <si>
    <t>IOT</t>
  </si>
  <si>
    <t>Solomon Isds</t>
  </si>
  <si>
    <t>SB</t>
  </si>
  <si>
    <t>SLB</t>
  </si>
  <si>
    <t>Br. Virgin Isds</t>
  </si>
  <si>
    <t>VG</t>
  </si>
  <si>
    <t>VGB</t>
  </si>
  <si>
    <t>Brunei Darussalam</t>
  </si>
  <si>
    <t>BN</t>
  </si>
  <si>
    <t>BRN</t>
  </si>
  <si>
    <t>Bulgaria</t>
  </si>
  <si>
    <t>BG</t>
  </si>
  <si>
    <t>BGR</t>
  </si>
  <si>
    <t>Myanmar</t>
  </si>
  <si>
    <t>MM</t>
  </si>
  <si>
    <t>MMR</t>
  </si>
  <si>
    <t>Burundi</t>
  </si>
  <si>
    <t>BI</t>
  </si>
  <si>
    <t>BDI</t>
  </si>
  <si>
    <t>Belarus</t>
  </si>
  <si>
    <t>BY</t>
  </si>
  <si>
    <t>BLR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</si>
  <si>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</si>
  <si>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</si>
  <si>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</si>
  <si>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</si>
  <si>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</si>
  <si>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</si>
  <si>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</si>
  <si>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</si>
  <si>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</si>
  <si>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Cabo Verde</t>
  </si>
  <si>
    <t>CV</t>
  </si>
  <si>
    <t>CPV</t>
  </si>
  <si>
    <t>Cayman Isds</t>
  </si>
  <si>
    <t>KY</t>
  </si>
  <si>
    <t>CYM</t>
  </si>
  <si>
    <t>Central African Rep.</t>
  </si>
  <si>
    <t>CF</t>
  </si>
  <si>
    <t>CAF</t>
  </si>
  <si>
    <t>Sri Lanka</t>
  </si>
  <si>
    <t>LK</t>
  </si>
  <si>
    <t>LKA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</si>
  <si>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</si>
  <si>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</si>
  <si>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</si>
  <si>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</si>
  <si>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</si>
  <si>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</si>
  <si>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</si>
  <si>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</si>
  <si>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</si>
  <si>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Isds</t>
  </si>
  <si>
    <t>CX</t>
  </si>
  <si>
    <t>CXR</t>
  </si>
  <si>
    <t>Cocos Isds</t>
  </si>
  <si>
    <t>CC</t>
  </si>
  <si>
    <t>CCK</t>
  </si>
  <si>
    <t>Colombia</t>
  </si>
  <si>
    <t>CO</t>
  </si>
  <si>
    <t>COL</t>
  </si>
  <si>
    <t>Comoros</t>
  </si>
  <si>
    <t>KM</t>
  </si>
  <si>
    <t>COM</t>
  </si>
  <si>
    <t>Mayotte (Overseas France)</t>
  </si>
  <si>
    <t>YT</t>
  </si>
  <si>
    <t>MYT</t>
  </si>
  <si>
    <t>Congo</t>
  </si>
  <si>
    <t>CG</t>
  </si>
  <si>
    <t>COG</t>
  </si>
  <si>
    <t>Dem. Rep. of the Congo</t>
  </si>
  <si>
    <t>CD</t>
  </si>
  <si>
    <t>COD</t>
  </si>
  <si>
    <t>Cook Isds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</si>
  <si>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</si>
  <si>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</si>
  <si>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</si>
  <si>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</si>
  <si>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</si>
  <si>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</si>
  <si>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</si>
  <si>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</si>
  <si>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</si>
  <si>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</si>
  <si>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</si>
  <si>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Cyprus</t>
  </si>
  <si>
    <t>CY</t>
  </si>
  <si>
    <t>CYP</t>
  </si>
  <si>
    <t>Czechoslovakia (...1992)</t>
  </si>
  <si>
    <t>CS</t>
  </si>
  <si>
    <t>CSK</t>
  </si>
  <si>
    <t>Czechia</t>
  </si>
  <si>
    <t>CZ</t>
  </si>
  <si>
    <t>CZE</t>
  </si>
  <si>
    <t>Benin</t>
  </si>
  <si>
    <t>BJ</t>
  </si>
  <si>
    <t>BEN</t>
  </si>
  <si>
    <t>Denmark</t>
  </si>
  <si>
    <t>DK</t>
  </si>
  <si>
    <t>DNK</t>
  </si>
  <si>
    <t>Dominica</t>
  </si>
  <si>
    <t>DM</t>
  </si>
  <si>
    <t>DMA</t>
  </si>
  <si>
    <t>Dominican Rep.</t>
  </si>
  <si>
    <t>DO</t>
  </si>
  <si>
    <t>DOM</t>
  </si>
  <si>
    <t>Ecuador</t>
  </si>
  <si>
    <t>EC</t>
  </si>
  <si>
    <t>ECU</t>
  </si>
  <si>
    <t>El Salvador</t>
  </si>
  <si>
    <t>SV</t>
  </si>
  <si>
    <t>SLV</t>
  </si>
  <si>
    <t>Equatorial Guinea</t>
  </si>
  <si>
    <t>GQ</t>
  </si>
  <si>
    <t>GNQ</t>
  </si>
  <si>
    <t>Ethiopia</t>
  </si>
  <si>
    <t>ET</t>
  </si>
  <si>
    <t>ETH</t>
  </si>
  <si>
    <t>Eritrea</t>
  </si>
  <si>
    <t>ER</t>
  </si>
  <si>
    <t>ERI</t>
  </si>
  <si>
    <t>Estonia</t>
  </si>
  <si>
    <t>EE</t>
  </si>
  <si>
    <t>EST</t>
  </si>
  <si>
    <t>Falkland Isds (Malvinas)</t>
  </si>
  <si>
    <t>FK</t>
  </si>
  <si>
    <t>FLK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</si>
  <si>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</si>
  <si>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</si>
  <si>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</si>
  <si>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</si>
  <si>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</si>
  <si>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</si>
  <si>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</si>
  <si>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</si>
  <si>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</si>
  <si>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Polynesia</t>
  </si>
  <si>
    <t>PF</t>
  </si>
  <si>
    <t>PYF</t>
  </si>
  <si>
    <t>Fr. South Antarctic Terr.</t>
  </si>
  <si>
    <t>TF</t>
  </si>
  <si>
    <t>ATF</t>
  </si>
  <si>
    <t>Djibouti</t>
  </si>
  <si>
    <t>DJ</t>
  </si>
  <si>
    <t>DJI</t>
  </si>
  <si>
    <t>Gabon</t>
  </si>
  <si>
    <t>GA</t>
  </si>
  <si>
    <t>GAB</t>
  </si>
  <si>
    <t>Georgia</t>
  </si>
  <si>
    <t>GE</t>
  </si>
  <si>
    <t>GEO</t>
  </si>
  <si>
    <t>Gambia</t>
  </si>
  <si>
    <t>GM</t>
  </si>
  <si>
    <t>GMB</t>
  </si>
  <si>
    <t>State of Palestine</t>
  </si>
  <si>
    <t>PS</t>
  </si>
  <si>
    <t>PSE</t>
  </si>
  <si>
    <t>Germany</t>
  </si>
  <si>
    <t>DE</t>
  </si>
  <si>
    <t>DEU</t>
  </si>
  <si>
    <t>Dem. Rep. of Germany (...1990)</t>
  </si>
  <si>
    <t>DD</t>
  </si>
  <si>
    <t>DDR</t>
  </si>
  <si>
    <t>Fed. Rep. of Germany (...1990)</t>
  </si>
  <si>
    <t>Ghana</t>
  </si>
  <si>
    <t>GH</t>
  </si>
  <si>
    <t>GHA</t>
  </si>
  <si>
    <t>Gibraltar</t>
  </si>
  <si>
    <t>GI</t>
  </si>
  <si>
    <t>GIB</t>
  </si>
  <si>
    <t>Kiribati</t>
  </si>
  <si>
    <t>KI</t>
  </si>
  <si>
    <t>KIR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</si>
  <si>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</si>
  <si>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</si>
  <si>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</si>
  <si>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</si>
  <si>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</si>
  <si>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</si>
  <si>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</si>
  <si>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</si>
  <si>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</si>
  <si>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Guam</t>
  </si>
  <si>
    <t>GU</t>
  </si>
  <si>
    <t>GUM</t>
  </si>
  <si>
    <t>Guatemala</t>
  </si>
  <si>
    <t>GT</t>
  </si>
  <si>
    <t>GTM</t>
  </si>
  <si>
    <t>Guinea</t>
  </si>
  <si>
    <t>GN</t>
  </si>
  <si>
    <t>GIN</t>
  </si>
  <si>
    <t>Guyana</t>
  </si>
  <si>
    <t>GY</t>
  </si>
  <si>
    <t>GUY</t>
  </si>
  <si>
    <t>Haiti</t>
  </si>
  <si>
    <t>HT</t>
  </si>
  <si>
    <t>HTI</t>
  </si>
  <si>
    <t>Honduras</t>
  </si>
  <si>
    <t>HN</t>
  </si>
  <si>
    <t>HND</t>
  </si>
  <si>
    <t>China, Hong Kong SAR</t>
  </si>
  <si>
    <t>HK</t>
  </si>
  <si>
    <t>HKG</t>
  </si>
  <si>
    <t>Hungary</t>
  </si>
  <si>
    <t>HU</t>
  </si>
  <si>
    <t>HUN</t>
  </si>
  <si>
    <t>Iceland</t>
  </si>
  <si>
    <t>IS</t>
  </si>
  <si>
    <t>ISL</t>
  </si>
  <si>
    <t>Indonesia</t>
  </si>
  <si>
    <t>ID</t>
  </si>
  <si>
    <t>IDN</t>
  </si>
  <si>
    <t>Iran</t>
  </si>
  <si>
    <t>IR</t>
  </si>
  <si>
    <t>IRN</t>
  </si>
  <si>
    <t>Iraq</t>
  </si>
  <si>
    <t>IQ</t>
  </si>
  <si>
    <t>IRQ</t>
  </si>
  <si>
    <t>Ireland</t>
  </si>
  <si>
    <t>IE</t>
  </si>
  <si>
    <t>IRL</t>
  </si>
  <si>
    <t>Israel</t>
  </si>
  <si>
    <t>IL</t>
  </si>
  <si>
    <t>ISR</t>
  </si>
  <si>
    <t>Italy</t>
  </si>
  <si>
    <t>IT</t>
  </si>
  <si>
    <t>ITA</t>
  </si>
  <si>
    <t>CÃƒÂ´te d'Ivoire</t>
  </si>
  <si>
    <t>CI</t>
  </si>
  <si>
    <t>CIV</t>
  </si>
  <si>
    <t>Jamaica</t>
  </si>
  <si>
    <t>JM</t>
  </si>
  <si>
    <t>JAM</t>
  </si>
  <si>
    <t>Japan</t>
  </si>
  <si>
    <t>JP</t>
  </si>
  <si>
    <t>JPN</t>
  </si>
  <si>
    <t>Kazakhstan</t>
  </si>
  <si>
    <t>KZ</t>
  </si>
  <si>
    <t>KAZ</t>
  </si>
  <si>
    <t>Jordan</t>
  </si>
  <si>
    <t>JO</t>
  </si>
  <si>
    <t>JOR</t>
  </si>
  <si>
    <t>Kenya</t>
  </si>
  <si>
    <t>KE</t>
  </si>
  <si>
    <t>KEN</t>
  </si>
  <si>
    <t>Dem. People's Rep. of Korea</t>
  </si>
  <si>
    <t>KP</t>
  </si>
  <si>
    <t>PRK</t>
  </si>
  <si>
    <t>Rep. of Korea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</si>
  <si>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</si>
  <si>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</si>
  <si>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</si>
  <si>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</si>
  <si>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</si>
  <si>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</si>
  <si>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</si>
  <si>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</si>
  <si>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Dem. Rep.</t>
  </si>
  <si>
    <t>LA</t>
  </si>
  <si>
    <t>LAO</t>
  </si>
  <si>
    <t>Lebanon</t>
  </si>
  <si>
    <t>LB</t>
  </si>
  <si>
    <t>LBN</t>
  </si>
  <si>
    <t>Lesotho</t>
  </si>
  <si>
    <t>LS</t>
  </si>
  <si>
    <t>LSO</t>
  </si>
  <si>
    <t>Latvia</t>
  </si>
  <si>
    <t>LV</t>
  </si>
  <si>
    <t>LVA</t>
  </si>
  <si>
    <t>Liberia</t>
  </si>
  <si>
    <t>LR</t>
  </si>
  <si>
    <t>LBR</t>
  </si>
  <si>
    <t>Libya</t>
  </si>
  <si>
    <t>LY</t>
  </si>
  <si>
    <t>LBY</t>
  </si>
  <si>
    <t>Lithuania</t>
  </si>
  <si>
    <t>LT</t>
  </si>
  <si>
    <t>LTU</t>
  </si>
  <si>
    <t>Luxembourg</t>
  </si>
  <si>
    <t>LU</t>
  </si>
  <si>
    <t>LUX</t>
  </si>
  <si>
    <t>China, Macao SAR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</si>
  <si>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</si>
  <si>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</si>
  <si>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</si>
  <si>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</si>
  <si>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</si>
  <si>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</si>
  <si>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</si>
  <si>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</si>
  <si>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</si>
  <si>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</si>
  <si>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</si>
  <si>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</si>
  <si>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</si>
  <si>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</si>
  <si>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</si>
  <si>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</si>
  <si>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</si>
  <si>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</si>
  <si>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</si>
  <si>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</si>
  <si>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Mauritania</t>
  </si>
  <si>
    <t>MR</t>
  </si>
  <si>
    <t>MRT</t>
  </si>
  <si>
    <t>Mauritius</t>
  </si>
  <si>
    <t>MU</t>
  </si>
  <si>
    <t>MUS</t>
  </si>
  <si>
    <t>Mexico</t>
  </si>
  <si>
    <t>MX</t>
  </si>
  <si>
    <t>MEX</t>
  </si>
  <si>
    <t>Other Asia, nes</t>
  </si>
  <si>
    <t>S19</t>
  </si>
  <si>
    <t>Mongolia</t>
  </si>
  <si>
    <t>MN</t>
  </si>
  <si>
    <t>MNG</t>
  </si>
  <si>
    <t>Rep. of Moldova</t>
  </si>
  <si>
    <t>MD</t>
  </si>
  <si>
    <t>MDA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</si>
  <si>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</si>
  <si>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</si>
  <si>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</si>
  <si>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</si>
  <si>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</si>
  <si>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</si>
  <si>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</si>
  <si>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</si>
  <si>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</si>
  <si>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</si>
  <si>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</si>
  <si>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</si>
  <si>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Oman</t>
  </si>
  <si>
    <t>OM</t>
  </si>
  <si>
    <t>OMN</t>
  </si>
  <si>
    <t>Namibia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</si>
  <si>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</si>
  <si>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</si>
  <si>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</si>
  <si>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</si>
  <si>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</si>
  <si>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</si>
  <si>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</si>
  <si>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</si>
  <si>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</si>
  <si>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</si>
  <si>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Netherlands Antilles (...2010)</t>
  </si>
  <si>
    <t>AN</t>
  </si>
  <si>
    <t>ANT</t>
  </si>
  <si>
    <t>CuraÃƒÂ§ao</t>
  </si>
  <si>
    <t>CW</t>
  </si>
  <si>
    <t>CUW</t>
  </si>
  <si>
    <t>Aruba</t>
  </si>
  <si>
    <t>AW</t>
  </si>
  <si>
    <t>ABW</t>
  </si>
  <si>
    <t>Saint Maarten</t>
  </si>
  <si>
    <t>SX</t>
  </si>
  <si>
    <t>SXM</t>
  </si>
  <si>
    <t>Bonaire</t>
  </si>
  <si>
    <t>BQ</t>
  </si>
  <si>
    <t>BES</t>
  </si>
  <si>
    <t>New Caledonia</t>
  </si>
  <si>
    <t>NC</t>
  </si>
  <si>
    <t>NCL</t>
  </si>
  <si>
    <t>Vanuatu</t>
  </si>
  <si>
    <t>VU</t>
  </si>
  <si>
    <t>VUT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</si>
  <si>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</si>
  <si>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</si>
  <si>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</si>
  <si>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</si>
  <si>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</si>
  <si>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</si>
  <si>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</si>
  <si>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</si>
  <si>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</si>
  <si>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</si>
  <si>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</si>
  <si>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</si>
  <si>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</si>
  <si>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</si>
  <si>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</si>
  <si>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Isds</t>
  </si>
  <si>
    <t>NF</t>
  </si>
  <si>
    <t>NFK</t>
  </si>
  <si>
    <t>Norway</t>
  </si>
  <si>
    <t>NO</t>
  </si>
  <si>
    <t>NOR</t>
  </si>
  <si>
    <t>N. Mariana Isds</t>
  </si>
  <si>
    <t>MP</t>
  </si>
  <si>
    <t>MNP</t>
  </si>
  <si>
    <t>FS Micronesia</t>
  </si>
  <si>
    <t>FM</t>
  </si>
  <si>
    <t>FSM</t>
  </si>
  <si>
    <t>Marshall Isds</t>
  </si>
  <si>
    <t>MH</t>
  </si>
  <si>
    <t>MHL</t>
  </si>
  <si>
    <t>Palau</t>
  </si>
  <si>
    <t>PW</t>
  </si>
  <si>
    <t>PLW</t>
  </si>
  <si>
    <t>Pakistan</t>
  </si>
  <si>
    <t>PK</t>
  </si>
  <si>
    <t>PAK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</si>
  <si>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</si>
  <si>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</si>
  <si>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</si>
  <si>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</si>
  <si>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</si>
  <si>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</si>
  <si>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</si>
  <si>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</si>
  <si>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</si>
  <si>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</si>
  <si>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</si>
  <si>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</si>
  <si>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</si>
  <si>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</si>
  <si>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</si>
  <si>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</si>
  <si>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</si>
  <si>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</si>
  <si>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</si>
  <si>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</si>
  <si>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</si>
  <si>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</si>
  <si>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</si>
  <si>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</si>
  <si>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Guinea-Bissau</t>
  </si>
  <si>
    <t>GW</t>
  </si>
  <si>
    <t>GNB</t>
  </si>
  <si>
    <t>Timor-Leste</t>
  </si>
  <si>
    <t>TL</t>
  </si>
  <si>
    <t>TLS</t>
  </si>
  <si>
    <t>Qatar</t>
  </si>
  <si>
    <t>QA</t>
  </si>
  <si>
    <t>QAT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</si>
  <si>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</si>
  <si>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</si>
  <si>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</si>
  <si>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</si>
  <si>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</si>
  <si>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</si>
  <si>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</si>
  <si>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</si>
  <si>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</si>
  <si>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Saint BarthÃƒÂ©lemy</t>
  </si>
  <si>
    <t>BL</t>
  </si>
  <si>
    <t>BLM</t>
  </si>
  <si>
    <t>Saint Helena</t>
  </si>
  <si>
    <t>SH</t>
  </si>
  <si>
    <t>SHN</t>
  </si>
  <si>
    <t>Saint Kitts and Nevis</t>
  </si>
  <si>
    <t>KN</t>
  </si>
  <si>
    <t>KNA</t>
  </si>
  <si>
    <t>Anguilla</t>
  </si>
  <si>
    <t>AI</t>
  </si>
  <si>
    <t>AIA</t>
  </si>
  <si>
    <t>Saint Lucia</t>
  </si>
  <si>
    <t>LC</t>
  </si>
  <si>
    <t>LCA</t>
  </si>
  <si>
    <t>Saint Pierre and Miquelon</t>
  </si>
  <si>
    <t>PM</t>
  </si>
  <si>
    <t>SPM</t>
  </si>
  <si>
    <t>Saint Vincent and the Grenadines</t>
  </si>
  <si>
    <t>VC</t>
  </si>
  <si>
    <t>VCT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</si>
  <si>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</si>
  <si>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</si>
  <si>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</si>
  <si>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</si>
  <si>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</si>
  <si>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</si>
  <si>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</si>
  <si>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</si>
  <si>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</si>
  <si>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</si>
  <si>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</si>
  <si>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</si>
  <si>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</si>
  <si>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</si>
  <si>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</si>
  <si>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</si>
  <si>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</si>
  <si>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</si>
  <si>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</si>
  <si>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</si>
  <si>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</si>
  <si>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Europe EFTA, nes</t>
  </si>
  <si>
    <t>R20</t>
  </si>
  <si>
    <t>India</t>
  </si>
  <si>
    <t>IN</t>
  </si>
  <si>
    <t>IND</t>
  </si>
  <si>
    <t>Singapore</t>
  </si>
  <si>
    <t>SG</t>
  </si>
  <si>
    <t>SGP</t>
  </si>
  <si>
    <t>Slovakia</t>
  </si>
  <si>
    <t>SK</t>
  </si>
  <si>
    <t>SVK</t>
  </si>
  <si>
    <t>Viet Nam</t>
  </si>
  <si>
    <t>VN</t>
  </si>
  <si>
    <t>VNM</t>
  </si>
  <si>
    <t>Slovenia</t>
  </si>
  <si>
    <t>SI</t>
  </si>
  <si>
    <t>SVN</t>
  </si>
  <si>
    <t>Somalia</t>
  </si>
  <si>
    <t>SO</t>
  </si>
  <si>
    <t>SOM</t>
  </si>
  <si>
    <t>South Africa</t>
  </si>
  <si>
    <t>ZA</t>
  </si>
  <si>
    <t>ZAF</t>
  </si>
  <si>
    <t>Southern African Customs Union (...1999)</t>
  </si>
  <si>
    <t>ZA1</t>
  </si>
  <si>
    <t>Zimbabwe</t>
  </si>
  <si>
    <t>ZW</t>
  </si>
  <si>
    <t>ZWE</t>
  </si>
  <si>
    <t>Spain</t>
  </si>
  <si>
    <t>ES</t>
  </si>
  <si>
    <t>ESP</t>
  </si>
  <si>
    <t>South Sudan</t>
  </si>
  <si>
    <t>SS</t>
  </si>
  <si>
    <t>SSD</t>
  </si>
  <si>
    <t>Sudan</t>
  </si>
  <si>
    <t>SD</t>
  </si>
  <si>
    <t>SDN</t>
  </si>
  <si>
    <t>Sudan (...2011)</t>
  </si>
  <si>
    <t>Suriname</t>
  </si>
  <si>
    <t>SR</t>
  </si>
  <si>
    <t>SUR</t>
  </si>
  <si>
    <t>Eswatini</t>
  </si>
  <si>
    <t>SZ</t>
  </si>
  <si>
    <t>SWZ</t>
  </si>
  <si>
    <t>Sweden</t>
  </si>
  <si>
    <t>SE</t>
  </si>
  <si>
    <t>SWE</t>
  </si>
  <si>
    <t>Switzerland</t>
  </si>
  <si>
    <t>CH</t>
  </si>
  <si>
    <t>CHE</t>
  </si>
  <si>
    <t>Syria</t>
  </si>
  <si>
    <t>SY</t>
  </si>
  <si>
    <t>SYR</t>
  </si>
  <si>
    <t>Tajikistan</t>
  </si>
  <si>
    <t>TJ</t>
  </si>
  <si>
    <t>TJK</t>
  </si>
  <si>
    <t>Thailand</t>
  </si>
  <si>
    <t>TH</t>
  </si>
  <si>
    <t>THA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</si>
  <si>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</si>
  <si>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</si>
  <si>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</si>
  <si>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</si>
  <si>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</si>
  <si>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</si>
  <si>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</si>
  <si>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</si>
  <si>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</si>
  <si>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</si>
  <si>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</si>
  <si>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</si>
  <si>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United Arab Emirates</t>
  </si>
  <si>
    <t>AE</t>
  </si>
  <si>
    <t>ARE</t>
  </si>
  <si>
    <t>Tunisia</t>
  </si>
  <si>
    <t>TN</t>
  </si>
  <si>
    <t>TUN</t>
  </si>
  <si>
    <t>TÃƒÂ¼rkiye</t>
  </si>
  <si>
    <t>TR</t>
  </si>
  <si>
    <t>TUR</t>
  </si>
  <si>
    <t>Turkmenistan</t>
  </si>
  <si>
    <t>TM</t>
  </si>
  <si>
    <t>TKM</t>
  </si>
  <si>
    <t>Turks and Caicos Isds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</si>
  <si>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</si>
  <si>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</si>
  <si>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</si>
  <si>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</si>
  <si>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</si>
  <si>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</si>
  <si>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</si>
  <si>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</si>
  <si>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</si>
  <si>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</si>
  <si>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</si>
  <si>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North Macedonia</t>
  </si>
  <si>
    <t>MK</t>
  </si>
  <si>
    <t>MKD</t>
  </si>
  <si>
    <t>USSR (...1990)</t>
  </si>
  <si>
    <t>SU</t>
  </si>
  <si>
    <t>SUN</t>
  </si>
  <si>
    <t>Egypt</t>
  </si>
  <si>
    <t>EG</t>
  </si>
  <si>
    <t>EGY</t>
  </si>
  <si>
    <t>United Kingdom</t>
  </si>
  <si>
    <t>GB</t>
  </si>
  <si>
    <t>GBR</t>
  </si>
  <si>
    <t>United Rep. of Tanzania</t>
  </si>
  <si>
    <t>TZ</t>
  </si>
  <si>
    <t>TZA</t>
  </si>
  <si>
    <t>USA</t>
  </si>
  <si>
    <t>US</t>
  </si>
  <si>
    <t>US Misc. Pacific Isds</t>
  </si>
  <si>
    <t>PU</t>
  </si>
  <si>
    <t>PUS</t>
  </si>
  <si>
    <t>Burkina Faso</t>
  </si>
  <si>
    <t>BF</t>
  </si>
  <si>
    <t>BFA</t>
  </si>
  <si>
    <t>Uruguay</t>
  </si>
  <si>
    <t>UY</t>
  </si>
  <si>
    <t>URY</t>
  </si>
  <si>
    <t>Uzbekistan</t>
  </si>
  <si>
    <t>UZ</t>
  </si>
  <si>
    <t>UZB</t>
  </si>
  <si>
    <t>Venezuela</t>
  </si>
  <si>
    <t>VE</t>
  </si>
  <si>
    <t>VEN</t>
  </si>
  <si>
    <t>Wallis and Futuna Isds</t>
  </si>
  <si>
    <t>WF</t>
  </si>
  <si>
    <t>WLF</t>
  </si>
  <si>
    <t>Samoa</t>
  </si>
  <si>
    <t>WS</t>
  </si>
  <si>
    <t>WSM</t>
  </si>
  <si>
    <t>Yemen</t>
  </si>
  <si>
    <t>YE</t>
  </si>
  <si>
    <t>YEM</t>
  </si>
  <si>
    <t>Serbia and Montenegro (...2005)</t>
  </si>
  <si>
    <t>SCG</t>
  </si>
  <si>
    <t>Zambia</t>
  </si>
  <si>
    <t>ZM</t>
  </si>
  <si>
    <t>ZMB</t>
  </si>
  <si>
    <t>Country ISO 3 Code</t>
  </si>
  <si>
    <t>Log of q</t>
  </si>
  <si>
    <t>Metric Tons (q)</t>
  </si>
  <si>
    <t>Approach:</t>
  </si>
  <si>
    <t>ISO</t>
  </si>
  <si>
    <t>Country</t>
  </si>
  <si>
    <t>Total</t>
  </si>
  <si>
    <t>Helper 1</t>
  </si>
  <si>
    <t>Helper 2</t>
  </si>
  <si>
    <t>Helper 3</t>
  </si>
  <si>
    <t>Country Helper 1</t>
  </si>
  <si>
    <t>Country Helper 2</t>
  </si>
  <si>
    <t>Country Helper 3</t>
  </si>
  <si>
    <t>United States</t>
  </si>
  <si>
    <t>Türkiye</t>
  </si>
  <si>
    <t>Islamic Republic of Iran</t>
  </si>
  <si>
    <t>Bolivia</t>
  </si>
  <si>
    <t>Cook Islands</t>
  </si>
  <si>
    <t>Korea</t>
  </si>
  <si>
    <t>TWN</t>
  </si>
  <si>
    <t>Chinese Taipei</t>
  </si>
  <si>
    <t>Czech Republic</t>
  </si>
  <si>
    <t>Slovak Republic</t>
  </si>
  <si>
    <t>Russia</t>
  </si>
  <si>
    <t>Democratic Republic of the Congo</t>
  </si>
  <si>
    <t>Dominican Republic</t>
  </si>
  <si>
    <t>PRT
ESP</t>
  </si>
  <si>
    <t>ROM
DEU
AUT</t>
  </si>
  <si>
    <t>ROM</t>
  </si>
  <si>
    <t>POL
CZE
SVK
HUN</t>
  </si>
  <si>
    <t>DEU
DNK</t>
  </si>
  <si>
    <t>ESP
FRA</t>
  </si>
  <si>
    <t>Metric Tons of  anhydrous Ammonia exported per country</t>
  </si>
  <si>
    <t>Xlookup the countries from the database - if not found, then manually add name. When more than one country, average the score. If not found, value of 0 assumed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</si>
</sst>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2" borderId="0" applyNumberFormat="0" applyBorder="0" applyAlignment="0" applyProtection="0"/>
  </cellStyleXfs>
  <cellXfs count="11">
    <xf numFmtId="0" fontId="0" fillId="0" borderId="0" xfId="0"/>
    <xf numFmtId="0" fontId="0" fillId="0" borderId="0" xfId="0"/>
    <xf numFmtId="0" fontId="1" fillId="0" borderId="1" xfId="1"/>
    <xf numFmtId="0" fontId="2" fillId="2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1" fillId="0" borderId="1" xfId="1"/>
    <xf numFmtId="0" fontId="2" fillId="2" borderId="0" xfId="2" applyFont="1"/>
    <xf numFmtId="0" fontId="0" fillId="0" borderId="0" xfId="0" applyFill="1"/>
  </cellXfs>
  <cellStyles count="3">
    <cellStyle name="Accent1" xfId="2" builtinId="29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FFB3-F47E-4B80-949E-BBE5401349C2}">
  <dimension ref="B2:J7"/>
  <sheetViews>
    <sheetView showGridLines="0" workbookViewId="0">
      <selection activeCell="B7" sqref="B7"/>
    </sheetView>
  </sheetViews>
  <sheetFormatPr defaultRowHeight="14.4" x14ac:dyDescent="0.3"/>
  <cols>
    <col min="1" max="1" width="3" customWidth="1"/>
  </cols>
  <sheetData>
    <row r="2" spans="2:10" ht="20.399999999999999" thickBot="1" x14ac:dyDescent="0.45">
      <c r="B2" s="2" t="s">
        <v>5</v>
      </c>
      <c r="C2" s="2"/>
      <c r="D2" s="2"/>
      <c r="E2" s="2"/>
      <c r="F2" s="2"/>
      <c r="G2" s="2"/>
      <c r="H2" s="2"/>
      <c r="I2" s="2"/>
      <c r="J2" s="2"/>
    </row>
    <row r="3" spans="2:10" ht="15" thickTop="1" x14ac:dyDescent="0.3"/>
    <row r="5" spans="2:10" x14ac:dyDescent="0.3">
      <c r="B5" t="s">
        <v>6</v>
      </c>
    </row>
    <row r="6" spans="2:10" x14ac:dyDescent="0.3">
      <c r="B6" t="s">
        <v>11</v>
      </c>
    </row>
    <row r="7" spans="2:10" x14ac:dyDescent="0.3">
      <c r="B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1AE7-A87B-4C7F-ABD0-E5CCBE8A629A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AF5E-B396-4AE1-B46F-830E76C5BBF5}">
  <dimension ref="B2:L113"/>
  <sheetViews>
    <sheetView showGridLines="0" tabSelected="1" workbookViewId="0">
      <selection activeCell="C5" sqref="C5"/>
    </sheetView>
  </sheetViews>
  <sheetFormatPr defaultRowHeight="14.4" x14ac:dyDescent="0.3"/>
  <cols>
    <col min="4" max="4" width="11" bestFit="1" customWidth="1"/>
  </cols>
  <sheetData>
    <row r="2" spans="2:12" ht="20.399999999999999" thickBot="1" x14ac:dyDescent="0.45">
      <c r="B2" s="8" t="s">
        <v>989</v>
      </c>
      <c r="C2" s="8"/>
      <c r="D2" s="8"/>
      <c r="E2" s="8"/>
      <c r="F2" s="8"/>
      <c r="G2" s="8"/>
      <c r="H2" s="8"/>
      <c r="I2" s="8"/>
      <c r="J2" s="8"/>
      <c r="K2" s="7"/>
      <c r="L2" s="7"/>
    </row>
    <row r="3" spans="2:12" ht="15" thickTop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2:12" x14ac:dyDescent="0.3">
      <c r="B4" s="7" t="s">
        <v>960</v>
      </c>
      <c r="C4" s="7" t="s">
        <v>990</v>
      </c>
      <c r="D4" s="7"/>
      <c r="E4" s="7"/>
      <c r="F4" s="7"/>
      <c r="G4" s="7"/>
      <c r="H4" s="7"/>
      <c r="I4" s="7"/>
      <c r="J4" s="7"/>
      <c r="K4" s="7"/>
      <c r="L4" s="7"/>
    </row>
    <row r="6" spans="2:12" x14ac:dyDescent="0.3">
      <c r="B6" s="9" t="s">
        <v>961</v>
      </c>
      <c r="C6" s="9" t="s">
        <v>962</v>
      </c>
      <c r="D6" s="9" t="s">
        <v>963</v>
      </c>
      <c r="E6" s="7"/>
      <c r="F6" s="9" t="s">
        <v>964</v>
      </c>
      <c r="G6" s="9" t="s">
        <v>965</v>
      </c>
      <c r="H6" s="9" t="s">
        <v>966</v>
      </c>
      <c r="I6" s="7"/>
      <c r="J6" s="9" t="s">
        <v>967</v>
      </c>
      <c r="K6" s="9" t="s">
        <v>968</v>
      </c>
      <c r="L6" s="9" t="s">
        <v>969</v>
      </c>
    </row>
    <row r="7" spans="2:12" x14ac:dyDescent="0.3">
      <c r="B7" s="7" t="s">
        <v>674</v>
      </c>
      <c r="C7" s="7" t="s">
        <v>672</v>
      </c>
      <c r="D7" s="7">
        <f>_xlfn.XLOOKUP(B7,'ED_CEPII Data'!$B$5:$B$92,'ED_CEPII Data'!$C$5:$C$92,0,0,1)</f>
        <v>477720861</v>
      </c>
      <c r="E7" s="7"/>
      <c r="F7" s="7"/>
      <c r="G7" s="7"/>
      <c r="H7" s="7"/>
      <c r="I7" s="7"/>
      <c r="J7" s="7"/>
      <c r="K7" s="7"/>
      <c r="L7" s="7"/>
    </row>
    <row r="8" spans="2:12" x14ac:dyDescent="0.3">
      <c r="B8" s="7" t="s">
        <v>716</v>
      </c>
      <c r="C8" s="7" t="s">
        <v>714</v>
      </c>
      <c r="D8" s="7">
        <f>_xlfn.XLOOKUP(B8,'ED_CEPII Data'!$B$5:$B$92,'ED_CEPII Data'!$C$5:$C$92,0,0,1)</f>
        <v>32</v>
      </c>
      <c r="E8" s="7"/>
      <c r="F8" s="7"/>
      <c r="G8" s="7"/>
      <c r="H8" s="7"/>
      <c r="I8" s="7"/>
      <c r="J8" s="7"/>
      <c r="K8" s="7"/>
      <c r="L8" s="7"/>
    </row>
    <row r="9" spans="2:12" x14ac:dyDescent="0.3">
      <c r="B9" s="7" t="s">
        <v>862</v>
      </c>
      <c r="C9" s="7" t="s">
        <v>860</v>
      </c>
      <c r="D9" s="7">
        <f>_xlfn.XLOOKUP(B9,'ED_CEPII Data'!$B$5:$B$92,'ED_CEPII Data'!$C$5:$C$92,0,0,1)</f>
        <v>1760215</v>
      </c>
      <c r="E9" s="7"/>
      <c r="F9" s="7"/>
      <c r="G9" s="7"/>
      <c r="H9" s="7"/>
      <c r="I9" s="7"/>
      <c r="J9" s="7"/>
      <c r="K9" s="7"/>
      <c r="L9" s="7"/>
    </row>
    <row r="10" spans="2:12" x14ac:dyDescent="0.3">
      <c r="B10" s="7" t="s">
        <v>846</v>
      </c>
      <c r="C10" s="7" t="s">
        <v>844</v>
      </c>
      <c r="D10" s="7">
        <f>_xlfn.XLOOKUP(B10,'ED_CEPII Data'!$B$5:$B$92,'ED_CEPII Data'!$C$5:$C$92,0,0,1)</f>
        <v>96795596</v>
      </c>
      <c r="E10" s="7"/>
      <c r="F10" s="7"/>
      <c r="G10" s="7"/>
      <c r="H10" s="7"/>
      <c r="I10" s="7"/>
      <c r="J10" s="7"/>
      <c r="K10" s="7"/>
      <c r="L10" s="7"/>
    </row>
    <row r="11" spans="2:12" x14ac:dyDescent="0.3">
      <c r="B11" s="7" t="s">
        <v>926</v>
      </c>
      <c r="C11" s="7" t="s">
        <v>970</v>
      </c>
      <c r="D11" s="7">
        <f>_xlfn.XLOOKUP(B11,'ED_CEPII Data'!$B$5:$B$92,'ED_CEPII Data'!$C$5:$C$92,0,0,1)</f>
        <v>1327123766</v>
      </c>
      <c r="E11" s="7"/>
      <c r="F11" s="7"/>
      <c r="G11" s="7"/>
      <c r="H11" s="7"/>
      <c r="I11" s="7"/>
      <c r="J11" s="7"/>
      <c r="K11" s="7"/>
      <c r="L11" s="7"/>
    </row>
    <row r="12" spans="2:12" x14ac:dyDescent="0.3">
      <c r="B12" s="7" t="s">
        <v>565</v>
      </c>
      <c r="C12" s="7" t="s">
        <v>563</v>
      </c>
      <c r="D12" s="7">
        <f>_xlfn.XLOOKUP(B12,'ED_CEPII Data'!$B$5:$B$92,'ED_CEPII Data'!$C$5:$C$92,0,0,1)</f>
        <v>99311</v>
      </c>
      <c r="E12" s="7"/>
      <c r="F12" s="7"/>
      <c r="G12" s="7"/>
      <c r="H12" s="7"/>
      <c r="I12" s="7"/>
      <c r="J12" s="7"/>
      <c r="K12" s="7"/>
      <c r="L12" s="7"/>
    </row>
    <row r="13" spans="2:12" x14ac:dyDescent="0.3">
      <c r="B13" s="7" t="s">
        <v>865</v>
      </c>
      <c r="C13" s="7" t="s">
        <v>863</v>
      </c>
      <c r="D13" s="7">
        <f>_xlfn.XLOOKUP(B13,'ED_CEPII Data'!$B$5:$B$92,'ED_CEPII Data'!$C$5:$C$92,0,0,1)</f>
        <v>2107350</v>
      </c>
      <c r="E13" s="7"/>
      <c r="F13" s="7"/>
      <c r="G13" s="7"/>
      <c r="H13" s="7"/>
      <c r="I13" s="7"/>
      <c r="J13" s="7"/>
      <c r="K13" s="7"/>
      <c r="L13" s="7"/>
    </row>
    <row r="14" spans="2:12" x14ac:dyDescent="0.3">
      <c r="B14" s="7" t="s">
        <v>489</v>
      </c>
      <c r="C14" s="7" t="s">
        <v>487</v>
      </c>
      <c r="D14" s="7">
        <f>_xlfn.XLOOKUP(B14,'ED_CEPII Data'!$B$5:$B$92,'ED_CEPII Data'!$C$5:$C$92,0,0,1)</f>
        <v>475065757</v>
      </c>
      <c r="E14" s="7"/>
      <c r="F14" s="7"/>
      <c r="G14" s="7"/>
      <c r="H14" s="7"/>
      <c r="I14" s="7"/>
      <c r="J14" s="7"/>
      <c r="K14" s="7"/>
      <c r="L14" s="7"/>
    </row>
    <row r="15" spans="2:12" x14ac:dyDescent="0.3">
      <c r="B15" s="7" t="s">
        <v>922</v>
      </c>
      <c r="C15" s="7" t="s">
        <v>920</v>
      </c>
      <c r="D15" s="7">
        <f>_xlfn.XLOOKUP(B15,'ED_CEPII Data'!$B$5:$B$92,'ED_CEPII Data'!$C$5:$C$92,0,0,1)</f>
        <v>90600061</v>
      </c>
      <c r="E15" s="7"/>
      <c r="F15" s="7"/>
      <c r="G15" s="7"/>
      <c r="H15" s="7"/>
      <c r="I15" s="7"/>
      <c r="J15" s="7"/>
      <c r="K15" s="7"/>
      <c r="L15" s="7"/>
    </row>
    <row r="16" spans="2:12" x14ac:dyDescent="0.3">
      <c r="B16" s="7" t="s">
        <v>429</v>
      </c>
      <c r="C16" s="7" t="s">
        <v>427</v>
      </c>
      <c r="D16" s="7">
        <f>_xlfn.XLOOKUP(B16,'ED_CEPII Data'!$B$5:$B$92,'ED_CEPII Data'!$C$5:$C$92,0,0,1)</f>
        <v>483641</v>
      </c>
      <c r="E16" s="7"/>
      <c r="F16" s="7"/>
      <c r="G16" s="7"/>
      <c r="H16" s="7"/>
      <c r="I16" s="7"/>
      <c r="J16" s="7"/>
      <c r="K16" s="7"/>
      <c r="L16" s="7"/>
    </row>
    <row r="17" spans="2:4" x14ac:dyDescent="0.3">
      <c r="B17" s="7" t="s">
        <v>287</v>
      </c>
      <c r="C17" s="7" t="s">
        <v>285</v>
      </c>
      <c r="D17" s="7">
        <f>_xlfn.XLOOKUP(B17,'ED_CEPII Data'!$B$5:$B$92,'ED_CEPII Data'!$C$5:$C$92,0,0,1)</f>
        <v>3352763</v>
      </c>
    </row>
    <row r="18" spans="2:4" x14ac:dyDescent="0.3">
      <c r="B18" s="7" t="s">
        <v>381</v>
      </c>
      <c r="C18" s="7" t="s">
        <v>379</v>
      </c>
      <c r="D18" s="7">
        <f>_xlfn.XLOOKUP(B18,'ED_CEPII Data'!$B$5:$B$92,'ED_CEPII Data'!$C$5:$C$92,0,0,1)</f>
        <v>42493270</v>
      </c>
    </row>
    <row r="19" spans="2:4" x14ac:dyDescent="0.3">
      <c r="B19" s="7" t="s">
        <v>360</v>
      </c>
      <c r="C19" s="7" t="s">
        <v>358</v>
      </c>
      <c r="D19" s="7">
        <f>_xlfn.XLOOKUP(B19,'ED_CEPII Data'!$B$5:$B$92,'ED_CEPII Data'!$C$5:$C$92,0,0,1)</f>
        <v>1081034591</v>
      </c>
    </row>
    <row r="20" spans="2:4" x14ac:dyDescent="0.3">
      <c r="B20" s="7" t="s">
        <v>453</v>
      </c>
      <c r="C20" s="7" t="s">
        <v>451</v>
      </c>
      <c r="D20" s="7">
        <f>_xlfn.XLOOKUP(B20,'ED_CEPII Data'!$B$5:$B$92,'ED_CEPII Data'!$C$5:$C$92,0,0,1)</f>
        <v>0</v>
      </c>
    </row>
    <row r="21" spans="2:4" x14ac:dyDescent="0.3">
      <c r="B21" s="7" t="s">
        <v>465</v>
      </c>
      <c r="C21" s="7" t="s">
        <v>463</v>
      </c>
      <c r="D21" s="7">
        <f>_xlfn.XLOOKUP(B21,'ED_CEPII Data'!$B$5:$B$92,'ED_CEPII Data'!$C$5:$C$92,0,0,1)</f>
        <v>93866970</v>
      </c>
    </row>
    <row r="22" spans="2:4" x14ac:dyDescent="0.3">
      <c r="B22" s="7" t="s">
        <v>622</v>
      </c>
      <c r="C22" s="7" t="s">
        <v>620</v>
      </c>
      <c r="D22" s="7">
        <f>_xlfn.XLOOKUP(B22,'ED_CEPII Data'!$B$5:$B$92,'ED_CEPII Data'!$C$5:$C$92,0,0,1)</f>
        <v>461130952</v>
      </c>
    </row>
    <row r="23" spans="2:4" x14ac:dyDescent="0.3">
      <c r="B23" s="7" t="s">
        <v>284</v>
      </c>
      <c r="C23" s="7" t="s">
        <v>282</v>
      </c>
      <c r="D23" s="7">
        <f>_xlfn.XLOOKUP(B23,'ED_CEPII Data'!$B$5:$B$92,'ED_CEPII Data'!$C$5:$C$92,0,0,1)</f>
        <v>244111412</v>
      </c>
    </row>
    <row r="24" spans="2:4" x14ac:dyDescent="0.3">
      <c r="B24" s="7" t="s">
        <v>752</v>
      </c>
      <c r="C24" s="7" t="s">
        <v>750</v>
      </c>
      <c r="D24" s="7">
        <f>_xlfn.XLOOKUP(B24,'ED_CEPII Data'!$B$5:$B$92,'ED_CEPII Data'!$C$5:$C$92,0,0,1)</f>
        <v>20484949</v>
      </c>
    </row>
    <row r="25" spans="2:4" x14ac:dyDescent="0.3">
      <c r="B25" s="7" t="s">
        <v>462</v>
      </c>
      <c r="C25" s="7" t="s">
        <v>460</v>
      </c>
      <c r="D25" s="7">
        <f>_xlfn.XLOOKUP(B25,'ED_CEPII Data'!$B$5:$B$92,'ED_CEPII Data'!$C$5:$C$92,0,0,1)</f>
        <v>0</v>
      </c>
    </row>
    <row r="26" spans="2:4" x14ac:dyDescent="0.3">
      <c r="B26" s="7" t="s">
        <v>823</v>
      </c>
      <c r="C26" s="7" t="s">
        <v>821</v>
      </c>
      <c r="D26" s="7">
        <f>_xlfn.XLOOKUP(B26,'ED_CEPII Data'!$B$5:$B$92,'ED_CEPII Data'!$C$5:$C$92,0,0,1)</f>
        <v>40269</v>
      </c>
    </row>
    <row r="27" spans="2:4" x14ac:dyDescent="0.3">
      <c r="B27" s="7" t="s">
        <v>874</v>
      </c>
      <c r="C27" s="7" t="s">
        <v>872</v>
      </c>
      <c r="D27" s="7">
        <f>_xlfn.XLOOKUP(B27,'ED_CEPII Data'!$B$5:$B$92,'ED_CEPII Data'!$C$5:$C$92,0,0,1)</f>
        <v>701843</v>
      </c>
    </row>
    <row r="28" spans="2:4" x14ac:dyDescent="0.3">
      <c r="B28" s="7" t="s">
        <v>556</v>
      </c>
      <c r="C28" s="7" t="s">
        <v>554</v>
      </c>
      <c r="D28" s="7">
        <f>_xlfn.XLOOKUP(B28,'ED_CEPII Data'!$B$5:$B$92,'ED_CEPII Data'!$C$5:$C$92,0,0,1)</f>
        <v>48892</v>
      </c>
    </row>
    <row r="29" spans="2:4" x14ac:dyDescent="0.3">
      <c r="B29" s="7" t="s">
        <v>408</v>
      </c>
      <c r="C29" s="7" t="s">
        <v>406</v>
      </c>
      <c r="D29" s="7">
        <f>_xlfn.XLOOKUP(B29,'ED_CEPII Data'!$B$5:$B$92,'ED_CEPII Data'!$C$5:$C$92,0,0,1)</f>
        <v>5372</v>
      </c>
    </row>
    <row r="30" spans="2:4" x14ac:dyDescent="0.3">
      <c r="B30" s="7" t="s">
        <v>378</v>
      </c>
      <c r="C30" s="7" t="s">
        <v>376</v>
      </c>
      <c r="D30" s="7">
        <f>_xlfn.XLOOKUP(B30,'ED_CEPII Data'!$B$5:$B$92,'ED_CEPII Data'!$C$5:$C$92,0,0,1)</f>
        <v>520427</v>
      </c>
    </row>
    <row r="31" spans="2:4" x14ac:dyDescent="0.3">
      <c r="B31" s="7" t="s">
        <v>305</v>
      </c>
      <c r="C31" s="7" t="s">
        <v>303</v>
      </c>
      <c r="D31" s="7">
        <f>_xlfn.XLOOKUP(B31,'ED_CEPII Data'!$B$5:$B$92,'ED_CEPII Data'!$C$5:$C$92,0,0,1)</f>
        <v>80926336</v>
      </c>
    </row>
    <row r="32" spans="2:4" x14ac:dyDescent="0.3">
      <c r="B32" s="7" t="s">
        <v>820</v>
      </c>
      <c r="C32" s="7" t="s">
        <v>818</v>
      </c>
      <c r="D32" s="7">
        <f>_xlfn.XLOOKUP(B32,'ED_CEPII Data'!$B$5:$B$92,'ED_CEPII Data'!$C$5:$C$92,0,0,1)</f>
        <v>1791498</v>
      </c>
    </row>
    <row r="33" spans="2:4" x14ac:dyDescent="0.3">
      <c r="B33" s="7" t="s">
        <v>505</v>
      </c>
      <c r="C33" s="7" t="s">
        <v>503</v>
      </c>
      <c r="D33" s="7">
        <f>_xlfn.XLOOKUP(B33,'ED_CEPII Data'!$B$5:$B$92,'ED_CEPII Data'!$C$5:$C$92,0,0,1)</f>
        <v>1968852</v>
      </c>
    </row>
    <row r="34" spans="2:4" x14ac:dyDescent="0.3">
      <c r="B34" s="7" t="s">
        <v>538</v>
      </c>
      <c r="C34" s="7" t="s">
        <v>536</v>
      </c>
      <c r="D34" s="7">
        <f>_xlfn.XLOOKUP(B34,'ED_CEPII Data'!$B$5:$B$92,'ED_CEPII Data'!$C$5:$C$92,0,0,1)</f>
        <v>0</v>
      </c>
    </row>
    <row r="35" spans="2:4" x14ac:dyDescent="0.3">
      <c r="B35" s="7" t="s">
        <v>895</v>
      </c>
      <c r="C35" s="7" t="s">
        <v>971</v>
      </c>
      <c r="D35" s="7">
        <f>_xlfn.XLOOKUP(B35,'ED_CEPII Data'!$B$5:$B$92,'ED_CEPII Data'!$C$5:$C$92,0,0,1)</f>
        <v>190581138</v>
      </c>
    </row>
    <row r="36" spans="2:4" x14ac:dyDescent="0.3">
      <c r="B36" s="7" t="s">
        <v>281</v>
      </c>
      <c r="C36" s="7" t="s">
        <v>279</v>
      </c>
      <c r="D36" s="7">
        <f>_xlfn.XLOOKUP(B36,'ED_CEPII Data'!$B$5:$B$92,'ED_CEPII Data'!$C$5:$C$92,0,0,1)</f>
        <v>558834</v>
      </c>
    </row>
    <row r="37" spans="2:4" x14ac:dyDescent="0.3">
      <c r="B37" s="7" t="s">
        <v>544</v>
      </c>
      <c r="C37" s="7" t="s">
        <v>972</v>
      </c>
      <c r="D37" s="7">
        <f>_xlfn.XLOOKUP(B37,'ED_CEPII Data'!$B$5:$B$92,'ED_CEPII Data'!$C$5:$C$92,0,0,1)</f>
        <v>1320263</v>
      </c>
    </row>
    <row r="38" spans="2:4" x14ac:dyDescent="0.3">
      <c r="B38" s="10" t="s">
        <v>698</v>
      </c>
      <c r="C38" s="10" t="s">
        <v>696</v>
      </c>
      <c r="D38" s="7">
        <f>_xlfn.XLOOKUP(B38,'ED_CEPII Data'!$B$5:$B$92,'ED_CEPII Data'!$C$5:$C$92,0,0,1)</f>
        <v>26</v>
      </c>
    </row>
    <row r="39" spans="2:4" x14ac:dyDescent="0.3">
      <c r="B39" s="10" t="s">
        <v>315</v>
      </c>
      <c r="C39" s="10" t="s">
        <v>973</v>
      </c>
      <c r="D39" s="7">
        <f>_xlfn.XLOOKUP(B39,'ED_CEPII Data'!$B$5:$B$92,'ED_CEPII Data'!$C$5:$C$92,0,0,1)</f>
        <v>0</v>
      </c>
    </row>
    <row r="40" spans="2:4" x14ac:dyDescent="0.3">
      <c r="B40" s="10" t="s">
        <v>755</v>
      </c>
      <c r="C40" s="10" t="s">
        <v>753</v>
      </c>
      <c r="D40" s="7">
        <f>_xlfn.XLOOKUP(B40,'ED_CEPII Data'!$B$5:$B$92,'ED_CEPII Data'!$C$5:$C$92,0,0,1)</f>
        <v>20708077</v>
      </c>
    </row>
    <row r="41" spans="2:4" x14ac:dyDescent="0.3">
      <c r="B41" s="10" t="s">
        <v>592</v>
      </c>
      <c r="C41" s="10" t="s">
        <v>590</v>
      </c>
      <c r="D41" s="7">
        <f>_xlfn.XLOOKUP(B41,'ED_CEPII Data'!$B$5:$B$92,'ED_CEPII Data'!$C$5:$C$92,0,0,1)</f>
        <v>6466</v>
      </c>
    </row>
    <row r="42" spans="2:4" x14ac:dyDescent="0.3">
      <c r="B42" s="10" t="s">
        <v>634</v>
      </c>
      <c r="C42" s="10" t="s">
        <v>632</v>
      </c>
      <c r="D42" s="7">
        <f>_xlfn.XLOOKUP(B42,'ED_CEPII Data'!$B$5:$B$92,'ED_CEPII Data'!$C$5:$C$92,0,0,1)</f>
        <v>0</v>
      </c>
    </row>
    <row r="43" spans="2:4" x14ac:dyDescent="0.3">
      <c r="B43" s="10" t="s">
        <v>803</v>
      </c>
      <c r="C43" s="10" t="s">
        <v>801</v>
      </c>
      <c r="D43" s="7">
        <f>_xlfn.XLOOKUP(B43,'ED_CEPII Data'!$B$5:$B$92,'ED_CEPII Data'!$C$5:$C$92,0,0,1)</f>
        <v>1723645577</v>
      </c>
    </row>
    <row r="44" spans="2:4" x14ac:dyDescent="0.3">
      <c r="B44" s="10" t="s">
        <v>405</v>
      </c>
      <c r="C44" s="10" t="s">
        <v>974</v>
      </c>
      <c r="D44" s="7">
        <f>_xlfn.XLOOKUP(B44,'ED_CEPII Data'!$B$5:$B$92,'ED_CEPII Data'!$C$5:$C$92,0,0,1)</f>
        <v>0</v>
      </c>
    </row>
    <row r="45" spans="2:4" x14ac:dyDescent="0.3">
      <c r="B45" s="10" t="s">
        <v>838</v>
      </c>
      <c r="C45" s="10" t="s">
        <v>836</v>
      </c>
      <c r="D45" s="7">
        <f>_xlfn.XLOOKUP(B45,'ED_CEPII Data'!$B$5:$B$92,'ED_CEPII Data'!$C$5:$C$92,0,0,1)</f>
        <v>4774979</v>
      </c>
    </row>
    <row r="46" spans="2:4" x14ac:dyDescent="0.3">
      <c r="B46" s="10" t="s">
        <v>889</v>
      </c>
      <c r="C46" s="10" t="s">
        <v>887</v>
      </c>
      <c r="D46" s="7">
        <f>_xlfn.XLOOKUP(B46,'ED_CEPII Data'!$B$5:$B$92,'ED_CEPII Data'!$C$5:$C$92,0,0,1)</f>
        <v>1977796</v>
      </c>
    </row>
    <row r="47" spans="2:4" x14ac:dyDescent="0.3">
      <c r="B47" s="10" t="s">
        <v>663</v>
      </c>
      <c r="C47" s="10" t="s">
        <v>661</v>
      </c>
      <c r="D47" s="7">
        <f>_xlfn.XLOOKUP(B47,'ED_CEPII Data'!$B$5:$B$92,'ED_CEPII Data'!$C$5:$C$92,0,0,1)</f>
        <v>52341485</v>
      </c>
    </row>
    <row r="48" spans="2:4" x14ac:dyDescent="0.3">
      <c r="B48" s="10" t="s">
        <v>936</v>
      </c>
      <c r="C48" s="10" t="s">
        <v>934</v>
      </c>
      <c r="D48" s="7">
        <f>_xlfn.XLOOKUP(B48,'ED_CEPII Data'!$B$5:$B$92,'ED_CEPII Data'!$C$5:$C$92,0,0,1)</f>
        <v>0</v>
      </c>
    </row>
    <row r="49" spans="2:4" x14ac:dyDescent="0.3">
      <c r="B49" s="10" t="s">
        <v>740</v>
      </c>
      <c r="C49" s="10" t="s">
        <v>738</v>
      </c>
      <c r="D49" s="7">
        <f>_xlfn.XLOOKUP(B49,'ED_CEPII Data'!$B$5:$B$92,'ED_CEPII Data'!$C$5:$C$92,0,0,1)</f>
        <v>0</v>
      </c>
    </row>
    <row r="50" spans="2:4" x14ac:dyDescent="0.3">
      <c r="B50" s="10" t="s">
        <v>580</v>
      </c>
      <c r="C50" s="10" t="s">
        <v>975</v>
      </c>
      <c r="D50" s="7">
        <f>_xlfn.XLOOKUP(B50,'ED_CEPII Data'!$B$5:$B$92,'ED_CEPII Data'!$C$5:$C$92,0,0,1)</f>
        <v>23662098</v>
      </c>
    </row>
    <row r="51" spans="2:4" x14ac:dyDescent="0.3">
      <c r="B51" s="10" t="s">
        <v>657</v>
      </c>
      <c r="C51" s="10" t="s">
        <v>655</v>
      </c>
      <c r="D51" s="7">
        <f>_xlfn.XLOOKUP(B51,'ED_CEPII Data'!$B$5:$B$92,'ED_CEPII Data'!$C$5:$C$92,0,0,1)</f>
        <v>928</v>
      </c>
    </row>
    <row r="52" spans="2:4" x14ac:dyDescent="0.3">
      <c r="B52" s="10" t="s">
        <v>260</v>
      </c>
      <c r="C52" s="10" t="s">
        <v>258</v>
      </c>
      <c r="D52" s="7">
        <f>_xlfn.XLOOKUP(B52,'ED_CEPII Data'!$B$5:$B$92,'ED_CEPII Data'!$C$5:$C$92,0,0,1)</f>
        <v>0</v>
      </c>
    </row>
    <row r="53" spans="2:4" x14ac:dyDescent="0.3">
      <c r="B53" s="10" t="s">
        <v>541</v>
      </c>
      <c r="C53" s="10" t="s">
        <v>539</v>
      </c>
      <c r="D53" s="7">
        <f>_xlfn.XLOOKUP(B53,'ED_CEPII Data'!$B$5:$B$92,'ED_CEPII Data'!$C$5:$C$92,0,0,1)</f>
        <v>1563582543</v>
      </c>
    </row>
    <row r="54" spans="2:4" x14ac:dyDescent="0.3">
      <c r="B54" s="10" t="s">
        <v>302</v>
      </c>
      <c r="C54" s="10" t="s">
        <v>300</v>
      </c>
      <c r="D54" s="7">
        <f>_xlfn.XLOOKUP(B54,'ED_CEPII Data'!$B$5:$B$92,'ED_CEPII Data'!$C$5:$C$92,0,0,1)</f>
        <v>0</v>
      </c>
    </row>
    <row r="55" spans="2:4" x14ac:dyDescent="0.3">
      <c r="B55" s="10" t="s">
        <v>886</v>
      </c>
      <c r="C55" s="10" t="s">
        <v>884</v>
      </c>
      <c r="D55" s="7">
        <f>_xlfn.XLOOKUP(B55,'ED_CEPII Data'!$B$5:$B$92,'ED_CEPII Data'!$C$5:$C$92,0,0,1)</f>
        <v>57031015</v>
      </c>
    </row>
    <row r="56" spans="2:4" x14ac:dyDescent="0.3">
      <c r="B56" s="10" t="s">
        <v>296</v>
      </c>
      <c r="C56" s="10" t="s">
        <v>294</v>
      </c>
      <c r="D56" s="7">
        <f>_xlfn.XLOOKUP(B56,'ED_CEPII Data'!$B$5:$B$92,'ED_CEPII Data'!$C$5:$C$92,0,0,1)</f>
        <v>896464</v>
      </c>
    </row>
    <row r="57" spans="2:4" x14ac:dyDescent="0.3">
      <c r="B57" s="10" t="s">
        <v>324</v>
      </c>
      <c r="C57" s="10" t="s">
        <v>322</v>
      </c>
      <c r="D57" s="7">
        <f>_xlfn.XLOOKUP(B57,'ED_CEPII Data'!$B$5:$B$92,'ED_CEPII Data'!$C$5:$C$92,0,0,1)</f>
        <v>240</v>
      </c>
    </row>
    <row r="58" spans="2:4" x14ac:dyDescent="0.3">
      <c r="B58" s="10" t="s">
        <v>535</v>
      </c>
      <c r="C58" s="10" t="s">
        <v>533</v>
      </c>
      <c r="D58" s="7">
        <f>_xlfn.XLOOKUP(B58,'ED_CEPII Data'!$B$5:$B$92,'ED_CEPII Data'!$C$5:$C$92,0,0,1)</f>
        <v>2364961</v>
      </c>
    </row>
    <row r="59" spans="2:4" x14ac:dyDescent="0.3">
      <c r="B59" s="10" t="s">
        <v>976</v>
      </c>
      <c r="C59" s="10" t="s">
        <v>977</v>
      </c>
      <c r="D59" s="7">
        <f>_xlfn.XLOOKUP(B59,'ED_CEPII Data'!$B$5:$B$92,'ED_CEPII Data'!$C$5:$C$92,0,0,1)</f>
        <v>0</v>
      </c>
    </row>
    <row r="60" spans="2:4" x14ac:dyDescent="0.3">
      <c r="B60" s="10" t="s">
        <v>640</v>
      </c>
      <c r="C60" s="10" t="s">
        <v>638</v>
      </c>
      <c r="D60" s="7">
        <f>_xlfn.XLOOKUP(B60,'ED_CEPII Data'!$B$5:$B$92,'ED_CEPII Data'!$C$5:$C$92,0,0,1)</f>
        <v>3024852</v>
      </c>
    </row>
    <row r="61" spans="2:4" x14ac:dyDescent="0.3">
      <c r="B61" s="10" t="s">
        <v>829</v>
      </c>
      <c r="C61" s="10" t="s">
        <v>827</v>
      </c>
      <c r="D61" s="7">
        <f>_xlfn.XLOOKUP(B61,'ED_CEPII Data'!$B$5:$B$92,'ED_CEPII Data'!$C$5:$C$92,0,0,1)</f>
        <v>200344</v>
      </c>
    </row>
    <row r="62" spans="2:4" x14ac:dyDescent="0.3">
      <c r="B62" s="10" t="s">
        <v>832</v>
      </c>
      <c r="C62" s="10" t="s">
        <v>830</v>
      </c>
      <c r="D62" s="7">
        <f>_xlfn.XLOOKUP(B62,'ED_CEPII Data'!$B$5:$B$92,'ED_CEPII Data'!$C$5:$C$92,0,0,1)</f>
        <v>33963</v>
      </c>
    </row>
    <row r="63" spans="2:4" x14ac:dyDescent="0.3">
      <c r="B63" s="10" t="s">
        <v>423</v>
      </c>
      <c r="C63" s="10" t="s">
        <v>978</v>
      </c>
      <c r="D63" s="7">
        <f>_xlfn.XLOOKUP(B63,'ED_CEPII Data'!$B$5:$B$92,'ED_CEPII Data'!$C$5:$C$92,0,0,1)</f>
        <v>25669136</v>
      </c>
    </row>
    <row r="64" spans="2:4" x14ac:dyDescent="0.3">
      <c r="B64" s="10" t="s">
        <v>826</v>
      </c>
      <c r="C64" s="10" t="s">
        <v>979</v>
      </c>
      <c r="D64" s="7">
        <f>_xlfn.XLOOKUP(B64,'ED_CEPII Data'!$B$5:$B$92,'ED_CEPII Data'!$C$5:$C$92,0,0,1)</f>
        <v>42777985</v>
      </c>
    </row>
    <row r="65" spans="2:4" x14ac:dyDescent="0.3">
      <c r="B65" s="10" t="s">
        <v>607</v>
      </c>
      <c r="C65" s="10" t="s">
        <v>605</v>
      </c>
      <c r="D65" s="7">
        <f>_xlfn.XLOOKUP(B65,'ED_CEPII Data'!$B$5:$B$92,'ED_CEPII Data'!$C$5:$C$92,0,0,1)</f>
        <v>33044</v>
      </c>
    </row>
    <row r="66" spans="2:4" x14ac:dyDescent="0.3">
      <c r="B66" s="10" t="s">
        <v>598</v>
      </c>
      <c r="C66" s="10" t="s">
        <v>596</v>
      </c>
      <c r="D66" s="7">
        <f>_xlfn.XLOOKUP(B66,'ED_CEPII Data'!$B$5:$B$92,'ED_CEPII Data'!$C$5:$C$92,0,0,1)</f>
        <v>24310</v>
      </c>
    </row>
    <row r="67" spans="2:4" x14ac:dyDescent="0.3">
      <c r="B67" s="10" t="s">
        <v>550</v>
      </c>
      <c r="C67" s="10" t="s">
        <v>548</v>
      </c>
      <c r="D67" s="7">
        <f>_xlfn.XLOOKUP(B67,'ED_CEPII Data'!$B$5:$B$92,'ED_CEPII Data'!$C$5:$C$92,0,0,1)</f>
        <v>10151</v>
      </c>
    </row>
    <row r="68" spans="2:4" x14ac:dyDescent="0.3">
      <c r="B68" s="10" t="s">
        <v>743</v>
      </c>
      <c r="C68" s="10" t="s">
        <v>741</v>
      </c>
      <c r="D68" s="7">
        <f>_xlfn.XLOOKUP(B68,'ED_CEPII Data'!$B$5:$B$92,'ED_CEPII Data'!$C$5:$C$92,0,0,1)</f>
        <v>0</v>
      </c>
    </row>
    <row r="69" spans="2:4" x14ac:dyDescent="0.3">
      <c r="B69" s="10" t="s">
        <v>770</v>
      </c>
      <c r="C69" s="10" t="s">
        <v>980</v>
      </c>
      <c r="D69" s="7">
        <f>_xlfn.XLOOKUP(B69,'ED_CEPII Data'!$B$5:$B$92,'ED_CEPII Data'!$C$5:$C$92,0,0,1)</f>
        <v>4737992</v>
      </c>
    </row>
    <row r="70" spans="2:4" x14ac:dyDescent="0.3">
      <c r="B70" s="10" t="s">
        <v>390</v>
      </c>
      <c r="C70" s="10" t="s">
        <v>388</v>
      </c>
      <c r="D70" s="7">
        <f>_xlfn.XLOOKUP(B70,'ED_CEPII Data'!$B$5:$B$92,'ED_CEPII Data'!$C$5:$C$92,0,0,1)</f>
        <v>553796</v>
      </c>
    </row>
    <row r="71" spans="2:4" x14ac:dyDescent="0.3">
      <c r="B71" s="10" t="s">
        <v>568</v>
      </c>
      <c r="C71" s="10" t="s">
        <v>566</v>
      </c>
      <c r="D71" s="7">
        <f>_xlfn.XLOOKUP(B71,'ED_CEPII Data'!$B$5:$B$92,'ED_CEPII Data'!$C$5:$C$92,0,0,1)</f>
        <v>1017</v>
      </c>
    </row>
    <row r="72" spans="2:4" x14ac:dyDescent="0.3">
      <c r="B72" s="10" t="s">
        <v>919</v>
      </c>
      <c r="C72" s="10" t="s">
        <v>917</v>
      </c>
      <c r="D72" s="7">
        <f>_xlfn.XLOOKUP(B72,'ED_CEPII Data'!$B$5:$B$92,'ED_CEPII Data'!$C$5:$C$92,0,0,1)</f>
        <v>410248949</v>
      </c>
    </row>
    <row r="73" spans="2:4" x14ac:dyDescent="0.3">
      <c r="B73" s="10" t="s">
        <v>843</v>
      </c>
      <c r="C73" s="10" t="s">
        <v>841</v>
      </c>
      <c r="D73" s="7">
        <f>_xlfn.XLOOKUP(B73,'ED_CEPII Data'!$B$5:$B$92,'ED_CEPII Data'!$C$5:$C$92,0,0,1)</f>
        <v>0</v>
      </c>
    </row>
    <row r="74" spans="2:4" x14ac:dyDescent="0.3">
      <c r="B74" s="10" t="s">
        <v>665</v>
      </c>
      <c r="C74" s="10" t="s">
        <v>664</v>
      </c>
      <c r="D74" s="7">
        <f>_xlfn.XLOOKUP(B74,'ED_CEPII Data'!$B$5:$B$92,'ED_CEPII Data'!$C$5:$C$92,0,0,1)</f>
        <v>3095</v>
      </c>
    </row>
    <row r="75" spans="2:4" x14ac:dyDescent="0.3">
      <c r="B75" s="10" t="s">
        <v>574</v>
      </c>
      <c r="C75" s="10" t="s">
        <v>572</v>
      </c>
      <c r="D75" s="7">
        <f>_xlfn.XLOOKUP(B75,'ED_CEPII Data'!$B$5:$B$92,'ED_CEPII Data'!$C$5:$C$92,0,0,1)</f>
        <v>32591</v>
      </c>
    </row>
    <row r="76" spans="2:4" x14ac:dyDescent="0.3">
      <c r="B76" s="10" t="s">
        <v>321</v>
      </c>
      <c r="C76" s="10" t="s">
        <v>319</v>
      </c>
      <c r="D76" s="7">
        <f>_xlfn.XLOOKUP(B76,'ED_CEPII Data'!$B$5:$B$92,'ED_CEPII Data'!$C$5:$C$92,0,0,1)</f>
        <v>0</v>
      </c>
    </row>
    <row r="77" spans="2:4" x14ac:dyDescent="0.3">
      <c r="B77" s="10" t="s">
        <v>731</v>
      </c>
      <c r="C77" s="10" t="s">
        <v>729</v>
      </c>
      <c r="D77" s="7">
        <f>_xlfn.XLOOKUP(B77,'ED_CEPII Data'!$B$5:$B$92,'ED_CEPII Data'!$C$5:$C$92,0,0,1)</f>
        <v>206907</v>
      </c>
    </row>
    <row r="78" spans="2:4" x14ac:dyDescent="0.3">
      <c r="B78" s="10" t="s">
        <v>402</v>
      </c>
      <c r="C78" s="10" t="s">
        <v>981</v>
      </c>
      <c r="D78" s="7">
        <f>_xlfn.XLOOKUP(B78,'ED_CEPII Data'!$B$5:$B$92,'ED_CEPII Data'!$C$5:$C$92,0,0,1)</f>
        <v>0</v>
      </c>
    </row>
    <row r="79" spans="2:4" x14ac:dyDescent="0.3">
      <c r="B79" s="10" t="s">
        <v>272</v>
      </c>
      <c r="C79" s="10" t="s">
        <v>270</v>
      </c>
      <c r="D79" s="7">
        <f>_xlfn.XLOOKUP(B79,'ED_CEPII Data'!$B$5:$B$92,'ED_CEPII Data'!$C$5:$C$92,0,0,1)</f>
        <v>594</v>
      </c>
    </row>
    <row r="80" spans="2:4" x14ac:dyDescent="0.3">
      <c r="B80" s="10" t="s">
        <v>342</v>
      </c>
      <c r="C80" s="10" t="s">
        <v>340</v>
      </c>
      <c r="D80" s="7">
        <f>_xlfn.XLOOKUP(B80,'ED_CEPII Data'!$B$5:$B$92,'ED_CEPII Data'!$C$5:$C$92,0,0,1)</f>
        <v>57268331</v>
      </c>
    </row>
    <row r="81" spans="2:4" x14ac:dyDescent="0.3">
      <c r="B81" s="10" t="s">
        <v>610</v>
      </c>
      <c r="C81" s="10" t="s">
        <v>608</v>
      </c>
      <c r="D81" s="7">
        <f>_xlfn.XLOOKUP(B81,'ED_CEPII Data'!$B$5:$B$92,'ED_CEPII Data'!$C$5:$C$92,0,0,1)</f>
        <v>122</v>
      </c>
    </row>
    <row r="82" spans="2:4" x14ac:dyDescent="0.3">
      <c r="B82" s="10" t="s">
        <v>767</v>
      </c>
      <c r="C82" s="10" t="s">
        <v>765</v>
      </c>
      <c r="D82" s="7">
        <f>_xlfn.XLOOKUP(B82,'ED_CEPII Data'!$B$5:$B$92,'ED_CEPII Data'!$C$5:$C$92,0,0,1)</f>
        <v>77179</v>
      </c>
    </row>
    <row r="83" spans="2:4" x14ac:dyDescent="0.3">
      <c r="B83" s="10" t="s">
        <v>372</v>
      </c>
      <c r="C83" s="10" t="s">
        <v>370</v>
      </c>
      <c r="D83" s="7">
        <f>_xlfn.XLOOKUP(B83,'ED_CEPII Data'!$B$5:$B$92,'ED_CEPII Data'!$C$5:$C$92,0,0,1)</f>
        <v>26695</v>
      </c>
    </row>
    <row r="84" spans="2:4" x14ac:dyDescent="0.3">
      <c r="B84" s="10" t="s">
        <v>704</v>
      </c>
      <c r="C84" s="10" t="s">
        <v>702</v>
      </c>
      <c r="D84" s="7">
        <f>_xlfn.XLOOKUP(B84,'ED_CEPII Data'!$B$5:$B$92,'ED_CEPII Data'!$C$5:$C$92,0,0,1)</f>
        <v>0</v>
      </c>
    </row>
    <row r="85" spans="2:4" x14ac:dyDescent="0.3">
      <c r="B85" s="10" t="s">
        <v>910</v>
      </c>
      <c r="C85" s="10" t="s">
        <v>908</v>
      </c>
      <c r="D85" s="7">
        <f>_xlfn.XLOOKUP(B85,'ED_CEPII Data'!$B$5:$B$92,'ED_CEPII Data'!$C$5:$C$92,0,0,1)</f>
        <v>11520</v>
      </c>
    </row>
    <row r="86" spans="2:4" x14ac:dyDescent="0.3">
      <c r="B86" s="10" t="s">
        <v>474</v>
      </c>
      <c r="C86" s="10" t="s">
        <v>472</v>
      </c>
      <c r="D86" s="7">
        <f>_xlfn.XLOOKUP(B86,'ED_CEPII Data'!$B$5:$B$92,'ED_CEPII Data'!$C$5:$C$92,0,0,1)</f>
        <v>0</v>
      </c>
    </row>
    <row r="87" spans="2:4" x14ac:dyDescent="0.3">
      <c r="B87" s="10" t="s">
        <v>939</v>
      </c>
      <c r="C87" s="10" t="s">
        <v>937</v>
      </c>
      <c r="D87" s="7">
        <f>_xlfn.XLOOKUP(B87,'ED_CEPII Data'!$B$5:$B$92,'ED_CEPII Data'!$C$5:$C$92,0,0,1)</f>
        <v>309331</v>
      </c>
    </row>
    <row r="88" spans="2:4" x14ac:dyDescent="0.3">
      <c r="B88" s="10" t="s">
        <v>734</v>
      </c>
      <c r="C88" s="10" t="s">
        <v>732</v>
      </c>
      <c r="D88" s="7">
        <f>_xlfn.XLOOKUP(B88,'ED_CEPII Data'!$B$5:$B$92,'ED_CEPII Data'!$C$5:$C$92,0,0,1)</f>
        <v>0</v>
      </c>
    </row>
    <row r="89" spans="2:4" x14ac:dyDescent="0.3">
      <c r="B89" s="10" t="s">
        <v>645</v>
      </c>
      <c r="C89" s="10" t="s">
        <v>643</v>
      </c>
      <c r="D89" s="7">
        <f>_xlfn.XLOOKUP(B89,'ED_CEPII Data'!$B$5:$B$92,'ED_CEPII Data'!$C$5:$C$92,0,0,1)</f>
        <v>0</v>
      </c>
    </row>
    <row r="90" spans="2:4" x14ac:dyDescent="0.3">
      <c r="B90" s="10" t="s">
        <v>432</v>
      </c>
      <c r="C90" s="10" t="s">
        <v>430</v>
      </c>
      <c r="D90" s="7">
        <f>_xlfn.XLOOKUP(B90,'ED_CEPII Data'!$B$5:$B$92,'ED_CEPII Data'!$C$5:$C$92,0,0,1)</f>
        <v>0</v>
      </c>
    </row>
    <row r="91" spans="2:4" x14ac:dyDescent="0.3">
      <c r="B91" s="10" t="s">
        <v>571</v>
      </c>
      <c r="C91" s="10" t="s">
        <v>569</v>
      </c>
      <c r="D91" s="7">
        <f>_xlfn.XLOOKUP(B91,'ED_CEPII Data'!$B$5:$B$92,'ED_CEPII Data'!$C$5:$C$92,0,0,1)</f>
        <v>0</v>
      </c>
    </row>
    <row r="92" spans="2:4" x14ac:dyDescent="0.3">
      <c r="B92" s="10" t="s">
        <v>660</v>
      </c>
      <c r="C92" s="10" t="s">
        <v>658</v>
      </c>
      <c r="D92" s="7">
        <f>_xlfn.XLOOKUP(B92,'ED_CEPII Data'!$B$5:$B$92,'ED_CEPII Data'!$C$5:$C$92,0,0,1)</f>
        <v>0</v>
      </c>
    </row>
    <row r="93" spans="2:4" x14ac:dyDescent="0.3">
      <c r="B93" s="10" t="s">
        <v>435</v>
      </c>
      <c r="C93" s="10" t="s">
        <v>982</v>
      </c>
      <c r="D93" s="7">
        <f>_xlfn.XLOOKUP(B93,'ED_CEPII Data'!$B$5:$B$92,'ED_CEPII Data'!$C$5:$C$92,0,0,1)</f>
        <v>32931</v>
      </c>
    </row>
    <row r="94" spans="2:4" x14ac:dyDescent="0.3">
      <c r="B94" s="10" t="s">
        <v>764</v>
      </c>
      <c r="C94" s="10" t="s">
        <v>762</v>
      </c>
      <c r="D94" s="7">
        <f>_xlfn.XLOOKUP(B94,'ED_CEPII Data'!$B$5:$B$92,'ED_CEPII Data'!$C$5:$C$92,0,0,1)</f>
        <v>12782258</v>
      </c>
    </row>
    <row r="95" spans="2:4" x14ac:dyDescent="0.3">
      <c r="B95" s="10" t="s">
        <v>809</v>
      </c>
      <c r="C95" s="10" t="s">
        <v>807</v>
      </c>
      <c r="D95" s="7">
        <f>_xlfn.XLOOKUP(B95,'ED_CEPII Data'!$B$5:$B$92,'ED_CEPII Data'!$C$5:$C$92,0,0,1)</f>
        <v>4669</v>
      </c>
    </row>
    <row r="96" spans="2:4" x14ac:dyDescent="0.3">
      <c r="B96" s="10" t="s">
        <v>746</v>
      </c>
      <c r="C96" s="10" t="s">
        <v>744</v>
      </c>
      <c r="D96" s="7">
        <f>_xlfn.XLOOKUP(B96,'ED_CEPII Data'!$B$5:$B$92,'ED_CEPII Data'!$C$5:$C$92,0,0,1)</f>
        <v>0</v>
      </c>
    </row>
    <row r="97" spans="2:12" x14ac:dyDescent="0.3">
      <c r="B97" s="10" t="s">
        <v>459</v>
      </c>
      <c r="C97" s="10" t="s">
        <v>457</v>
      </c>
      <c r="D97" s="7">
        <f>_xlfn.XLOOKUP(B97,'ED_CEPII Data'!$B$5:$B$92,'ED_CEPII Data'!$C$5:$C$92,0,0,1)</f>
        <v>0</v>
      </c>
      <c r="E97" s="7"/>
      <c r="F97" s="7"/>
      <c r="G97" s="7"/>
      <c r="H97" s="7"/>
      <c r="I97" s="7"/>
      <c r="J97" s="7"/>
      <c r="K97" s="7"/>
      <c r="L97" s="7"/>
    </row>
    <row r="98" spans="2:12" x14ac:dyDescent="0.3">
      <c r="B98" s="10" t="s">
        <v>907</v>
      </c>
      <c r="C98" s="10" t="s">
        <v>905</v>
      </c>
      <c r="D98" s="7">
        <f>_xlfn.XLOOKUP(B98,'ED_CEPII Data'!$B$5:$B$92,'ED_CEPII Data'!$C$5:$C$92,0,0,1)</f>
        <v>1175</v>
      </c>
      <c r="E98" s="7"/>
      <c r="F98" s="7"/>
      <c r="G98" s="7"/>
      <c r="H98" s="7"/>
      <c r="I98" s="7"/>
      <c r="J98" s="7"/>
      <c r="K98" s="7"/>
      <c r="L98" s="7"/>
    </row>
    <row r="99" spans="2:12" x14ac:dyDescent="0.3">
      <c r="B99" s="10" t="s">
        <v>417</v>
      </c>
      <c r="C99" s="10" t="s">
        <v>415</v>
      </c>
      <c r="D99" s="7">
        <f>_xlfn.XLOOKUP(B99,'ED_CEPII Data'!$B$5:$B$92,'ED_CEPII Data'!$C$5:$C$92,0,0,1)</f>
        <v>0</v>
      </c>
      <c r="E99" s="7"/>
      <c r="F99" s="7"/>
      <c r="G99" s="7"/>
      <c r="H99" s="7"/>
      <c r="I99" s="7"/>
      <c r="J99" s="7"/>
      <c r="K99" s="7"/>
      <c r="L99" s="7"/>
    </row>
    <row r="100" spans="2:12" x14ac:dyDescent="0.3">
      <c r="B100" s="10" t="s">
        <v>411</v>
      </c>
      <c r="C100" s="10" t="s">
        <v>409</v>
      </c>
      <c r="D100" s="7">
        <f>_xlfn.XLOOKUP(B100,'ED_CEPII Data'!$B$5:$B$92,'ED_CEPII Data'!$C$5:$C$92,0,0,1)</f>
        <v>2695701</v>
      </c>
      <c r="E100" s="7"/>
      <c r="F100" s="7"/>
      <c r="G100" s="7"/>
      <c r="H100" s="7"/>
      <c r="I100" s="7"/>
      <c r="J100" s="7"/>
      <c r="K100" s="7"/>
      <c r="L100" s="7"/>
    </row>
    <row r="101" spans="2:12" x14ac:dyDescent="0.3">
      <c r="B101" s="10" t="s">
        <v>892</v>
      </c>
      <c r="C101" s="10" t="s">
        <v>890</v>
      </c>
      <c r="D101" s="7">
        <f>_xlfn.XLOOKUP(B101,'ED_CEPII Data'!$B$5:$B$92,'ED_CEPII Data'!$C$5:$C$92,0,0,1)</f>
        <v>30372</v>
      </c>
      <c r="E101" s="7"/>
      <c r="F101" s="7"/>
      <c r="G101" s="7"/>
      <c r="H101" s="7"/>
      <c r="I101" s="7"/>
      <c r="J101" s="7"/>
      <c r="K101" s="7"/>
      <c r="L101" s="7"/>
    </row>
    <row r="102" spans="2:12" x14ac:dyDescent="0.3">
      <c r="B102" s="10" t="s">
        <v>263</v>
      </c>
      <c r="C102" s="10" t="s">
        <v>261</v>
      </c>
      <c r="D102" s="7">
        <f>_xlfn.XLOOKUP(B102,'ED_CEPII Data'!$B$5:$B$92,'ED_CEPII Data'!$C$5:$C$92,0,0,1)</f>
        <v>66890227</v>
      </c>
      <c r="E102" s="7"/>
      <c r="F102" s="7"/>
      <c r="G102" s="7"/>
      <c r="H102" s="7"/>
      <c r="I102" s="7"/>
      <c r="J102" s="7"/>
      <c r="K102" s="7"/>
      <c r="L102" s="7"/>
    </row>
    <row r="103" spans="2:12" x14ac:dyDescent="0.3">
      <c r="B103" s="10" t="s">
        <v>293</v>
      </c>
      <c r="C103" s="10" t="s">
        <v>291</v>
      </c>
      <c r="D103" s="7">
        <f>_xlfn.XLOOKUP(B103,'ED_CEPII Data'!$B$5:$B$92,'ED_CEPII Data'!$C$5:$C$92,0,0,1)</f>
        <v>15837538</v>
      </c>
      <c r="E103" s="7"/>
      <c r="F103" s="7"/>
      <c r="G103" s="7"/>
      <c r="H103" s="7"/>
      <c r="I103" s="7"/>
      <c r="J103" s="7"/>
      <c r="K103" s="7"/>
      <c r="L103" s="7"/>
    </row>
    <row r="104" spans="2:12" x14ac:dyDescent="0.3">
      <c r="B104" s="10" t="s">
        <v>553</v>
      </c>
      <c r="C104" s="10" t="s">
        <v>551</v>
      </c>
      <c r="D104" s="7">
        <f>_xlfn.XLOOKUP(B104,'ED_CEPII Data'!$B$5:$B$92,'ED_CEPII Data'!$C$5:$C$92,0,0,1)</f>
        <v>0</v>
      </c>
      <c r="E104" s="7"/>
      <c r="F104" s="7"/>
      <c r="G104" s="7"/>
      <c r="H104" s="7"/>
      <c r="I104" s="7"/>
      <c r="J104" s="7"/>
      <c r="K104" s="7"/>
      <c r="L104" s="7"/>
    </row>
    <row r="105" spans="2:12" x14ac:dyDescent="0.3">
      <c r="B105" s="10" t="s">
        <v>477</v>
      </c>
      <c r="C105" s="10" t="s">
        <v>475</v>
      </c>
      <c r="D105" s="7">
        <f>_xlfn.XLOOKUP(B105,'ED_CEPII Data'!$B$5:$B$92,'ED_CEPII Data'!$C$5:$C$92,0,0,1)</f>
        <v>0</v>
      </c>
      <c r="E105" s="7"/>
      <c r="F105" s="7"/>
      <c r="G105" s="7"/>
      <c r="H105" s="7"/>
      <c r="I105" s="7"/>
      <c r="J105" s="7"/>
      <c r="K105" s="7"/>
      <c r="L105" s="7"/>
    </row>
    <row r="106" spans="2:12" x14ac:dyDescent="0.3">
      <c r="B106" s="10" t="s">
        <v>707</v>
      </c>
      <c r="C106" s="10" t="s">
        <v>705</v>
      </c>
      <c r="D106" s="7">
        <f>_xlfn.XLOOKUP(B106,'ED_CEPII Data'!$B$5:$B$92,'ED_CEPII Data'!$C$5:$C$92,0,0,1)</f>
        <v>32768</v>
      </c>
      <c r="E106" s="7"/>
      <c r="F106" s="7"/>
      <c r="G106" s="7"/>
      <c r="H106" s="7"/>
      <c r="I106" s="7"/>
      <c r="J106" s="7"/>
      <c r="K106" s="7"/>
      <c r="L106" s="7"/>
    </row>
    <row r="107" spans="2:12" x14ac:dyDescent="0.3">
      <c r="B107" s="10" t="s">
        <v>788</v>
      </c>
      <c r="C107" s="10" t="s">
        <v>786</v>
      </c>
      <c r="D107" s="7">
        <f>_xlfn.XLOOKUP(B107,'ED_CEPII Data'!$B$5:$B$92,'ED_CEPII Data'!$C$5:$C$92,0,0,1)</f>
        <v>0</v>
      </c>
      <c r="E107" s="7"/>
      <c r="F107" s="7"/>
      <c r="G107" s="7"/>
      <c r="H107" s="7"/>
      <c r="I107" s="7"/>
      <c r="J107" s="7"/>
      <c r="K107" s="7"/>
      <c r="L107" s="7"/>
    </row>
    <row r="108" spans="2:12" x14ac:dyDescent="0.3">
      <c r="B108" s="10" t="s">
        <v>983</v>
      </c>
      <c r="C108" s="10" t="e">
        <v>#N/A</v>
      </c>
      <c r="D108" s="7">
        <f>AVERAGE(F108:H108)</f>
        <v>58751836.5</v>
      </c>
      <c r="E108" s="7"/>
      <c r="F108" s="7">
        <f>_xlfn.XLOOKUP(J108,$B$7:$B$107,$D$7:$D$107,"N/A",0,1)</f>
        <v>20708077</v>
      </c>
      <c r="G108" s="7">
        <f>_xlfn.XLOOKUP(K108,$B$7:$B$107,$D$7:$D$107,"N/A",0,1)</f>
        <v>96795596</v>
      </c>
      <c r="H108" s="7"/>
      <c r="I108" s="7"/>
      <c r="J108" s="7" t="s">
        <v>755</v>
      </c>
      <c r="K108" s="7" t="s">
        <v>846</v>
      </c>
      <c r="L108" s="7"/>
    </row>
    <row r="109" spans="2:12" x14ac:dyDescent="0.3">
      <c r="B109" s="10" t="s">
        <v>984</v>
      </c>
      <c r="C109" s="10" t="e">
        <v>#N/A</v>
      </c>
      <c r="D109" s="7">
        <f t="shared" ref="D109:D112" si="0">AVERAGE(F109:H109)</f>
        <v>239209260</v>
      </c>
      <c r="E109" s="7"/>
      <c r="F109" s="7"/>
      <c r="G109" s="7">
        <f>_xlfn.XLOOKUP(K109,$B$7:$B$107,$D$7:$D$107,"N/A",0,1)</f>
        <v>475065757</v>
      </c>
      <c r="H109" s="7">
        <f>_xlfn.XLOOKUP(L109,$B$7:$B$107,$D$7:$D$107,"N/A",0,1)</f>
        <v>3352763</v>
      </c>
      <c r="I109" s="7"/>
      <c r="J109" s="7" t="s">
        <v>985</v>
      </c>
      <c r="K109" s="7" t="s">
        <v>489</v>
      </c>
      <c r="L109" s="7" t="s">
        <v>287</v>
      </c>
    </row>
    <row r="110" spans="2:12" x14ac:dyDescent="0.3">
      <c r="B110" s="10" t="s">
        <v>986</v>
      </c>
      <c r="C110" s="10" t="e">
        <v>#N/A</v>
      </c>
      <c r="D110" s="7">
        <f t="shared" si="0"/>
        <v>29644023.333333332</v>
      </c>
      <c r="E110" s="7"/>
      <c r="F110" s="7">
        <f t="shared" ref="F110:G110" si="1">_xlfn.XLOOKUP(J110,$B$7:$B$107,$D$7:$D$107,"N/A",0,1)</f>
        <v>20484949</v>
      </c>
      <c r="G110" s="7">
        <f t="shared" si="1"/>
        <v>25669136</v>
      </c>
      <c r="H110" s="7">
        <f>_xlfn.XLOOKUP(L110,$B$7:$B$107,$D$7:$D$107,"N/A",0,1)</f>
        <v>42777985</v>
      </c>
      <c r="I110" s="7"/>
      <c r="J110" s="7" t="s">
        <v>752</v>
      </c>
      <c r="K110" s="7" t="s">
        <v>423</v>
      </c>
      <c r="L110" s="7" t="s">
        <v>826</v>
      </c>
    </row>
    <row r="111" spans="2:12" x14ac:dyDescent="0.3">
      <c r="B111" s="10" t="s">
        <v>987</v>
      </c>
      <c r="C111" s="10" t="e">
        <v>#N/A</v>
      </c>
      <c r="D111" s="7">
        <f t="shared" si="0"/>
        <v>237774699</v>
      </c>
      <c r="E111" s="7"/>
      <c r="F111" s="7">
        <f t="shared" ref="F111:F112" si="2">_xlfn.XLOOKUP(J111,$B$7:$B$107,$D$7:$D$107,"N/A",0,1)</f>
        <v>475065757</v>
      </c>
      <c r="G111" s="7">
        <f t="shared" ref="G111:G112" si="3">_xlfn.XLOOKUP(K111,$B$7:$B$107,$D$7:$D$107,"N/A",0,1)</f>
        <v>483641</v>
      </c>
      <c r="H111" s="7"/>
      <c r="I111" s="7"/>
      <c r="J111" s="7" t="s">
        <v>489</v>
      </c>
      <c r="K111" s="7" t="s">
        <v>429</v>
      </c>
      <c r="L111" s="7"/>
    </row>
    <row r="112" spans="2:12" x14ac:dyDescent="0.3">
      <c r="B112" s="10" t="s">
        <v>988</v>
      </c>
      <c r="C112" s="10" t="e">
        <v>#N/A</v>
      </c>
      <c r="D112" s="7">
        <f t="shared" si="0"/>
        <v>95331283</v>
      </c>
      <c r="E112" s="7"/>
      <c r="F112" s="7">
        <f t="shared" si="2"/>
        <v>96795596</v>
      </c>
      <c r="G112" s="7">
        <f t="shared" si="3"/>
        <v>93866970</v>
      </c>
      <c r="H112" s="7"/>
      <c r="I112" s="7"/>
      <c r="J112" s="7" t="s">
        <v>846</v>
      </c>
      <c r="K112" s="7" t="s">
        <v>465</v>
      </c>
      <c r="L112" s="7"/>
    </row>
    <row r="113" spans="2:3" x14ac:dyDescent="0.3">
      <c r="B113" s="10"/>
      <c r="C11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E417-D78F-41FA-978B-BC322A0F8844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6F0E-7977-4B92-AF03-182482A59574}">
  <dimension ref="A1:D93"/>
  <sheetViews>
    <sheetView showGridLines="0" workbookViewId="0">
      <selection activeCell="C2" sqref="C2"/>
    </sheetView>
  </sheetViews>
  <sheetFormatPr defaultRowHeight="14.4" x14ac:dyDescent="0.3"/>
  <cols>
    <col min="1" max="1" width="10.21875" style="1" bestFit="1" customWidth="1"/>
    <col min="2" max="2" width="16.88671875" style="1" bestFit="1" customWidth="1"/>
    <col min="3" max="3" width="18.109375" style="1" bestFit="1" customWidth="1"/>
    <col min="4" max="16384" width="8.88671875" style="1"/>
  </cols>
  <sheetData>
    <row r="1" spans="1:4" x14ac:dyDescent="0.3">
      <c r="A1" s="1" t="s">
        <v>9</v>
      </c>
      <c r="B1" s="5">
        <v>281410</v>
      </c>
      <c r="C1" s="1" t="s">
        <v>8</v>
      </c>
    </row>
    <row r="2" spans="1:4" x14ac:dyDescent="0.3">
      <c r="A2" s="1" t="s">
        <v>10</v>
      </c>
      <c r="B2" s="5">
        <v>2024</v>
      </c>
    </row>
    <row r="4" spans="1:4" x14ac:dyDescent="0.3">
      <c r="A4" s="3" t="s">
        <v>2</v>
      </c>
      <c r="B4" s="3" t="s">
        <v>957</v>
      </c>
      <c r="C4" s="3" t="s">
        <v>959</v>
      </c>
      <c r="D4" s="3" t="s">
        <v>958</v>
      </c>
    </row>
    <row r="5" spans="1:4" x14ac:dyDescent="0.3">
      <c r="A5" s="5">
        <v>12</v>
      </c>
      <c r="B5" s="1" t="str">
        <f>_xlfn.XLOOKUP(A5,'ED_Country Codes'!$A$2:$A$239,'ED_Country Codes'!$D$2:$D$239,"N/A",0,1)</f>
        <v>DZA</v>
      </c>
      <c r="C5" s="6">
        <v>66890227</v>
      </c>
      <c r="D5" s="1">
        <f>LOG(C5)</f>
        <v>7.8253626697854948</v>
      </c>
    </row>
    <row r="6" spans="1:4" x14ac:dyDescent="0.3">
      <c r="A6" s="5">
        <v>24</v>
      </c>
      <c r="B6" s="1" t="str">
        <f>_xlfn.XLOOKUP(A6,'ED_Country Codes'!$A$2:$A$239,'ED_Country Codes'!$D$2:$D$239,"N/A",0,1)</f>
        <v>AGO</v>
      </c>
      <c r="C6" s="6">
        <v>594</v>
      </c>
      <c r="D6" s="1">
        <f t="shared" ref="D6:D69" si="0">LOG(C6)</f>
        <v>2.7737864449811935</v>
      </c>
    </row>
    <row r="7" spans="1:4" x14ac:dyDescent="0.3">
      <c r="A7" s="5">
        <v>32</v>
      </c>
      <c r="B7" s="1" t="str">
        <f>_xlfn.XLOOKUP(A7,'ED_Country Codes'!$A$2:$A$239,'ED_Country Codes'!$D$2:$D$239,"N/A",0,1)</f>
        <v>ARG</v>
      </c>
      <c r="C7" s="6">
        <v>558834</v>
      </c>
      <c r="D7" s="1">
        <f t="shared" si="0"/>
        <v>5.7472828211414759</v>
      </c>
    </row>
    <row r="8" spans="1:4" x14ac:dyDescent="0.3">
      <c r="A8" s="5">
        <v>36</v>
      </c>
      <c r="B8" s="1" t="str">
        <f>_xlfn.XLOOKUP(A8,'ED_Country Codes'!$A$2:$A$239,'ED_Country Codes'!$D$2:$D$239,"N/A",0,1)</f>
        <v>AUS</v>
      </c>
      <c r="C8" s="6">
        <v>244111412</v>
      </c>
      <c r="D8" s="1">
        <f t="shared" si="0"/>
        <v>8.3875880827878451</v>
      </c>
    </row>
    <row r="9" spans="1:4" x14ac:dyDescent="0.3">
      <c r="A9" s="5">
        <v>40</v>
      </c>
      <c r="B9" s="1" t="str">
        <f>_xlfn.XLOOKUP(A9,'ED_Country Codes'!$A$2:$A$239,'ED_Country Codes'!$D$2:$D$239,"N/A",0,1)</f>
        <v>AUT</v>
      </c>
      <c r="C9" s="6">
        <v>3352763</v>
      </c>
      <c r="D9" s="1">
        <f t="shared" si="0"/>
        <v>6.5254028551198422</v>
      </c>
    </row>
    <row r="10" spans="1:4" x14ac:dyDescent="0.3">
      <c r="A10" s="5">
        <v>48</v>
      </c>
      <c r="B10" s="1" t="str">
        <f>_xlfn.XLOOKUP(A10,'ED_Country Codes'!$A$2:$A$239,'ED_Country Codes'!$D$2:$D$239,"N/A",0,1)</f>
        <v>BHR</v>
      </c>
      <c r="C10" s="6">
        <v>15837538</v>
      </c>
      <c r="D10" s="1">
        <f t="shared" si="0"/>
        <v>7.1996876699227847</v>
      </c>
    </row>
    <row r="11" spans="1:4" x14ac:dyDescent="0.3">
      <c r="A11" s="5">
        <v>50</v>
      </c>
      <c r="B11" s="1" t="str">
        <f>_xlfn.XLOOKUP(A11,'ED_Country Codes'!$A$2:$A$239,'ED_Country Codes'!$D$2:$D$239,"N/A",0,1)</f>
        <v>BGD</v>
      </c>
      <c r="C11" s="6">
        <v>896464</v>
      </c>
      <c r="D11" s="1">
        <f t="shared" si="0"/>
        <v>5.9525328539480959</v>
      </c>
    </row>
    <row r="12" spans="1:4" x14ac:dyDescent="0.3">
      <c r="A12" s="5">
        <v>56</v>
      </c>
      <c r="B12" s="1" t="str">
        <f>_xlfn.XLOOKUP(A12,'ED_Country Codes'!$A$2:$A$239,'ED_Country Codes'!$D$2:$D$239,"N/A",0,1)</f>
        <v>BEL</v>
      </c>
      <c r="C12" s="6">
        <v>80926336</v>
      </c>
      <c r="D12" s="1">
        <f t="shared" si="0"/>
        <v>7.9080898778322686</v>
      </c>
    </row>
    <row r="13" spans="1:4" x14ac:dyDescent="0.3">
      <c r="A13" s="5">
        <v>76</v>
      </c>
      <c r="B13" s="1" t="str">
        <f>_xlfn.XLOOKUP(A13,'ED_Country Codes'!$A$2:$A$239,'ED_Country Codes'!$D$2:$D$239,"N/A",0,1)</f>
        <v>BRA</v>
      </c>
      <c r="C13" s="6">
        <v>240</v>
      </c>
      <c r="D13" s="1">
        <f t="shared" si="0"/>
        <v>2.3802112417116059</v>
      </c>
    </row>
    <row r="14" spans="1:4" x14ac:dyDescent="0.3">
      <c r="A14" s="5">
        <v>100</v>
      </c>
      <c r="B14" s="1" t="str">
        <f>_xlfn.XLOOKUP(A14,'ED_Country Codes'!$A$2:$A$239,'ED_Country Codes'!$D$2:$D$239,"N/A",0,1)</f>
        <v>BGR</v>
      </c>
      <c r="C14" s="6">
        <v>57268331</v>
      </c>
      <c r="D14" s="1">
        <f t="shared" si="0"/>
        <v>7.7579145264335256</v>
      </c>
    </row>
    <row r="15" spans="1:4" x14ac:dyDescent="0.3">
      <c r="A15" s="5">
        <v>116</v>
      </c>
      <c r="B15" s="1" t="str">
        <f>_xlfn.XLOOKUP(A15,'ED_Country Codes'!$A$2:$A$239,'ED_Country Codes'!$D$2:$D$239,"N/A",0,1)</f>
        <v>KHM</v>
      </c>
      <c r="C15" s="6">
        <v>213</v>
      </c>
      <c r="D15" s="1">
        <f t="shared" si="0"/>
        <v>2.3283796034387376</v>
      </c>
    </row>
    <row r="16" spans="1:4" x14ac:dyDescent="0.3">
      <c r="A16" s="5">
        <v>124</v>
      </c>
      <c r="B16" s="1" t="str">
        <f>_xlfn.XLOOKUP(A16,'ED_Country Codes'!$A$2:$A$239,'ED_Country Codes'!$D$2:$D$239,"N/A",0,1)</f>
        <v>CAN</v>
      </c>
      <c r="C16" s="6">
        <v>1081034591</v>
      </c>
      <c r="D16" s="1">
        <f t="shared" si="0"/>
        <v>9.0338395907526383</v>
      </c>
    </row>
    <row r="17" spans="1:4" ht="13.8" customHeight="1" x14ac:dyDescent="0.3">
      <c r="A17" s="5">
        <v>144</v>
      </c>
      <c r="B17" s="1" t="str">
        <f>_xlfn.XLOOKUP(A17,'ED_Country Codes'!$A$2:$A$239,'ED_Country Codes'!$D$2:$D$239,"N/A",0,1)</f>
        <v>LKA</v>
      </c>
      <c r="C17" s="6">
        <v>26695</v>
      </c>
      <c r="D17" s="1">
        <f t="shared" si="0"/>
        <v>4.4264299251939274</v>
      </c>
    </row>
    <row r="18" spans="1:4" x14ac:dyDescent="0.3">
      <c r="A18" s="5">
        <v>152</v>
      </c>
      <c r="B18" s="1" t="str">
        <f>_xlfn.XLOOKUP(A18,'ED_Country Codes'!$A$2:$A$239,'ED_Country Codes'!$D$2:$D$239,"N/A",0,1)</f>
        <v>CHL</v>
      </c>
      <c r="C18" s="6">
        <v>520427</v>
      </c>
      <c r="D18" s="1">
        <f t="shared" si="0"/>
        <v>5.7163598198780807</v>
      </c>
    </row>
    <row r="19" spans="1:4" x14ac:dyDescent="0.3">
      <c r="A19" s="5">
        <v>156</v>
      </c>
      <c r="B19" s="1" t="str">
        <f>_xlfn.XLOOKUP(A19,'ED_Country Codes'!$A$2:$A$239,'ED_Country Codes'!$D$2:$D$239,"N/A",0,1)</f>
        <v>CHN</v>
      </c>
      <c r="C19" s="6">
        <v>42493270</v>
      </c>
      <c r="D19" s="1">
        <f t="shared" si="0"/>
        <v>7.6283201527960811</v>
      </c>
    </row>
    <row r="20" spans="1:4" x14ac:dyDescent="0.3">
      <c r="A20" s="5">
        <v>170</v>
      </c>
      <c r="B20" s="1" t="str">
        <f>_xlfn.XLOOKUP(A20,'ED_Country Codes'!$A$2:$A$239,'ED_Country Codes'!$D$2:$D$239,"N/A",0,1)</f>
        <v>COL</v>
      </c>
      <c r="C20" s="6">
        <v>553796</v>
      </c>
      <c r="D20" s="1">
        <f t="shared" si="0"/>
        <v>5.7433498145655664</v>
      </c>
    </row>
    <row r="21" spans="1:4" x14ac:dyDescent="0.3">
      <c r="A21" s="5">
        <v>188</v>
      </c>
      <c r="B21" s="1" t="str">
        <f>_xlfn.XLOOKUP(A21,'ED_Country Codes'!$A$2:$A$239,'ED_Country Codes'!$D$2:$D$239,"N/A",0,1)</f>
        <v>CRI</v>
      </c>
      <c r="C21" s="6">
        <v>5372</v>
      </c>
      <c r="D21" s="1">
        <f t="shared" si="0"/>
        <v>3.7301360039966776</v>
      </c>
    </row>
    <row r="22" spans="1:4" x14ac:dyDescent="0.3">
      <c r="A22" s="5">
        <v>191</v>
      </c>
      <c r="B22" s="1" t="str">
        <f>_xlfn.XLOOKUP(A22,'ED_Country Codes'!$A$2:$A$239,'ED_Country Codes'!$D$2:$D$239,"N/A",0,1)</f>
        <v>HRV</v>
      </c>
      <c r="C22" s="6">
        <v>2695701</v>
      </c>
      <c r="D22" s="1">
        <f t="shared" si="0"/>
        <v>6.4306717197433434</v>
      </c>
    </row>
    <row r="23" spans="1:4" x14ac:dyDescent="0.3">
      <c r="A23" s="5">
        <v>203</v>
      </c>
      <c r="B23" s="1" t="str">
        <f>_xlfn.XLOOKUP(A23,'ED_Country Codes'!$A$2:$A$239,'ED_Country Codes'!$D$2:$D$239,"N/A",0,1)</f>
        <v>CZE</v>
      </c>
      <c r="C23" s="6">
        <v>25669136</v>
      </c>
      <c r="D23" s="1">
        <f t="shared" si="0"/>
        <v>7.4094112509563184</v>
      </c>
    </row>
    <row r="24" spans="1:4" x14ac:dyDescent="0.3">
      <c r="A24" s="5">
        <v>204</v>
      </c>
      <c r="B24" s="1" t="str">
        <f>_xlfn.XLOOKUP(A24,'ED_Country Codes'!$A$2:$A$239,'ED_Country Codes'!$D$2:$D$239,"N/A",0,1)</f>
        <v>BEN</v>
      </c>
      <c r="C24" s="6">
        <v>308</v>
      </c>
      <c r="D24" s="1">
        <f t="shared" si="0"/>
        <v>2.4885507165004443</v>
      </c>
    </row>
    <row r="25" spans="1:4" x14ac:dyDescent="0.3">
      <c r="A25" s="5">
        <v>208</v>
      </c>
      <c r="B25" s="1" t="str">
        <f>_xlfn.XLOOKUP(A25,'ED_Country Codes'!$A$2:$A$239,'ED_Country Codes'!$D$2:$D$239,"N/A",0,1)</f>
        <v>DNK</v>
      </c>
      <c r="C25" s="6">
        <v>483641</v>
      </c>
      <c r="D25" s="1">
        <f t="shared" si="0"/>
        <v>5.6845231104662242</v>
      </c>
    </row>
    <row r="26" spans="1:4" x14ac:dyDescent="0.3">
      <c r="A26" s="5">
        <v>214</v>
      </c>
      <c r="B26" s="1" t="str">
        <f>_xlfn.XLOOKUP(A26,'ED_Country Codes'!$A$2:$A$239,'ED_Country Codes'!$D$2:$D$239,"N/A",0,1)</f>
        <v>DOM</v>
      </c>
      <c r="C26" s="6">
        <v>32931</v>
      </c>
      <c r="D26" s="1">
        <f t="shared" si="0"/>
        <v>4.5176049189259322</v>
      </c>
    </row>
    <row r="27" spans="1:4" x14ac:dyDescent="0.3">
      <c r="A27" s="5">
        <v>222</v>
      </c>
      <c r="B27" s="1" t="str">
        <f>_xlfn.XLOOKUP(A27,'ED_Country Codes'!$A$2:$A$239,'ED_Country Codes'!$D$2:$D$239,"N/A",0,1)</f>
        <v>SLV</v>
      </c>
      <c r="C27" s="6">
        <v>59</v>
      </c>
      <c r="D27" s="1">
        <f t="shared" si="0"/>
        <v>1.7708520116421442</v>
      </c>
    </row>
    <row r="28" spans="1:4" x14ac:dyDescent="0.3">
      <c r="A28" s="5">
        <v>251</v>
      </c>
      <c r="B28" s="1" t="str">
        <f>_xlfn.XLOOKUP(A28,'ED_Country Codes'!$A$2:$A$239,'ED_Country Codes'!$D$2:$D$239,"N/A",0,1)</f>
        <v>FRA</v>
      </c>
      <c r="C28" s="6">
        <v>93866970</v>
      </c>
      <c r="D28" s="1">
        <f t="shared" si="0"/>
        <v>7.9725127991855684</v>
      </c>
    </row>
    <row r="29" spans="1:4" x14ac:dyDescent="0.3">
      <c r="A29" s="5">
        <v>268</v>
      </c>
      <c r="B29" s="1" t="str">
        <f>_xlfn.XLOOKUP(A29,'ED_Country Codes'!$A$2:$A$239,'ED_Country Codes'!$D$2:$D$239,"N/A",0,1)</f>
        <v>GEO</v>
      </c>
      <c r="C29" s="6">
        <v>5866</v>
      </c>
      <c r="D29" s="1">
        <f t="shared" si="0"/>
        <v>3.7683420586445333</v>
      </c>
    </row>
    <row r="30" spans="1:4" x14ac:dyDescent="0.3">
      <c r="A30" s="5">
        <v>276</v>
      </c>
      <c r="B30" s="1" t="str">
        <f>_xlfn.XLOOKUP(A30,'ED_Country Codes'!$A$2:$A$239,'ED_Country Codes'!$D$2:$D$239,"N/A",0,1)</f>
        <v>DEU</v>
      </c>
      <c r="C30" s="6">
        <v>475065757</v>
      </c>
      <c r="D30" s="1">
        <f t="shared" si="0"/>
        <v>8.6767537273632058</v>
      </c>
    </row>
    <row r="31" spans="1:4" x14ac:dyDescent="0.3">
      <c r="A31" s="5">
        <v>300</v>
      </c>
      <c r="B31" s="1" t="str">
        <f>_xlfn.XLOOKUP(A31,'ED_Country Codes'!$A$2:$A$239,'ED_Country Codes'!$D$2:$D$239,"N/A",0,1)</f>
        <v>GRC</v>
      </c>
      <c r="C31" s="6">
        <v>1968852</v>
      </c>
      <c r="D31" s="1">
        <f t="shared" si="0"/>
        <v>6.2942130711411242</v>
      </c>
    </row>
    <row r="32" spans="1:4" x14ac:dyDescent="0.3">
      <c r="A32" s="5">
        <v>320</v>
      </c>
      <c r="B32" s="1" t="str">
        <f>_xlfn.XLOOKUP(A32,'ED_Country Codes'!$A$2:$A$239,'ED_Country Codes'!$D$2:$D$239,"N/A",0,1)</f>
        <v>GTM</v>
      </c>
      <c r="C32" s="6">
        <v>197583</v>
      </c>
      <c r="D32" s="1">
        <f t="shared" si="0"/>
        <v>5.2957495752526249</v>
      </c>
    </row>
    <row r="33" spans="1:4" x14ac:dyDescent="0.3">
      <c r="A33" s="5">
        <v>344</v>
      </c>
      <c r="B33" s="1" t="str">
        <f>_xlfn.XLOOKUP(A33,'ED_Country Codes'!$A$2:$A$239,'ED_Country Codes'!$D$2:$D$239,"N/A",0,1)</f>
        <v>HKG</v>
      </c>
      <c r="C33" s="6">
        <v>26958</v>
      </c>
      <c r="D33" s="1">
        <f t="shared" si="0"/>
        <v>4.4306876689766694</v>
      </c>
    </row>
    <row r="34" spans="1:4" x14ac:dyDescent="0.3">
      <c r="A34" s="5">
        <v>348</v>
      </c>
      <c r="B34" s="1" t="str">
        <f>_xlfn.XLOOKUP(A34,'ED_Country Codes'!$A$2:$A$239,'ED_Country Codes'!$D$2:$D$239,"N/A",0,1)</f>
        <v>HUN</v>
      </c>
      <c r="C34" s="6">
        <v>2364961</v>
      </c>
      <c r="D34" s="1">
        <f t="shared" si="0"/>
        <v>6.3738239832875943</v>
      </c>
    </row>
    <row r="35" spans="1:4" x14ac:dyDescent="0.3">
      <c r="A35" s="5">
        <v>360</v>
      </c>
      <c r="B35" s="1" t="str">
        <f>_xlfn.XLOOKUP(A35,'ED_Country Codes'!$A$2:$A$239,'ED_Country Codes'!$D$2:$D$239,"N/A",0,1)</f>
        <v>IDN</v>
      </c>
      <c r="C35" s="6">
        <v>1563582543</v>
      </c>
      <c r="D35" s="1">
        <f t="shared" si="0"/>
        <v>9.1941208130002376</v>
      </c>
    </row>
    <row r="36" spans="1:4" x14ac:dyDescent="0.3">
      <c r="A36" s="5">
        <v>364</v>
      </c>
      <c r="B36" s="1" t="str">
        <f>_xlfn.XLOOKUP(A36,'ED_Country Codes'!$A$2:$A$239,'ED_Country Codes'!$D$2:$D$239,"N/A",0,1)</f>
        <v>IRN</v>
      </c>
      <c r="C36" s="6">
        <v>1320263</v>
      </c>
      <c r="D36" s="1">
        <f t="shared" si="0"/>
        <v>6.1206604524721921</v>
      </c>
    </row>
    <row r="37" spans="1:4" x14ac:dyDescent="0.3">
      <c r="A37" s="5">
        <v>372</v>
      </c>
      <c r="B37" s="1" t="str">
        <f>_xlfn.XLOOKUP(A37,'ED_Country Codes'!$A$2:$A$239,'ED_Country Codes'!$D$2:$D$239,"N/A",0,1)</f>
        <v>IRL</v>
      </c>
      <c r="C37" s="6">
        <v>10151</v>
      </c>
      <c r="D37" s="1">
        <f t="shared" si="0"/>
        <v>4.0065088277752903</v>
      </c>
    </row>
    <row r="38" spans="1:4" x14ac:dyDescent="0.3">
      <c r="A38" s="5">
        <v>380</v>
      </c>
      <c r="B38" s="1" t="str">
        <f>_xlfn.XLOOKUP(A38,'ED_Country Codes'!$A$2:$A$239,'ED_Country Codes'!$D$2:$D$239,"N/A",0,1)</f>
        <v>ITA</v>
      </c>
      <c r="C38" s="6">
        <v>48892</v>
      </c>
      <c r="D38" s="1">
        <f t="shared" si="0"/>
        <v>4.6892378030891191</v>
      </c>
    </row>
    <row r="39" spans="1:4" x14ac:dyDescent="0.3">
      <c r="A39" s="5">
        <v>392</v>
      </c>
      <c r="B39" s="1" t="str">
        <f>_xlfn.XLOOKUP(A39,'ED_Country Codes'!$A$2:$A$239,'ED_Country Codes'!$D$2:$D$239,"N/A",0,1)</f>
        <v>JPN</v>
      </c>
      <c r="C39" s="6">
        <v>99311</v>
      </c>
      <c r="D39" s="1">
        <f t="shared" si="0"/>
        <v>4.9969973549880304</v>
      </c>
    </row>
    <row r="40" spans="1:4" x14ac:dyDescent="0.3">
      <c r="A40" s="5">
        <v>398</v>
      </c>
      <c r="B40" s="1" t="str">
        <f>_xlfn.XLOOKUP(A40,'ED_Country Codes'!$A$2:$A$239,'ED_Country Codes'!$D$2:$D$239,"N/A",0,1)</f>
        <v>KAZ</v>
      </c>
      <c r="C40" s="6">
        <v>1017</v>
      </c>
      <c r="D40" s="1">
        <f t="shared" si="0"/>
        <v>3.0073209529227447</v>
      </c>
    </row>
    <row r="41" spans="1:4" x14ac:dyDescent="0.3">
      <c r="A41" s="5">
        <v>404</v>
      </c>
      <c r="B41" s="1" t="str">
        <f>_xlfn.XLOOKUP(A41,'ED_Country Codes'!$A$2:$A$239,'ED_Country Codes'!$D$2:$D$239,"N/A",0,1)</f>
        <v>KEN</v>
      </c>
      <c r="C41" s="6">
        <v>32591</v>
      </c>
      <c r="D41" s="1">
        <f t="shared" si="0"/>
        <v>4.5130976862650529</v>
      </c>
    </row>
    <row r="42" spans="1:4" x14ac:dyDescent="0.3">
      <c r="A42" s="5">
        <v>410</v>
      </c>
      <c r="B42" s="1" t="str">
        <f>_xlfn.XLOOKUP(A42,'ED_Country Codes'!$A$2:$A$239,'ED_Country Codes'!$D$2:$D$239,"N/A",0,1)</f>
        <v>KOR</v>
      </c>
      <c r="C42" s="6">
        <v>23662098</v>
      </c>
      <c r="D42" s="1">
        <f t="shared" si="0"/>
        <v>7.3740532487208332</v>
      </c>
    </row>
    <row r="43" spans="1:4" x14ac:dyDescent="0.3">
      <c r="A43" s="5">
        <v>414</v>
      </c>
      <c r="B43" s="1" t="str">
        <f>_xlfn.XLOOKUP(A43,'ED_Country Codes'!$A$2:$A$239,'ED_Country Codes'!$D$2:$D$239,"N/A",0,1)</f>
        <v>KWT</v>
      </c>
      <c r="C43" s="6">
        <v>42</v>
      </c>
      <c r="D43" s="1">
        <f t="shared" si="0"/>
        <v>1.6232492903979006</v>
      </c>
    </row>
    <row r="44" spans="1:4" x14ac:dyDescent="0.3">
      <c r="A44" s="5">
        <v>422</v>
      </c>
      <c r="B44" s="1" t="str">
        <f>_xlfn.XLOOKUP(A44,'ED_Country Codes'!$A$2:$A$239,'ED_Country Codes'!$D$2:$D$239,"N/A",0,1)</f>
        <v>LBN</v>
      </c>
      <c r="C44" s="6">
        <v>6466</v>
      </c>
      <c r="D44" s="1">
        <f t="shared" si="0"/>
        <v>3.8106357002755371</v>
      </c>
    </row>
    <row r="45" spans="1:4" x14ac:dyDescent="0.3">
      <c r="A45" s="5">
        <v>428</v>
      </c>
      <c r="B45" s="1" t="str">
        <f>_xlfn.XLOOKUP(A45,'ED_Country Codes'!$A$2:$A$239,'ED_Country Codes'!$D$2:$D$239,"N/A",0,1)</f>
        <v>LVA</v>
      </c>
      <c r="C45" s="6">
        <v>24310</v>
      </c>
      <c r="D45" s="1">
        <f t="shared" si="0"/>
        <v>4.3857849588433355</v>
      </c>
    </row>
    <row r="46" spans="1:4" x14ac:dyDescent="0.3">
      <c r="A46" s="5">
        <v>434</v>
      </c>
      <c r="B46" s="1" t="str">
        <f>_xlfn.XLOOKUP(A46,'ED_Country Codes'!$A$2:$A$239,'ED_Country Codes'!$D$2:$D$239,"N/A",0,1)</f>
        <v>LBY</v>
      </c>
      <c r="C46" s="6">
        <v>7770601</v>
      </c>
      <c r="D46" s="1">
        <f t="shared" si="0"/>
        <v>6.8904546096490105</v>
      </c>
    </row>
    <row r="47" spans="1:4" x14ac:dyDescent="0.3">
      <c r="A47" s="5">
        <v>440</v>
      </c>
      <c r="B47" s="1" t="str">
        <f>_xlfn.XLOOKUP(A47,'ED_Country Codes'!$A$2:$A$239,'ED_Country Codes'!$D$2:$D$239,"N/A",0,1)</f>
        <v>LTU</v>
      </c>
      <c r="C47" s="6">
        <v>33044</v>
      </c>
      <c r="D47" s="1">
        <f t="shared" si="0"/>
        <v>4.519092613490356</v>
      </c>
    </row>
    <row r="48" spans="1:4" x14ac:dyDescent="0.3">
      <c r="A48" s="5">
        <v>442</v>
      </c>
      <c r="B48" s="1" t="str">
        <f>_xlfn.XLOOKUP(A48,'ED_Country Codes'!$A$2:$A$239,'ED_Country Codes'!$D$2:$D$239,"N/A",0,1)</f>
        <v>LUX</v>
      </c>
      <c r="C48" s="6">
        <v>122</v>
      </c>
      <c r="D48" s="1">
        <f t="shared" si="0"/>
        <v>2.0863598306747484</v>
      </c>
    </row>
    <row r="49" spans="1:4" x14ac:dyDescent="0.3">
      <c r="A49" s="5">
        <v>458</v>
      </c>
      <c r="B49" s="1" t="str">
        <f>_xlfn.XLOOKUP(A49,'ED_Country Codes'!$A$2:$A$239,'ED_Country Codes'!$D$2:$D$239,"N/A",0,1)</f>
        <v>MYS</v>
      </c>
      <c r="C49" s="6">
        <v>461130952</v>
      </c>
      <c r="D49" s="1">
        <f t="shared" si="0"/>
        <v>8.6638242738820797</v>
      </c>
    </row>
    <row r="50" spans="1:4" x14ac:dyDescent="0.3">
      <c r="A50" s="5">
        <v>480</v>
      </c>
      <c r="B50" s="1" t="str">
        <f>_xlfn.XLOOKUP(A50,'ED_Country Codes'!$A$2:$A$239,'ED_Country Codes'!$D$2:$D$239,"N/A",0,1)</f>
        <v>MUS</v>
      </c>
      <c r="C50" s="6">
        <v>1043</v>
      </c>
      <c r="D50" s="1">
        <f t="shared" si="0"/>
        <v>3.0182843084265309</v>
      </c>
    </row>
    <row r="51" spans="1:4" x14ac:dyDescent="0.3">
      <c r="A51" s="5">
        <v>484</v>
      </c>
      <c r="B51" s="1" t="str">
        <f>_xlfn.XLOOKUP(A51,'ED_Country Codes'!$A$2:$A$239,'ED_Country Codes'!$D$2:$D$239,"N/A",0,1)</f>
        <v>MEX</v>
      </c>
      <c r="C51" s="6">
        <v>3024852</v>
      </c>
      <c r="D51" s="1">
        <f t="shared" si="0"/>
        <v>6.4807041303419641</v>
      </c>
    </row>
    <row r="52" spans="1:4" x14ac:dyDescent="0.3">
      <c r="A52" s="5">
        <v>490</v>
      </c>
      <c r="B52" s="1" t="str">
        <f>_xlfn.XLOOKUP(A52,'ED_Country Codes'!$A$2:$A$239,'ED_Country Codes'!$D$2:$D$239,"N/A",0,1)</f>
        <v>S19</v>
      </c>
      <c r="C52" s="6">
        <v>990665</v>
      </c>
      <c r="D52" s="1">
        <f t="shared" si="0"/>
        <v>5.9959268197247848</v>
      </c>
    </row>
    <row r="53" spans="1:4" x14ac:dyDescent="0.3">
      <c r="A53" s="5">
        <v>498</v>
      </c>
      <c r="B53" s="1" t="str">
        <f>_xlfn.XLOOKUP(A53,'ED_Country Codes'!$A$2:$A$239,'ED_Country Codes'!$D$2:$D$239,"N/A",0,1)</f>
        <v>MDA</v>
      </c>
      <c r="C53" s="6">
        <v>1928</v>
      </c>
      <c r="D53" s="1">
        <f t="shared" si="0"/>
        <v>3.2851070295668121</v>
      </c>
    </row>
    <row r="54" spans="1:4" x14ac:dyDescent="0.3">
      <c r="A54" s="5">
        <v>504</v>
      </c>
      <c r="B54" s="1" t="str">
        <f>_xlfn.XLOOKUP(A54,'ED_Country Codes'!$A$2:$A$239,'ED_Country Codes'!$D$2:$D$239,"N/A",0,1)</f>
        <v>MAR</v>
      </c>
      <c r="C54" s="6">
        <v>928</v>
      </c>
      <c r="D54" s="1">
        <f t="shared" si="0"/>
        <v>2.9675479762188619</v>
      </c>
    </row>
    <row r="55" spans="1:4" x14ac:dyDescent="0.3">
      <c r="A55" s="5">
        <v>512</v>
      </c>
      <c r="B55" s="1" t="str">
        <f>_xlfn.XLOOKUP(A55,'ED_Country Codes'!$A$2:$A$239,'ED_Country Codes'!$D$2:$D$239,"N/A",0,1)</f>
        <v>OMN</v>
      </c>
      <c r="C55" s="6">
        <v>52341485</v>
      </c>
      <c r="D55" s="1">
        <f t="shared" si="0"/>
        <v>7.7188460400110994</v>
      </c>
    </row>
    <row r="56" spans="1:4" x14ac:dyDescent="0.3">
      <c r="A56" s="5">
        <v>516</v>
      </c>
      <c r="B56" s="1" t="str">
        <f>_xlfn.XLOOKUP(A56,'ED_Country Codes'!$A$2:$A$239,'ED_Country Codes'!$D$2:$D$239,"N/A",0,1)</f>
        <v>NAM</v>
      </c>
      <c r="C56" s="6">
        <v>3095</v>
      </c>
      <c r="D56" s="1">
        <f t="shared" si="0"/>
        <v>3.4906606533561368</v>
      </c>
    </row>
    <row r="57" spans="1:4" x14ac:dyDescent="0.3">
      <c r="A57" s="5">
        <v>528</v>
      </c>
      <c r="B57" s="1" t="str">
        <f>_xlfn.XLOOKUP(A57,'ED_Country Codes'!$A$2:$A$239,'ED_Country Codes'!$D$2:$D$239,"N/A",0,1)</f>
        <v>NLD</v>
      </c>
      <c r="C57" s="6">
        <v>477720861</v>
      </c>
      <c r="D57" s="1">
        <f t="shared" si="0"/>
        <v>8.6791742063647295</v>
      </c>
    </row>
    <row r="58" spans="1:4" x14ac:dyDescent="0.3">
      <c r="A58" s="5">
        <v>554</v>
      </c>
      <c r="B58" s="1" t="str">
        <f>_xlfn.XLOOKUP(A58,'ED_Country Codes'!$A$2:$A$239,'ED_Country Codes'!$D$2:$D$239,"N/A",0,1)</f>
        <v>NZL</v>
      </c>
      <c r="C58" s="6">
        <v>26</v>
      </c>
      <c r="D58" s="1">
        <f t="shared" si="0"/>
        <v>1.414973347970818</v>
      </c>
    </row>
    <row r="59" spans="1:4" x14ac:dyDescent="0.3">
      <c r="A59" s="5">
        <v>566</v>
      </c>
      <c r="B59" s="1" t="str">
        <f>_xlfn.XLOOKUP(A59,'ED_Country Codes'!$A$2:$A$239,'ED_Country Codes'!$D$2:$D$239,"N/A",0,1)</f>
        <v>NGA</v>
      </c>
      <c r="C59" s="6">
        <v>32768</v>
      </c>
      <c r="D59" s="1">
        <f t="shared" si="0"/>
        <v>4.5154499349597179</v>
      </c>
    </row>
    <row r="60" spans="1:4" x14ac:dyDescent="0.3">
      <c r="A60" s="5">
        <v>579</v>
      </c>
      <c r="B60" s="1" t="str">
        <f>_xlfn.XLOOKUP(A60,'ED_Country Codes'!$A$2:$A$239,'ED_Country Codes'!$D$2:$D$239,"N/A",0,1)</f>
        <v>NOR</v>
      </c>
      <c r="C60" s="6">
        <v>32</v>
      </c>
      <c r="D60" s="1">
        <f t="shared" si="0"/>
        <v>1.505149978319906</v>
      </c>
    </row>
    <row r="61" spans="1:4" x14ac:dyDescent="0.3">
      <c r="A61" s="5">
        <v>586</v>
      </c>
      <c r="B61" s="1" t="str">
        <f>_xlfn.XLOOKUP(A61,'ED_Country Codes'!$A$2:$A$239,'ED_Country Codes'!$D$2:$D$239,"N/A",0,1)</f>
        <v>PAK</v>
      </c>
      <c r="C61" s="6">
        <v>206907</v>
      </c>
      <c r="D61" s="1">
        <f t="shared" si="0"/>
        <v>5.3157751838022627</v>
      </c>
    </row>
    <row r="62" spans="1:4" x14ac:dyDescent="0.3">
      <c r="A62" s="5">
        <v>616</v>
      </c>
      <c r="B62" s="1" t="str">
        <f>_xlfn.XLOOKUP(A62,'ED_Country Codes'!$A$2:$A$239,'ED_Country Codes'!$D$2:$D$239,"N/A",0,1)</f>
        <v>POL</v>
      </c>
      <c r="C62" s="6">
        <v>20484949</v>
      </c>
      <c r="D62" s="1">
        <f t="shared" si="0"/>
        <v>7.3114348870567403</v>
      </c>
    </row>
    <row r="63" spans="1:4" x14ac:dyDescent="0.3">
      <c r="A63" s="5">
        <v>620</v>
      </c>
      <c r="B63" s="1" t="str">
        <f>_xlfn.XLOOKUP(A63,'ED_Country Codes'!$A$2:$A$239,'ED_Country Codes'!$D$2:$D$239,"N/A",0,1)</f>
        <v>PRT</v>
      </c>
      <c r="C63" s="6">
        <v>20708077</v>
      </c>
      <c r="D63" s="1">
        <f t="shared" si="0"/>
        <v>7.3161397711742637</v>
      </c>
    </row>
    <row r="64" spans="1:4" x14ac:dyDescent="0.3">
      <c r="A64" s="5">
        <v>634</v>
      </c>
      <c r="B64" s="1" t="str">
        <f>_xlfn.XLOOKUP(A64,'ED_Country Codes'!$A$2:$A$239,'ED_Country Codes'!$D$2:$D$239,"N/A",0,1)</f>
        <v>QAT</v>
      </c>
      <c r="C64" s="6">
        <v>12782258</v>
      </c>
      <c r="D64" s="1">
        <f t="shared" si="0"/>
        <v>7.1066075791995127</v>
      </c>
    </row>
    <row r="65" spans="1:4" x14ac:dyDescent="0.3">
      <c r="A65" s="5">
        <v>642</v>
      </c>
      <c r="B65" s="1" t="str">
        <f>_xlfn.XLOOKUP(A65,'ED_Country Codes'!$A$2:$A$239,'ED_Country Codes'!$D$2:$D$239,"N/A",0,1)</f>
        <v>ROU</v>
      </c>
      <c r="C65" s="6">
        <v>77179</v>
      </c>
      <c r="D65" s="1">
        <f t="shared" si="0"/>
        <v>4.8874991471649523</v>
      </c>
    </row>
    <row r="66" spans="1:4" x14ac:dyDescent="0.3">
      <c r="A66" s="5">
        <v>643</v>
      </c>
      <c r="B66" s="1" t="str">
        <f>_xlfn.XLOOKUP(A66,'ED_Country Codes'!$A$2:$A$239,'ED_Country Codes'!$D$2:$D$239,"N/A",0,1)</f>
        <v>RUS</v>
      </c>
      <c r="C66" s="6">
        <v>4737992</v>
      </c>
      <c r="D66" s="1">
        <f t="shared" si="0"/>
        <v>6.6755943230902526</v>
      </c>
    </row>
    <row r="67" spans="1:4" x14ac:dyDescent="0.3">
      <c r="A67" s="5">
        <v>682</v>
      </c>
      <c r="B67" s="1" t="str">
        <f>_xlfn.XLOOKUP(A67,'ED_Country Codes'!$A$2:$A$239,'ED_Country Codes'!$D$2:$D$239,"N/A",0,1)</f>
        <v>SAU</v>
      </c>
      <c r="C67" s="6">
        <v>1723645577</v>
      </c>
      <c r="D67" s="1">
        <f t="shared" si="0"/>
        <v>9.2364479692744776</v>
      </c>
    </row>
    <row r="68" spans="1:4" x14ac:dyDescent="0.3">
      <c r="A68" s="5">
        <v>686</v>
      </c>
      <c r="B68" s="1" t="str">
        <f>_xlfn.XLOOKUP(A68,'ED_Country Codes'!$A$2:$A$239,'ED_Country Codes'!$D$2:$D$239,"N/A",0,1)</f>
        <v>SEN</v>
      </c>
      <c r="C68" s="6">
        <v>228</v>
      </c>
      <c r="D68" s="1">
        <f t="shared" si="0"/>
        <v>2.357934847000454</v>
      </c>
    </row>
    <row r="69" spans="1:4" x14ac:dyDescent="0.3">
      <c r="A69" s="5">
        <v>688</v>
      </c>
      <c r="B69" s="1" t="str">
        <f>_xlfn.XLOOKUP(A69,'ED_Country Codes'!$A$2:$A$239,'ED_Country Codes'!$D$2:$D$239,"N/A",0,1)</f>
        <v>SRB</v>
      </c>
      <c r="C69" s="6">
        <v>4669</v>
      </c>
      <c r="D69" s="1">
        <f t="shared" si="0"/>
        <v>3.6692238739308056</v>
      </c>
    </row>
    <row r="70" spans="1:4" x14ac:dyDescent="0.3">
      <c r="A70" s="5">
        <v>699</v>
      </c>
      <c r="B70" s="1" t="str">
        <f>_xlfn.XLOOKUP(A70,'ED_Country Codes'!$A$2:$A$239,'ED_Country Codes'!$D$2:$D$239,"N/A",0,1)</f>
        <v>IND</v>
      </c>
      <c r="C70" s="6">
        <v>1791498</v>
      </c>
      <c r="D70" s="1">
        <f t="shared" ref="D70:D93" si="1">LOG(C70)</f>
        <v>6.2532163276629174</v>
      </c>
    </row>
    <row r="71" spans="1:4" x14ac:dyDescent="0.3">
      <c r="A71" s="5">
        <v>702</v>
      </c>
      <c r="B71" s="1" t="str">
        <f>_xlfn.XLOOKUP(A71,'ED_Country Codes'!$A$2:$A$239,'ED_Country Codes'!$D$2:$D$239,"N/A",0,1)</f>
        <v>SGP</v>
      </c>
      <c r="C71" s="6">
        <v>40269</v>
      </c>
      <c r="D71" s="1">
        <f t="shared" si="1"/>
        <v>4.6049708449073004</v>
      </c>
    </row>
    <row r="72" spans="1:4" x14ac:dyDescent="0.3">
      <c r="A72" s="5">
        <v>703</v>
      </c>
      <c r="B72" s="1" t="str">
        <f>_xlfn.XLOOKUP(A72,'ED_Country Codes'!$A$2:$A$239,'ED_Country Codes'!$D$2:$D$239,"N/A",0,1)</f>
        <v>SVK</v>
      </c>
      <c r="C72" s="6">
        <v>42777985</v>
      </c>
      <c r="D72" s="1">
        <f t="shared" si="1"/>
        <v>7.6312203238542331</v>
      </c>
    </row>
    <row r="73" spans="1:4" x14ac:dyDescent="0.3">
      <c r="A73" s="5">
        <v>704</v>
      </c>
      <c r="B73" s="1" t="str">
        <f>_xlfn.XLOOKUP(A73,'ED_Country Codes'!$A$2:$A$239,'ED_Country Codes'!$D$2:$D$239,"N/A",0,1)</f>
        <v>VNM</v>
      </c>
      <c r="C73" s="6">
        <v>200344</v>
      </c>
      <c r="D73" s="1">
        <f t="shared" si="1"/>
        <v>5.3017763405001368</v>
      </c>
    </row>
    <row r="74" spans="1:4" x14ac:dyDescent="0.3">
      <c r="A74" s="5">
        <v>705</v>
      </c>
      <c r="B74" s="1" t="str">
        <f>_xlfn.XLOOKUP(A74,'ED_Country Codes'!$A$2:$A$239,'ED_Country Codes'!$D$2:$D$239,"N/A",0,1)</f>
        <v>SVN</v>
      </c>
      <c r="C74" s="6">
        <v>33963</v>
      </c>
      <c r="D74" s="1">
        <f t="shared" si="1"/>
        <v>4.5310060451143546</v>
      </c>
    </row>
    <row r="75" spans="1:4" x14ac:dyDescent="0.3">
      <c r="A75" s="5">
        <v>710</v>
      </c>
      <c r="B75" s="1" t="str">
        <f>_xlfn.XLOOKUP(A75,'ED_Country Codes'!$A$2:$A$239,'ED_Country Codes'!$D$2:$D$239,"N/A",0,1)</f>
        <v>ZAF</v>
      </c>
      <c r="C75" s="6">
        <v>4774979</v>
      </c>
      <c r="D75" s="1">
        <f t="shared" si="1"/>
        <v>6.6789714659293624</v>
      </c>
    </row>
    <row r="76" spans="1:4" x14ac:dyDescent="0.3">
      <c r="A76" s="5">
        <v>724</v>
      </c>
      <c r="B76" s="1" t="str">
        <f>_xlfn.XLOOKUP(A76,'ED_Country Codes'!$A$2:$A$239,'ED_Country Codes'!$D$2:$D$239,"N/A",0,1)</f>
        <v>ESP</v>
      </c>
      <c r="C76" s="6">
        <v>96795596</v>
      </c>
      <c r="D76" s="1">
        <f t="shared" si="1"/>
        <v>7.9858555982545916</v>
      </c>
    </row>
    <row r="77" spans="1:4" x14ac:dyDescent="0.3">
      <c r="A77" s="5">
        <v>752</v>
      </c>
      <c r="B77" s="1" t="str">
        <f>_xlfn.XLOOKUP(A77,'ED_Country Codes'!$A$2:$A$239,'ED_Country Codes'!$D$2:$D$239,"N/A",0,1)</f>
        <v>SWE</v>
      </c>
      <c r="C77" s="6">
        <v>1760215</v>
      </c>
      <c r="D77" s="1">
        <f t="shared" si="1"/>
        <v>6.2455657175930552</v>
      </c>
    </row>
    <row r="78" spans="1:4" x14ac:dyDescent="0.3">
      <c r="A78" s="5">
        <v>757</v>
      </c>
      <c r="B78" s="1" t="str">
        <f>_xlfn.XLOOKUP(A78,'ED_Country Codes'!$A$2:$A$239,'ED_Country Codes'!$D$2:$D$239,"N/A",0,1)</f>
        <v>CHE</v>
      </c>
      <c r="C78" s="6">
        <v>2107350</v>
      </c>
      <c r="D78" s="1">
        <f t="shared" si="1"/>
        <v>6.3237366715574233</v>
      </c>
    </row>
    <row r="79" spans="1:4" x14ac:dyDescent="0.3">
      <c r="A79" s="5">
        <v>764</v>
      </c>
      <c r="B79" s="1" t="str">
        <f>_xlfn.XLOOKUP(A79,'ED_Country Codes'!$A$2:$A$239,'ED_Country Codes'!$D$2:$D$239,"N/A",0,1)</f>
        <v>THA</v>
      </c>
      <c r="C79" s="6">
        <v>701843</v>
      </c>
      <c r="D79" s="1">
        <f t="shared" si="1"/>
        <v>5.8462399727289709</v>
      </c>
    </row>
    <row r="80" spans="1:4" x14ac:dyDescent="0.3">
      <c r="A80" s="5">
        <v>780</v>
      </c>
      <c r="B80" s="1" t="str">
        <f>_xlfn.XLOOKUP(A80,'ED_Country Codes'!$A$2:$A$239,'ED_Country Codes'!$D$2:$D$239,"N/A",0,1)</f>
        <v>TTO</v>
      </c>
      <c r="C80" s="6">
        <v>57031015</v>
      </c>
      <c r="D80" s="1">
        <f t="shared" si="1"/>
        <v>7.756111100937666</v>
      </c>
    </row>
    <row r="81" spans="1:4" x14ac:dyDescent="0.3">
      <c r="A81" s="5">
        <v>784</v>
      </c>
      <c r="B81" s="1" t="str">
        <f>_xlfn.XLOOKUP(A81,'ED_Country Codes'!$A$2:$A$239,'ED_Country Codes'!$D$2:$D$239,"N/A",0,1)</f>
        <v>ARE</v>
      </c>
      <c r="C81" s="6">
        <v>1977796</v>
      </c>
      <c r="D81" s="1">
        <f t="shared" si="1"/>
        <v>6.2961814942160252</v>
      </c>
    </row>
    <row r="82" spans="1:4" x14ac:dyDescent="0.3">
      <c r="A82" s="5">
        <v>788</v>
      </c>
      <c r="B82" s="1" t="str">
        <f>_xlfn.XLOOKUP(A82,'ED_Country Codes'!$A$2:$A$239,'ED_Country Codes'!$D$2:$D$239,"N/A",0,1)</f>
        <v>TUN</v>
      </c>
      <c r="C82" s="6">
        <v>30372</v>
      </c>
      <c r="D82" s="1">
        <f t="shared" si="1"/>
        <v>4.482473391205879</v>
      </c>
    </row>
    <row r="83" spans="1:4" x14ac:dyDescent="0.3">
      <c r="A83" s="5">
        <v>792</v>
      </c>
      <c r="B83" s="1" t="str">
        <f>_xlfn.XLOOKUP(A83,'ED_Country Codes'!$A$2:$A$239,'ED_Country Codes'!$D$2:$D$239,"N/A",0,1)</f>
        <v>TUR</v>
      </c>
      <c r="C83" s="6">
        <v>190581138</v>
      </c>
      <c r="D83" s="1">
        <f t="shared" si="1"/>
        <v>8.280079915883249</v>
      </c>
    </row>
    <row r="84" spans="1:4" x14ac:dyDescent="0.3">
      <c r="A84" s="5">
        <v>800</v>
      </c>
      <c r="B84" s="1" t="str">
        <f>_xlfn.XLOOKUP(A84,'ED_Country Codes'!$A$2:$A$239,'ED_Country Codes'!$D$2:$D$239,"N/A",0,1)</f>
        <v>UGA</v>
      </c>
      <c r="C84" s="6">
        <v>1175</v>
      </c>
      <c r="D84" s="1">
        <f t="shared" si="1"/>
        <v>3.070037866607755</v>
      </c>
    </row>
    <row r="85" spans="1:4" x14ac:dyDescent="0.3">
      <c r="A85" s="5">
        <v>804</v>
      </c>
      <c r="B85" s="1" t="str">
        <f>_xlfn.XLOOKUP(A85,'ED_Country Codes'!$A$2:$A$239,'ED_Country Codes'!$D$2:$D$239,"N/A",0,1)</f>
        <v>UKR</v>
      </c>
      <c r="C85" s="6">
        <v>11520</v>
      </c>
      <c r="D85" s="1">
        <f t="shared" si="1"/>
        <v>4.0614524790871931</v>
      </c>
    </row>
    <row r="86" spans="1:4" x14ac:dyDescent="0.3">
      <c r="A86" s="5">
        <v>807</v>
      </c>
      <c r="B86" s="1" t="str">
        <f>_xlfn.XLOOKUP(A86,'ED_Country Codes'!$A$2:$A$239,'ED_Country Codes'!$D$2:$D$239,"N/A",0,1)</f>
        <v>MKD</v>
      </c>
      <c r="C86" s="6">
        <v>248</v>
      </c>
      <c r="D86" s="1">
        <f t="shared" si="1"/>
        <v>2.3944516808262164</v>
      </c>
    </row>
    <row r="87" spans="1:4" x14ac:dyDescent="0.3">
      <c r="A87" s="5">
        <v>818</v>
      </c>
      <c r="B87" s="1" t="str">
        <f>_xlfn.XLOOKUP(A87,'ED_Country Codes'!$A$2:$A$239,'ED_Country Codes'!$D$2:$D$239,"N/A",0,1)</f>
        <v>EGY</v>
      </c>
      <c r="C87" s="6">
        <v>410248949</v>
      </c>
      <c r="D87" s="1">
        <f t="shared" si="1"/>
        <v>8.6130474771252885</v>
      </c>
    </row>
    <row r="88" spans="1:4" x14ac:dyDescent="0.3">
      <c r="A88" s="5">
        <v>826</v>
      </c>
      <c r="B88" s="1" t="str">
        <f>_xlfn.XLOOKUP(A88,'ED_Country Codes'!$A$2:$A$239,'ED_Country Codes'!$D$2:$D$239,"N/A",0,1)</f>
        <v>GBR</v>
      </c>
      <c r="C88" s="6">
        <v>90600061</v>
      </c>
      <c r="D88" s="1">
        <f t="shared" si="1"/>
        <v>7.9571284900824919</v>
      </c>
    </row>
    <row r="89" spans="1:4" x14ac:dyDescent="0.3">
      <c r="A89" s="5">
        <v>834</v>
      </c>
      <c r="B89" s="1" t="str">
        <f>_xlfn.XLOOKUP(A89,'ED_Country Codes'!$A$2:$A$239,'ED_Country Codes'!$D$2:$D$239,"N/A",0,1)</f>
        <v>TZA</v>
      </c>
      <c r="C89" s="6">
        <v>25</v>
      </c>
      <c r="D89" s="1">
        <f t="shared" si="1"/>
        <v>1.3979400086720377</v>
      </c>
    </row>
    <row r="90" spans="1:4" x14ac:dyDescent="0.3">
      <c r="A90" s="5">
        <v>842</v>
      </c>
      <c r="B90" s="1" t="str">
        <f>_xlfn.XLOOKUP(A90,'ED_Country Codes'!$A$2:$A$239,'ED_Country Codes'!$D$2:$D$239,"N/A",0,1)</f>
        <v>USA</v>
      </c>
      <c r="C90" s="6">
        <v>1327123766</v>
      </c>
      <c r="D90" s="1">
        <f t="shared" si="1"/>
        <v>9.1229114265452171</v>
      </c>
    </row>
    <row r="91" spans="1:4" x14ac:dyDescent="0.3">
      <c r="A91" s="5">
        <v>860</v>
      </c>
      <c r="B91" s="1" t="str">
        <f>_xlfn.XLOOKUP(A91,'ED_Country Codes'!$A$2:$A$239,'ED_Country Codes'!$D$2:$D$239,"N/A",0,1)</f>
        <v>UZB</v>
      </c>
      <c r="C91" s="6">
        <v>309331</v>
      </c>
      <c r="D91" s="1">
        <f t="shared" si="1"/>
        <v>5.4904234455586405</v>
      </c>
    </row>
    <row r="92" spans="1:4" x14ac:dyDescent="0.3">
      <c r="A92" s="5">
        <v>894</v>
      </c>
      <c r="B92" s="1" t="str">
        <f>_xlfn.XLOOKUP(A92,'ED_Country Codes'!$A$2:$A$239,'ED_Country Codes'!$D$2:$D$239,"N/A",0,1)</f>
        <v>ZMB</v>
      </c>
      <c r="C92" s="6">
        <v>3</v>
      </c>
      <c r="D92" s="1">
        <f t="shared" si="1"/>
        <v>0.47712125471966244</v>
      </c>
    </row>
    <row r="93" spans="1:4" x14ac:dyDescent="0.3">
      <c r="A93" s="5" t="s">
        <v>4</v>
      </c>
      <c r="B93" s="1" t="str">
        <f>_xlfn.XLOOKUP(A93,'ED_Country Codes'!$A$2:$A$239,'ED_Country Codes'!$D$2:$D$239,"N/A",0,1)</f>
        <v>N/A</v>
      </c>
      <c r="C93" s="6">
        <v>8800243189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DE39-D628-4885-9F6D-89381DB90876}">
  <dimension ref="A1:D239"/>
  <sheetViews>
    <sheetView showGridLines="0" topLeftCell="A209" workbookViewId="0">
      <selection activeCell="F6" sqref="F6"/>
    </sheetView>
  </sheetViews>
  <sheetFormatPr defaultRowHeight="14.4" x14ac:dyDescent="0.3"/>
  <cols>
    <col min="2" max="2" width="34.5546875" bestFit="1" customWidth="1"/>
    <col min="3" max="4" width="11.109375" bestFit="1" customWidth="1"/>
  </cols>
  <sheetData>
    <row r="1" spans="1:4" x14ac:dyDescent="0.3">
      <c r="A1" s="1" t="s">
        <v>251</v>
      </c>
      <c r="B1" t="s">
        <v>252</v>
      </c>
      <c r="C1" t="s">
        <v>253</v>
      </c>
      <c r="D1" t="s">
        <v>254</v>
      </c>
    </row>
    <row r="2" spans="1:4" x14ac:dyDescent="0.3">
      <c r="A2" s="1">
        <v>4</v>
      </c>
      <c r="B2" t="s">
        <v>255</v>
      </c>
      <c r="C2" t="s">
        <v>256</v>
      </c>
      <c r="D2" t="s">
        <v>257</v>
      </c>
    </row>
    <row r="3" spans="1:4" x14ac:dyDescent="0.3">
      <c r="A3" s="1">
        <v>8</v>
      </c>
      <c r="B3" t="s">
        <v>258</v>
      </c>
      <c r="C3" t="s">
        <v>259</v>
      </c>
      <c r="D3" t="s">
        <v>260</v>
      </c>
    </row>
    <row r="4" spans="1:4" x14ac:dyDescent="0.3">
      <c r="A4" s="1">
        <v>12</v>
      </c>
      <c r="B4" t="s">
        <v>261</v>
      </c>
      <c r="C4" t="s">
        <v>262</v>
      </c>
      <c r="D4" t="s">
        <v>263</v>
      </c>
    </row>
    <row r="5" spans="1:4" x14ac:dyDescent="0.3">
      <c r="A5" s="1">
        <v>16</v>
      </c>
      <c r="B5" t="s">
        <v>264</v>
      </c>
      <c r="C5" t="s">
        <v>265</v>
      </c>
      <c r="D5" t="s">
        <v>266</v>
      </c>
    </row>
    <row r="6" spans="1:4" x14ac:dyDescent="0.3">
      <c r="A6" s="1">
        <v>20</v>
      </c>
      <c r="B6" t="s">
        <v>267</v>
      </c>
      <c r="C6" t="s">
        <v>268</v>
      </c>
      <c r="D6" t="s">
        <v>269</v>
      </c>
    </row>
    <row r="7" spans="1:4" x14ac:dyDescent="0.3">
      <c r="A7" s="1">
        <v>24</v>
      </c>
      <c r="B7" t="s">
        <v>270</v>
      </c>
      <c r="C7" t="s">
        <v>271</v>
      </c>
      <c r="D7" t="s">
        <v>272</v>
      </c>
    </row>
    <row r="8" spans="1:4" x14ac:dyDescent="0.3">
      <c r="A8" s="1">
        <v>28</v>
      </c>
      <c r="B8" t="s">
        <v>273</v>
      </c>
      <c r="C8" t="s">
        <v>274</v>
      </c>
      <c r="D8" t="s">
        <v>275</v>
      </c>
    </row>
    <row r="9" spans="1:4" x14ac:dyDescent="0.3">
      <c r="A9" s="1">
        <v>31</v>
      </c>
      <c r="B9" t="s">
        <v>276</v>
      </c>
      <c r="C9" t="s">
        <v>277</v>
      </c>
      <c r="D9" t="s">
        <v>278</v>
      </c>
    </row>
    <row r="10" spans="1:4" x14ac:dyDescent="0.3">
      <c r="A10" s="1">
        <v>32</v>
      </c>
      <c r="B10" t="s">
        <v>279</v>
      </c>
      <c r="C10" t="s">
        <v>280</v>
      </c>
      <c r="D10" t="s">
        <v>281</v>
      </c>
    </row>
    <row r="11" spans="1:4" x14ac:dyDescent="0.3">
      <c r="A11" s="1">
        <v>36</v>
      </c>
      <c r="B11" t="s">
        <v>282</v>
      </c>
      <c r="C11" t="s">
        <v>283</v>
      </c>
      <c r="D11" t="s">
        <v>284</v>
      </c>
    </row>
    <row r="12" spans="1:4" x14ac:dyDescent="0.3">
      <c r="A12" s="1">
        <v>40</v>
      </c>
      <c r="B12" t="s">
        <v>285</v>
      </c>
      <c r="C12" t="s">
        <v>286</v>
      </c>
      <c r="D12" t="s">
        <v>287</v>
      </c>
    </row>
    <row r="13" spans="1:4" x14ac:dyDescent="0.3">
      <c r="A13" s="1">
        <v>44</v>
      </c>
      <c r="B13" t="s">
        <v>288</v>
      </c>
      <c r="C13" t="s">
        <v>289</v>
      </c>
      <c r="D13" t="s">
        <v>290</v>
      </c>
    </row>
    <row r="14" spans="1:4" x14ac:dyDescent="0.3">
      <c r="A14" s="1">
        <v>48</v>
      </c>
      <c r="B14" t="s">
        <v>291</v>
      </c>
      <c r="C14" t="s">
        <v>292</v>
      </c>
      <c r="D14" t="s">
        <v>293</v>
      </c>
    </row>
    <row r="15" spans="1:4" x14ac:dyDescent="0.3">
      <c r="A15" s="1">
        <v>50</v>
      </c>
      <c r="B15" t="s">
        <v>294</v>
      </c>
      <c r="C15" t="s">
        <v>295</v>
      </c>
      <c r="D15" t="s">
        <v>296</v>
      </c>
    </row>
    <row r="16" spans="1:4" x14ac:dyDescent="0.3">
      <c r="A16" s="1">
        <v>51</v>
      </c>
      <c r="B16" t="s">
        <v>297</v>
      </c>
      <c r="C16" t="s">
        <v>298</v>
      </c>
      <c r="D16" t="s">
        <v>299</v>
      </c>
    </row>
    <row r="17" spans="1:4" x14ac:dyDescent="0.3">
      <c r="A17" s="1">
        <v>52</v>
      </c>
      <c r="B17" t="s">
        <v>300</v>
      </c>
      <c r="C17" t="s">
        <v>301</v>
      </c>
      <c r="D17" t="s">
        <v>302</v>
      </c>
    </row>
    <row r="18" spans="1:4" x14ac:dyDescent="0.3">
      <c r="A18" s="1">
        <v>56</v>
      </c>
      <c r="B18" t="s">
        <v>303</v>
      </c>
      <c r="C18" t="s">
        <v>304</v>
      </c>
      <c r="D18" t="s">
        <v>305</v>
      </c>
    </row>
    <row r="19" spans="1:4" x14ac:dyDescent="0.3">
      <c r="A19" s="1">
        <v>58</v>
      </c>
      <c r="B19" t="s">
        <v>306</v>
      </c>
      <c r="C19" t="s">
        <v>304</v>
      </c>
      <c r="D19" t="s">
        <v>305</v>
      </c>
    </row>
    <row r="20" spans="1:4" x14ac:dyDescent="0.3">
      <c r="A20" s="1">
        <v>60</v>
      </c>
      <c r="B20" t="s">
        <v>307</v>
      </c>
      <c r="C20" t="s">
        <v>308</v>
      </c>
      <c r="D20" t="s">
        <v>309</v>
      </c>
    </row>
    <row r="21" spans="1:4" x14ac:dyDescent="0.3">
      <c r="A21" s="1">
        <v>64</v>
      </c>
      <c r="B21" t="s">
        <v>310</v>
      </c>
      <c r="C21" t="s">
        <v>311</v>
      </c>
      <c r="D21" t="s">
        <v>312</v>
      </c>
    </row>
    <row r="22" spans="1:4" x14ac:dyDescent="0.3">
      <c r="A22" s="1">
        <v>68</v>
      </c>
      <c r="B22" t="s">
        <v>313</v>
      </c>
      <c r="C22" t="s">
        <v>314</v>
      </c>
      <c r="D22" t="s">
        <v>315</v>
      </c>
    </row>
    <row r="23" spans="1:4" x14ac:dyDescent="0.3">
      <c r="A23" s="1">
        <v>70</v>
      </c>
      <c r="B23" t="s">
        <v>316</v>
      </c>
      <c r="C23" t="s">
        <v>317</v>
      </c>
      <c r="D23" t="s">
        <v>318</v>
      </c>
    </row>
    <row r="24" spans="1:4" x14ac:dyDescent="0.3">
      <c r="A24" s="1">
        <v>72</v>
      </c>
      <c r="B24" t="s">
        <v>319</v>
      </c>
      <c r="C24" t="s">
        <v>320</v>
      </c>
      <c r="D24" t="s">
        <v>321</v>
      </c>
    </row>
    <row r="25" spans="1:4" x14ac:dyDescent="0.3">
      <c r="A25" s="1">
        <v>76</v>
      </c>
      <c r="B25" t="s">
        <v>322</v>
      </c>
      <c r="C25" t="s">
        <v>323</v>
      </c>
      <c r="D25" t="s">
        <v>324</v>
      </c>
    </row>
    <row r="26" spans="1:4" x14ac:dyDescent="0.3">
      <c r="A26" s="1">
        <v>84</v>
      </c>
      <c r="B26" t="s">
        <v>325</v>
      </c>
      <c r="C26" t="s">
        <v>326</v>
      </c>
      <c r="D26" t="s">
        <v>327</v>
      </c>
    </row>
    <row r="27" spans="1:4" x14ac:dyDescent="0.3">
      <c r="A27" s="1">
        <v>86</v>
      </c>
      <c r="B27" t="s">
        <v>328</v>
      </c>
      <c r="C27" t="s">
        <v>329</v>
      </c>
      <c r="D27" t="s">
        <v>330</v>
      </c>
    </row>
    <row r="28" spans="1:4" x14ac:dyDescent="0.3">
      <c r="A28" s="1">
        <v>90</v>
      </c>
      <c r="B28" t="s">
        <v>331</v>
      </c>
      <c r="C28" t="s">
        <v>332</v>
      </c>
      <c r="D28" t="s">
        <v>333</v>
      </c>
    </row>
    <row r="29" spans="1:4" x14ac:dyDescent="0.3">
      <c r="A29" s="1">
        <v>92</v>
      </c>
      <c r="B29" t="s">
        <v>334</v>
      </c>
      <c r="C29" t="s">
        <v>335</v>
      </c>
      <c r="D29" t="s">
        <v>336</v>
      </c>
    </row>
    <row r="30" spans="1:4" x14ac:dyDescent="0.3">
      <c r="A30" s="1">
        <v>96</v>
      </c>
      <c r="B30" t="s">
        <v>337</v>
      </c>
      <c r="C30" t="s">
        <v>338</v>
      </c>
      <c r="D30" t="s">
        <v>339</v>
      </c>
    </row>
    <row r="31" spans="1:4" x14ac:dyDescent="0.3">
      <c r="A31" s="1">
        <v>100</v>
      </c>
      <c r="B31" t="s">
        <v>340</v>
      </c>
      <c r="C31" t="s">
        <v>341</v>
      </c>
      <c r="D31" t="s">
        <v>342</v>
      </c>
    </row>
    <row r="32" spans="1:4" x14ac:dyDescent="0.3">
      <c r="A32" s="1">
        <v>104</v>
      </c>
      <c r="B32" t="s">
        <v>343</v>
      </c>
      <c r="C32" t="s">
        <v>344</v>
      </c>
      <c r="D32" t="s">
        <v>345</v>
      </c>
    </row>
    <row r="33" spans="1:4" x14ac:dyDescent="0.3">
      <c r="A33" s="1">
        <v>108</v>
      </c>
      <c r="B33" t="s">
        <v>346</v>
      </c>
      <c r="C33" t="s">
        <v>347</v>
      </c>
      <c r="D33" t="s">
        <v>348</v>
      </c>
    </row>
    <row r="34" spans="1:4" x14ac:dyDescent="0.3">
      <c r="A34" s="1">
        <v>112</v>
      </c>
      <c r="B34" t="s">
        <v>349</v>
      </c>
      <c r="C34" t="s">
        <v>350</v>
      </c>
      <c r="D34" t="s">
        <v>351</v>
      </c>
    </row>
    <row r="35" spans="1:4" x14ac:dyDescent="0.3">
      <c r="A35" s="1">
        <v>116</v>
      </c>
      <c r="B35" t="s">
        <v>352</v>
      </c>
      <c r="C35" t="s">
        <v>353</v>
      </c>
      <c r="D35" t="s">
        <v>354</v>
      </c>
    </row>
    <row r="36" spans="1:4" x14ac:dyDescent="0.3">
      <c r="A36" s="1">
        <v>120</v>
      </c>
      <c r="B36" t="s">
        <v>355</v>
      </c>
      <c r="C36" t="s">
        <v>356</v>
      </c>
      <c r="D36" t="s">
        <v>357</v>
      </c>
    </row>
    <row r="37" spans="1:4" x14ac:dyDescent="0.3">
      <c r="A37" s="1">
        <v>124</v>
      </c>
      <c r="B37" t="s">
        <v>358</v>
      </c>
      <c r="C37" t="s">
        <v>359</v>
      </c>
      <c r="D37" t="s">
        <v>360</v>
      </c>
    </row>
    <row r="38" spans="1:4" x14ac:dyDescent="0.3">
      <c r="A38" s="1">
        <v>132</v>
      </c>
      <c r="B38" t="s">
        <v>361</v>
      </c>
      <c r="C38" t="s">
        <v>362</v>
      </c>
      <c r="D38" t="s">
        <v>363</v>
      </c>
    </row>
    <row r="39" spans="1:4" x14ac:dyDescent="0.3">
      <c r="A39" s="1">
        <v>136</v>
      </c>
      <c r="B39" t="s">
        <v>364</v>
      </c>
      <c r="C39" t="s">
        <v>365</v>
      </c>
      <c r="D39" t="s">
        <v>366</v>
      </c>
    </row>
    <row r="40" spans="1:4" x14ac:dyDescent="0.3">
      <c r="A40" s="1">
        <v>140</v>
      </c>
      <c r="B40" t="s">
        <v>367</v>
      </c>
      <c r="C40" t="s">
        <v>368</v>
      </c>
      <c r="D40" t="s">
        <v>369</v>
      </c>
    </row>
    <row r="41" spans="1:4" x14ac:dyDescent="0.3">
      <c r="A41" s="1">
        <v>144</v>
      </c>
      <c r="B41" t="s">
        <v>370</v>
      </c>
      <c r="C41" t="s">
        <v>371</v>
      </c>
      <c r="D41" t="s">
        <v>372</v>
      </c>
    </row>
    <row r="42" spans="1:4" x14ac:dyDescent="0.3">
      <c r="A42" s="1">
        <v>148</v>
      </c>
      <c r="B42" t="s">
        <v>373</v>
      </c>
      <c r="C42" t="s">
        <v>374</v>
      </c>
      <c r="D42" t="s">
        <v>375</v>
      </c>
    </row>
    <row r="43" spans="1:4" x14ac:dyDescent="0.3">
      <c r="A43" s="1">
        <v>152</v>
      </c>
      <c r="B43" t="s">
        <v>376</v>
      </c>
      <c r="C43" t="s">
        <v>377</v>
      </c>
      <c r="D43" t="s">
        <v>378</v>
      </c>
    </row>
    <row r="44" spans="1:4" x14ac:dyDescent="0.3">
      <c r="A44" s="1">
        <v>156</v>
      </c>
      <c r="B44" t="s">
        <v>379</v>
      </c>
      <c r="C44" t="s">
        <v>380</v>
      </c>
      <c r="D44" t="s">
        <v>381</v>
      </c>
    </row>
    <row r="45" spans="1:4" x14ac:dyDescent="0.3">
      <c r="A45" s="1">
        <v>162</v>
      </c>
      <c r="B45" t="s">
        <v>382</v>
      </c>
      <c r="C45" t="s">
        <v>383</v>
      </c>
      <c r="D45" t="s">
        <v>384</v>
      </c>
    </row>
    <row r="46" spans="1:4" x14ac:dyDescent="0.3">
      <c r="A46" s="1">
        <v>166</v>
      </c>
      <c r="B46" t="s">
        <v>385</v>
      </c>
      <c r="C46" t="s">
        <v>386</v>
      </c>
      <c r="D46" t="s">
        <v>387</v>
      </c>
    </row>
    <row r="47" spans="1:4" x14ac:dyDescent="0.3">
      <c r="A47" s="1">
        <v>170</v>
      </c>
      <c r="B47" t="s">
        <v>388</v>
      </c>
      <c r="C47" t="s">
        <v>389</v>
      </c>
      <c r="D47" t="s">
        <v>390</v>
      </c>
    </row>
    <row r="48" spans="1:4" x14ac:dyDescent="0.3">
      <c r="A48" s="1">
        <v>174</v>
      </c>
      <c r="B48" t="s">
        <v>391</v>
      </c>
      <c r="C48" t="s">
        <v>392</v>
      </c>
      <c r="D48" t="s">
        <v>393</v>
      </c>
    </row>
    <row r="49" spans="1:4" x14ac:dyDescent="0.3">
      <c r="A49" s="1">
        <v>175</v>
      </c>
      <c r="B49" t="s">
        <v>394</v>
      </c>
      <c r="C49" t="s">
        <v>395</v>
      </c>
      <c r="D49" t="s">
        <v>396</v>
      </c>
    </row>
    <row r="50" spans="1:4" x14ac:dyDescent="0.3">
      <c r="A50" s="1">
        <v>178</v>
      </c>
      <c r="B50" t="s">
        <v>397</v>
      </c>
      <c r="C50" t="s">
        <v>398</v>
      </c>
      <c r="D50" t="s">
        <v>399</v>
      </c>
    </row>
    <row r="51" spans="1:4" x14ac:dyDescent="0.3">
      <c r="A51" s="1">
        <v>180</v>
      </c>
      <c r="B51" t="s">
        <v>400</v>
      </c>
      <c r="C51" t="s">
        <v>401</v>
      </c>
      <c r="D51" t="s">
        <v>402</v>
      </c>
    </row>
    <row r="52" spans="1:4" x14ac:dyDescent="0.3">
      <c r="A52" s="1">
        <v>184</v>
      </c>
      <c r="B52" t="s">
        <v>403</v>
      </c>
      <c r="C52" t="s">
        <v>404</v>
      </c>
      <c r="D52" t="s">
        <v>405</v>
      </c>
    </row>
    <row r="53" spans="1:4" x14ac:dyDescent="0.3">
      <c r="A53" s="1">
        <v>188</v>
      </c>
      <c r="B53" t="s">
        <v>406</v>
      </c>
      <c r="C53" t="s">
        <v>407</v>
      </c>
      <c r="D53" t="s">
        <v>408</v>
      </c>
    </row>
    <row r="54" spans="1:4" x14ac:dyDescent="0.3">
      <c r="A54" s="1">
        <v>191</v>
      </c>
      <c r="B54" t="s">
        <v>409</v>
      </c>
      <c r="C54" t="s">
        <v>410</v>
      </c>
      <c r="D54" t="s">
        <v>411</v>
      </c>
    </row>
    <row r="55" spans="1:4" x14ac:dyDescent="0.3">
      <c r="A55" s="1">
        <v>192</v>
      </c>
      <c r="B55" t="s">
        <v>412</v>
      </c>
      <c r="C55" t="s">
        <v>413</v>
      </c>
      <c r="D55" t="s">
        <v>414</v>
      </c>
    </row>
    <row r="56" spans="1:4" x14ac:dyDescent="0.3">
      <c r="A56" s="1">
        <v>196</v>
      </c>
      <c r="B56" t="s">
        <v>415</v>
      </c>
      <c r="C56" t="s">
        <v>416</v>
      </c>
      <c r="D56" t="s">
        <v>417</v>
      </c>
    </row>
    <row r="57" spans="1:4" x14ac:dyDescent="0.3">
      <c r="A57" s="1">
        <v>200</v>
      </c>
      <c r="B57" t="s">
        <v>418</v>
      </c>
      <c r="C57" t="s">
        <v>419</v>
      </c>
      <c r="D57" t="s">
        <v>420</v>
      </c>
    </row>
    <row r="58" spans="1:4" x14ac:dyDescent="0.3">
      <c r="A58" s="1">
        <v>203</v>
      </c>
      <c r="B58" t="s">
        <v>421</v>
      </c>
      <c r="C58" t="s">
        <v>422</v>
      </c>
      <c r="D58" t="s">
        <v>423</v>
      </c>
    </row>
    <row r="59" spans="1:4" x14ac:dyDescent="0.3">
      <c r="A59" s="1">
        <v>204</v>
      </c>
      <c r="B59" t="s">
        <v>424</v>
      </c>
      <c r="C59" t="s">
        <v>425</v>
      </c>
      <c r="D59" t="s">
        <v>426</v>
      </c>
    </row>
    <row r="60" spans="1:4" x14ac:dyDescent="0.3">
      <c r="A60" s="1">
        <v>208</v>
      </c>
      <c r="B60" t="s">
        <v>427</v>
      </c>
      <c r="C60" t="s">
        <v>428</v>
      </c>
      <c r="D60" t="s">
        <v>429</v>
      </c>
    </row>
    <row r="61" spans="1:4" x14ac:dyDescent="0.3">
      <c r="A61" s="1">
        <v>212</v>
      </c>
      <c r="B61" t="s">
        <v>430</v>
      </c>
      <c r="C61" t="s">
        <v>431</v>
      </c>
      <c r="D61" t="s">
        <v>432</v>
      </c>
    </row>
    <row r="62" spans="1:4" x14ac:dyDescent="0.3">
      <c r="A62" s="1">
        <v>214</v>
      </c>
      <c r="B62" t="s">
        <v>433</v>
      </c>
      <c r="C62" t="s">
        <v>434</v>
      </c>
      <c r="D62" t="s">
        <v>435</v>
      </c>
    </row>
    <row r="63" spans="1:4" x14ac:dyDescent="0.3">
      <c r="A63" s="1">
        <v>218</v>
      </c>
      <c r="B63" t="s">
        <v>436</v>
      </c>
      <c r="C63" t="s">
        <v>437</v>
      </c>
      <c r="D63" t="s">
        <v>438</v>
      </c>
    </row>
    <row r="64" spans="1:4" x14ac:dyDescent="0.3">
      <c r="A64" s="1">
        <v>222</v>
      </c>
      <c r="B64" t="s">
        <v>439</v>
      </c>
      <c r="C64" t="s">
        <v>440</v>
      </c>
      <c r="D64" t="s">
        <v>441</v>
      </c>
    </row>
    <row r="65" spans="1:4" x14ac:dyDescent="0.3">
      <c r="A65" s="1">
        <v>226</v>
      </c>
      <c r="B65" t="s">
        <v>442</v>
      </c>
      <c r="C65" t="s">
        <v>443</v>
      </c>
      <c r="D65" t="s">
        <v>444</v>
      </c>
    </row>
    <row r="66" spans="1:4" x14ac:dyDescent="0.3">
      <c r="A66" s="1">
        <v>231</v>
      </c>
      <c r="B66" t="s">
        <v>445</v>
      </c>
      <c r="C66" t="s">
        <v>446</v>
      </c>
      <c r="D66" t="s">
        <v>447</v>
      </c>
    </row>
    <row r="67" spans="1:4" x14ac:dyDescent="0.3">
      <c r="A67" s="1">
        <v>232</v>
      </c>
      <c r="B67" t="s">
        <v>448</v>
      </c>
      <c r="C67" t="s">
        <v>449</v>
      </c>
      <c r="D67" t="s">
        <v>450</v>
      </c>
    </row>
    <row r="68" spans="1:4" x14ac:dyDescent="0.3">
      <c r="A68" s="1">
        <v>233</v>
      </c>
      <c r="B68" t="s">
        <v>451</v>
      </c>
      <c r="C68" t="s">
        <v>452</v>
      </c>
      <c r="D68" t="s">
        <v>453</v>
      </c>
    </row>
    <row r="69" spans="1:4" x14ac:dyDescent="0.3">
      <c r="A69" s="1">
        <v>238</v>
      </c>
      <c r="B69" t="s">
        <v>454</v>
      </c>
      <c r="C69" t="s">
        <v>455</v>
      </c>
      <c r="D69" t="s">
        <v>456</v>
      </c>
    </row>
    <row r="70" spans="1:4" x14ac:dyDescent="0.3">
      <c r="A70" s="1">
        <v>242</v>
      </c>
      <c r="B70" t="s">
        <v>457</v>
      </c>
      <c r="C70" t="s">
        <v>458</v>
      </c>
      <c r="D70" t="s">
        <v>459</v>
      </c>
    </row>
    <row r="71" spans="1:4" x14ac:dyDescent="0.3">
      <c r="A71" s="1">
        <v>246</v>
      </c>
      <c r="B71" t="s">
        <v>460</v>
      </c>
      <c r="C71" t="s">
        <v>461</v>
      </c>
      <c r="D71" t="s">
        <v>462</v>
      </c>
    </row>
    <row r="72" spans="1:4" x14ac:dyDescent="0.3">
      <c r="A72" s="1">
        <v>251</v>
      </c>
      <c r="B72" t="s">
        <v>463</v>
      </c>
      <c r="C72" t="s">
        <v>464</v>
      </c>
      <c r="D72" t="s">
        <v>465</v>
      </c>
    </row>
    <row r="73" spans="1:4" x14ac:dyDescent="0.3">
      <c r="A73" s="1">
        <v>258</v>
      </c>
      <c r="B73" t="s">
        <v>466</v>
      </c>
      <c r="C73" t="s">
        <v>467</v>
      </c>
      <c r="D73" t="s">
        <v>468</v>
      </c>
    </row>
    <row r="74" spans="1:4" x14ac:dyDescent="0.3">
      <c r="A74" s="1">
        <v>260</v>
      </c>
      <c r="B74" t="s">
        <v>469</v>
      </c>
      <c r="C74" t="s">
        <v>470</v>
      </c>
      <c r="D74" t="s">
        <v>471</v>
      </c>
    </row>
    <row r="75" spans="1:4" x14ac:dyDescent="0.3">
      <c r="A75" s="1">
        <v>262</v>
      </c>
      <c r="B75" t="s">
        <v>472</v>
      </c>
      <c r="C75" t="s">
        <v>473</v>
      </c>
      <c r="D75" t="s">
        <v>474</v>
      </c>
    </row>
    <row r="76" spans="1:4" x14ac:dyDescent="0.3">
      <c r="A76" s="1">
        <v>266</v>
      </c>
      <c r="B76" t="s">
        <v>475</v>
      </c>
      <c r="C76" t="s">
        <v>476</v>
      </c>
      <c r="D76" t="s">
        <v>477</v>
      </c>
    </row>
    <row r="77" spans="1:4" x14ac:dyDescent="0.3">
      <c r="A77" s="1">
        <v>268</v>
      </c>
      <c r="B77" t="s">
        <v>478</v>
      </c>
      <c r="C77" t="s">
        <v>479</v>
      </c>
      <c r="D77" t="s">
        <v>480</v>
      </c>
    </row>
    <row r="78" spans="1:4" x14ac:dyDescent="0.3">
      <c r="A78" s="1">
        <v>270</v>
      </c>
      <c r="B78" t="s">
        <v>481</v>
      </c>
      <c r="C78" t="s">
        <v>482</v>
      </c>
      <c r="D78" t="s">
        <v>483</v>
      </c>
    </row>
    <row r="79" spans="1:4" x14ac:dyDescent="0.3">
      <c r="A79" s="1">
        <v>275</v>
      </c>
      <c r="B79" t="s">
        <v>484</v>
      </c>
      <c r="C79" t="s">
        <v>485</v>
      </c>
      <c r="D79" t="s">
        <v>486</v>
      </c>
    </row>
    <row r="80" spans="1:4" x14ac:dyDescent="0.3">
      <c r="A80" s="1">
        <v>276</v>
      </c>
      <c r="B80" t="s">
        <v>487</v>
      </c>
      <c r="C80" t="s">
        <v>488</v>
      </c>
      <c r="D80" t="s">
        <v>489</v>
      </c>
    </row>
    <row r="81" spans="1:4" x14ac:dyDescent="0.3">
      <c r="A81" s="1">
        <v>278</v>
      </c>
      <c r="B81" t="s">
        <v>490</v>
      </c>
      <c r="C81" t="s">
        <v>491</v>
      </c>
      <c r="D81" t="s">
        <v>492</v>
      </c>
    </row>
    <row r="82" spans="1:4" x14ac:dyDescent="0.3">
      <c r="A82" s="1">
        <v>280</v>
      </c>
      <c r="B82" t="s">
        <v>493</v>
      </c>
      <c r="C82" t="s">
        <v>488</v>
      </c>
      <c r="D82" t="s">
        <v>489</v>
      </c>
    </row>
    <row r="83" spans="1:4" x14ac:dyDescent="0.3">
      <c r="A83" s="1">
        <v>288</v>
      </c>
      <c r="B83" t="s">
        <v>494</v>
      </c>
      <c r="C83" t="s">
        <v>495</v>
      </c>
      <c r="D83" t="s">
        <v>496</v>
      </c>
    </row>
    <row r="84" spans="1:4" x14ac:dyDescent="0.3">
      <c r="A84" s="1">
        <v>292</v>
      </c>
      <c r="B84" t="s">
        <v>497</v>
      </c>
      <c r="C84" t="s">
        <v>498</v>
      </c>
      <c r="D84" t="s">
        <v>499</v>
      </c>
    </row>
    <row r="85" spans="1:4" x14ac:dyDescent="0.3">
      <c r="A85" s="1">
        <v>296</v>
      </c>
      <c r="B85" t="s">
        <v>500</v>
      </c>
      <c r="C85" t="s">
        <v>501</v>
      </c>
      <c r="D85" t="s">
        <v>502</v>
      </c>
    </row>
    <row r="86" spans="1:4" x14ac:dyDescent="0.3">
      <c r="A86" s="1">
        <v>300</v>
      </c>
      <c r="B86" t="s">
        <v>503</v>
      </c>
      <c r="C86" t="s">
        <v>504</v>
      </c>
      <c r="D86" t="s">
        <v>505</v>
      </c>
    </row>
    <row r="87" spans="1:4" x14ac:dyDescent="0.3">
      <c r="A87" s="1">
        <v>304</v>
      </c>
      <c r="B87" t="s">
        <v>506</v>
      </c>
      <c r="C87" t="s">
        <v>507</v>
      </c>
      <c r="D87" t="s">
        <v>508</v>
      </c>
    </row>
    <row r="88" spans="1:4" x14ac:dyDescent="0.3">
      <c r="A88" s="1">
        <v>308</v>
      </c>
      <c r="B88" t="s">
        <v>509</v>
      </c>
      <c r="C88" t="s">
        <v>510</v>
      </c>
      <c r="D88" t="s">
        <v>511</v>
      </c>
    </row>
    <row r="89" spans="1:4" x14ac:dyDescent="0.3">
      <c r="A89" s="1">
        <v>316</v>
      </c>
      <c r="B89" t="s">
        <v>512</v>
      </c>
      <c r="C89" t="s">
        <v>513</v>
      </c>
      <c r="D89" t="s">
        <v>514</v>
      </c>
    </row>
    <row r="90" spans="1:4" x14ac:dyDescent="0.3">
      <c r="A90" s="1">
        <v>320</v>
      </c>
      <c r="B90" t="s">
        <v>515</v>
      </c>
      <c r="C90" t="s">
        <v>516</v>
      </c>
      <c r="D90" t="s">
        <v>517</v>
      </c>
    </row>
    <row r="91" spans="1:4" x14ac:dyDescent="0.3">
      <c r="A91" s="1">
        <v>324</v>
      </c>
      <c r="B91" t="s">
        <v>518</v>
      </c>
      <c r="C91" t="s">
        <v>519</v>
      </c>
      <c r="D91" t="s">
        <v>520</v>
      </c>
    </row>
    <row r="92" spans="1:4" x14ac:dyDescent="0.3">
      <c r="A92" s="1">
        <v>328</v>
      </c>
      <c r="B92" t="s">
        <v>521</v>
      </c>
      <c r="C92" t="s">
        <v>522</v>
      </c>
      <c r="D92" t="s">
        <v>523</v>
      </c>
    </row>
    <row r="93" spans="1:4" x14ac:dyDescent="0.3">
      <c r="A93" s="1">
        <v>332</v>
      </c>
      <c r="B93" t="s">
        <v>524</v>
      </c>
      <c r="C93" t="s">
        <v>525</v>
      </c>
      <c r="D93" t="s">
        <v>526</v>
      </c>
    </row>
    <row r="94" spans="1:4" x14ac:dyDescent="0.3">
      <c r="A94" s="1">
        <v>340</v>
      </c>
      <c r="B94" t="s">
        <v>527</v>
      </c>
      <c r="C94" t="s">
        <v>528</v>
      </c>
      <c r="D94" t="s">
        <v>529</v>
      </c>
    </row>
    <row r="95" spans="1:4" x14ac:dyDescent="0.3">
      <c r="A95" s="1">
        <v>344</v>
      </c>
      <c r="B95" t="s">
        <v>530</v>
      </c>
      <c r="C95" t="s">
        <v>531</v>
      </c>
      <c r="D95" t="s">
        <v>532</v>
      </c>
    </row>
    <row r="96" spans="1:4" x14ac:dyDescent="0.3">
      <c r="A96" s="1">
        <v>348</v>
      </c>
      <c r="B96" t="s">
        <v>533</v>
      </c>
      <c r="C96" t="s">
        <v>534</v>
      </c>
      <c r="D96" t="s">
        <v>535</v>
      </c>
    </row>
    <row r="97" spans="1:4" x14ac:dyDescent="0.3">
      <c r="A97" s="1">
        <v>352</v>
      </c>
      <c r="B97" t="s">
        <v>536</v>
      </c>
      <c r="C97" t="s">
        <v>537</v>
      </c>
      <c r="D97" t="s">
        <v>538</v>
      </c>
    </row>
    <row r="98" spans="1:4" x14ac:dyDescent="0.3">
      <c r="A98" s="1">
        <v>360</v>
      </c>
      <c r="B98" t="s">
        <v>539</v>
      </c>
      <c r="C98" t="s">
        <v>540</v>
      </c>
      <c r="D98" t="s">
        <v>541</v>
      </c>
    </row>
    <row r="99" spans="1:4" x14ac:dyDescent="0.3">
      <c r="A99" s="1">
        <v>364</v>
      </c>
      <c r="B99" t="s">
        <v>542</v>
      </c>
      <c r="C99" t="s">
        <v>543</v>
      </c>
      <c r="D99" t="s">
        <v>544</v>
      </c>
    </row>
    <row r="100" spans="1:4" x14ac:dyDescent="0.3">
      <c r="A100" s="1">
        <v>368</v>
      </c>
      <c r="B100" t="s">
        <v>545</v>
      </c>
      <c r="C100" t="s">
        <v>546</v>
      </c>
      <c r="D100" t="s">
        <v>547</v>
      </c>
    </row>
    <row r="101" spans="1:4" x14ac:dyDescent="0.3">
      <c r="A101" s="1">
        <v>372</v>
      </c>
      <c r="B101" t="s">
        <v>548</v>
      </c>
      <c r="C101" t="s">
        <v>549</v>
      </c>
      <c r="D101" t="s">
        <v>550</v>
      </c>
    </row>
    <row r="102" spans="1:4" x14ac:dyDescent="0.3">
      <c r="A102" s="1">
        <v>376</v>
      </c>
      <c r="B102" t="s">
        <v>551</v>
      </c>
      <c r="C102" t="s">
        <v>552</v>
      </c>
      <c r="D102" t="s">
        <v>553</v>
      </c>
    </row>
    <row r="103" spans="1:4" x14ac:dyDescent="0.3">
      <c r="A103" s="1">
        <v>380</v>
      </c>
      <c r="B103" t="s">
        <v>554</v>
      </c>
      <c r="C103" t="s">
        <v>555</v>
      </c>
      <c r="D103" t="s">
        <v>556</v>
      </c>
    </row>
    <row r="104" spans="1:4" x14ac:dyDescent="0.3">
      <c r="A104" s="1">
        <v>384</v>
      </c>
      <c r="B104" t="s">
        <v>557</v>
      </c>
      <c r="C104" t="s">
        <v>558</v>
      </c>
      <c r="D104" t="s">
        <v>559</v>
      </c>
    </row>
    <row r="105" spans="1:4" x14ac:dyDescent="0.3">
      <c r="A105" s="1">
        <v>388</v>
      </c>
      <c r="B105" t="s">
        <v>560</v>
      </c>
      <c r="C105" t="s">
        <v>561</v>
      </c>
      <c r="D105" t="s">
        <v>562</v>
      </c>
    </row>
    <row r="106" spans="1:4" x14ac:dyDescent="0.3">
      <c r="A106" s="1">
        <v>392</v>
      </c>
      <c r="B106" t="s">
        <v>563</v>
      </c>
      <c r="C106" t="s">
        <v>564</v>
      </c>
      <c r="D106" t="s">
        <v>565</v>
      </c>
    </row>
    <row r="107" spans="1:4" x14ac:dyDescent="0.3">
      <c r="A107" s="1">
        <v>398</v>
      </c>
      <c r="B107" t="s">
        <v>566</v>
      </c>
      <c r="C107" t="s">
        <v>567</v>
      </c>
      <c r="D107" t="s">
        <v>568</v>
      </c>
    </row>
    <row r="108" spans="1:4" x14ac:dyDescent="0.3">
      <c r="A108" s="1">
        <v>400</v>
      </c>
      <c r="B108" t="s">
        <v>569</v>
      </c>
      <c r="C108" t="s">
        <v>570</v>
      </c>
      <c r="D108" t="s">
        <v>571</v>
      </c>
    </row>
    <row r="109" spans="1:4" x14ac:dyDescent="0.3">
      <c r="A109" s="1">
        <v>404</v>
      </c>
      <c r="B109" t="s">
        <v>572</v>
      </c>
      <c r="C109" t="s">
        <v>573</v>
      </c>
      <c r="D109" t="s">
        <v>574</v>
      </c>
    </row>
    <row r="110" spans="1:4" x14ac:dyDescent="0.3">
      <c r="A110" s="1">
        <v>408</v>
      </c>
      <c r="B110" t="s">
        <v>575</v>
      </c>
      <c r="C110" t="s">
        <v>576</v>
      </c>
      <c r="D110" t="s">
        <v>577</v>
      </c>
    </row>
    <row r="111" spans="1:4" x14ac:dyDescent="0.3">
      <c r="A111" s="1">
        <v>410</v>
      </c>
      <c r="B111" t="s">
        <v>578</v>
      </c>
      <c r="C111" t="s">
        <v>579</v>
      </c>
      <c r="D111" t="s">
        <v>580</v>
      </c>
    </row>
    <row r="112" spans="1:4" x14ac:dyDescent="0.3">
      <c r="A112" s="1">
        <v>414</v>
      </c>
      <c r="B112" t="s">
        <v>581</v>
      </c>
      <c r="C112" t="s">
        <v>582</v>
      </c>
      <c r="D112" t="s">
        <v>583</v>
      </c>
    </row>
    <row r="113" spans="1:4" x14ac:dyDescent="0.3">
      <c r="A113" s="1">
        <v>417</v>
      </c>
      <c r="B113" t="s">
        <v>584</v>
      </c>
      <c r="C113" t="s">
        <v>585</v>
      </c>
      <c r="D113" t="s">
        <v>586</v>
      </c>
    </row>
    <row r="114" spans="1:4" x14ac:dyDescent="0.3">
      <c r="A114" s="1">
        <v>418</v>
      </c>
      <c r="B114" t="s">
        <v>587</v>
      </c>
      <c r="C114" t="s">
        <v>588</v>
      </c>
      <c r="D114" t="s">
        <v>589</v>
      </c>
    </row>
    <row r="115" spans="1:4" x14ac:dyDescent="0.3">
      <c r="A115" s="1">
        <v>422</v>
      </c>
      <c r="B115" t="s">
        <v>590</v>
      </c>
      <c r="C115" t="s">
        <v>591</v>
      </c>
      <c r="D115" t="s">
        <v>592</v>
      </c>
    </row>
    <row r="116" spans="1:4" x14ac:dyDescent="0.3">
      <c r="A116" s="1">
        <v>426</v>
      </c>
      <c r="B116" t="s">
        <v>593</v>
      </c>
      <c r="C116" t="s">
        <v>594</v>
      </c>
      <c r="D116" t="s">
        <v>595</v>
      </c>
    </row>
    <row r="117" spans="1:4" x14ac:dyDescent="0.3">
      <c r="A117" s="1">
        <v>428</v>
      </c>
      <c r="B117" t="s">
        <v>596</v>
      </c>
      <c r="C117" t="s">
        <v>597</v>
      </c>
      <c r="D117" t="s">
        <v>598</v>
      </c>
    </row>
    <row r="118" spans="1:4" x14ac:dyDescent="0.3">
      <c r="A118" s="1">
        <v>430</v>
      </c>
      <c r="B118" t="s">
        <v>599</v>
      </c>
      <c r="C118" t="s">
        <v>600</v>
      </c>
      <c r="D118" t="s">
        <v>601</v>
      </c>
    </row>
    <row r="119" spans="1:4" x14ac:dyDescent="0.3">
      <c r="A119" s="1">
        <v>434</v>
      </c>
      <c r="B119" t="s">
        <v>602</v>
      </c>
      <c r="C119" t="s">
        <v>603</v>
      </c>
      <c r="D119" t="s">
        <v>604</v>
      </c>
    </row>
    <row r="120" spans="1:4" x14ac:dyDescent="0.3">
      <c r="A120" s="1">
        <v>440</v>
      </c>
      <c r="B120" t="s">
        <v>605</v>
      </c>
      <c r="C120" t="s">
        <v>606</v>
      </c>
      <c r="D120" t="s">
        <v>607</v>
      </c>
    </row>
    <row r="121" spans="1:4" x14ac:dyDescent="0.3">
      <c r="A121" s="1">
        <v>442</v>
      </c>
      <c r="B121" t="s">
        <v>608</v>
      </c>
      <c r="C121" t="s">
        <v>609</v>
      </c>
      <c r="D121" t="s">
        <v>610</v>
      </c>
    </row>
    <row r="122" spans="1:4" x14ac:dyDescent="0.3">
      <c r="A122" s="1">
        <v>446</v>
      </c>
      <c r="B122" t="s">
        <v>611</v>
      </c>
      <c r="C122" t="s">
        <v>612</v>
      </c>
      <c r="D122" t="s">
        <v>613</v>
      </c>
    </row>
    <row r="123" spans="1:4" x14ac:dyDescent="0.3">
      <c r="A123" s="1">
        <v>450</v>
      </c>
      <c r="B123" t="s">
        <v>614</v>
      </c>
      <c r="C123" t="s">
        <v>615</v>
      </c>
      <c r="D123" t="s">
        <v>616</v>
      </c>
    </row>
    <row r="124" spans="1:4" x14ac:dyDescent="0.3">
      <c r="A124" s="1">
        <v>454</v>
      </c>
      <c r="B124" t="s">
        <v>617</v>
      </c>
      <c r="C124" t="s">
        <v>618</v>
      </c>
      <c r="D124" t="s">
        <v>619</v>
      </c>
    </row>
    <row r="125" spans="1:4" x14ac:dyDescent="0.3">
      <c r="A125" s="1">
        <v>458</v>
      </c>
      <c r="B125" t="s">
        <v>620</v>
      </c>
      <c r="C125" t="s">
        <v>621</v>
      </c>
      <c r="D125" t="s">
        <v>622</v>
      </c>
    </row>
    <row r="126" spans="1:4" x14ac:dyDescent="0.3">
      <c r="A126" s="1">
        <v>462</v>
      </c>
      <c r="B126" t="s">
        <v>623</v>
      </c>
      <c r="C126" t="s">
        <v>624</v>
      </c>
      <c r="D126" t="s">
        <v>625</v>
      </c>
    </row>
    <row r="127" spans="1:4" x14ac:dyDescent="0.3">
      <c r="A127" s="1">
        <v>466</v>
      </c>
      <c r="B127" t="s">
        <v>626</v>
      </c>
      <c r="C127" t="s">
        <v>627</v>
      </c>
      <c r="D127" t="s">
        <v>628</v>
      </c>
    </row>
    <row r="128" spans="1:4" x14ac:dyDescent="0.3">
      <c r="A128" s="1">
        <v>470</v>
      </c>
      <c r="B128" t="s">
        <v>629</v>
      </c>
      <c r="C128" t="s">
        <v>630</v>
      </c>
      <c r="D128" t="s">
        <v>631</v>
      </c>
    </row>
    <row r="129" spans="1:4" x14ac:dyDescent="0.3">
      <c r="A129" s="1">
        <v>478</v>
      </c>
      <c r="B129" t="s">
        <v>632</v>
      </c>
      <c r="C129" t="s">
        <v>633</v>
      </c>
      <c r="D129" t="s">
        <v>634</v>
      </c>
    </row>
    <row r="130" spans="1:4" x14ac:dyDescent="0.3">
      <c r="A130" s="1">
        <v>480</v>
      </c>
      <c r="B130" t="s">
        <v>635</v>
      </c>
      <c r="C130" t="s">
        <v>636</v>
      </c>
      <c r="D130" t="s">
        <v>637</v>
      </c>
    </row>
    <row r="131" spans="1:4" x14ac:dyDescent="0.3">
      <c r="A131" s="1">
        <v>484</v>
      </c>
      <c r="B131" t="s">
        <v>638</v>
      </c>
      <c r="C131" t="s">
        <v>639</v>
      </c>
      <c r="D131" t="s">
        <v>640</v>
      </c>
    </row>
    <row r="132" spans="1:4" x14ac:dyDescent="0.3">
      <c r="A132" s="1">
        <v>490</v>
      </c>
      <c r="B132" t="s">
        <v>641</v>
      </c>
      <c r="D132" t="s">
        <v>642</v>
      </c>
    </row>
    <row r="133" spans="1:4" x14ac:dyDescent="0.3">
      <c r="A133" s="1">
        <v>496</v>
      </c>
      <c r="B133" t="s">
        <v>643</v>
      </c>
      <c r="C133" t="s">
        <v>644</v>
      </c>
      <c r="D133" t="s">
        <v>645</v>
      </c>
    </row>
    <row r="134" spans="1:4" x14ac:dyDescent="0.3">
      <c r="A134" s="1">
        <v>498</v>
      </c>
      <c r="B134" t="s">
        <v>646</v>
      </c>
      <c r="C134" t="s">
        <v>647</v>
      </c>
      <c r="D134" t="s">
        <v>648</v>
      </c>
    </row>
    <row r="135" spans="1:4" x14ac:dyDescent="0.3">
      <c r="A135" s="1">
        <v>499</v>
      </c>
      <c r="B135" t="s">
        <v>649</v>
      </c>
      <c r="C135" t="s">
        <v>650</v>
      </c>
      <c r="D135" t="s">
        <v>651</v>
      </c>
    </row>
    <row r="136" spans="1:4" x14ac:dyDescent="0.3">
      <c r="A136" s="1">
        <v>500</v>
      </c>
      <c r="B136" t="s">
        <v>652</v>
      </c>
      <c r="C136" t="s">
        <v>653</v>
      </c>
      <c r="D136" t="s">
        <v>654</v>
      </c>
    </row>
    <row r="137" spans="1:4" x14ac:dyDescent="0.3">
      <c r="A137" s="1">
        <v>504</v>
      </c>
      <c r="B137" t="s">
        <v>655</v>
      </c>
      <c r="C137" t="s">
        <v>656</v>
      </c>
      <c r="D137" t="s">
        <v>657</v>
      </c>
    </row>
    <row r="138" spans="1:4" x14ac:dyDescent="0.3">
      <c r="A138" s="1">
        <v>508</v>
      </c>
      <c r="B138" t="s">
        <v>658</v>
      </c>
      <c r="C138" t="s">
        <v>659</v>
      </c>
      <c r="D138" t="s">
        <v>660</v>
      </c>
    </row>
    <row r="139" spans="1:4" x14ac:dyDescent="0.3">
      <c r="A139" s="1">
        <v>512</v>
      </c>
      <c r="B139" t="s">
        <v>661</v>
      </c>
      <c r="C139" t="s">
        <v>662</v>
      </c>
      <c r="D139" t="s">
        <v>663</v>
      </c>
    </row>
    <row r="140" spans="1:4" x14ac:dyDescent="0.3">
      <c r="A140" s="1">
        <v>516</v>
      </c>
      <c r="B140" t="s">
        <v>664</v>
      </c>
      <c r="D140" t="s">
        <v>665</v>
      </c>
    </row>
    <row r="141" spans="1:4" x14ac:dyDescent="0.3">
      <c r="A141" s="1">
        <v>520</v>
      </c>
      <c r="B141" t="s">
        <v>666</v>
      </c>
      <c r="C141" t="s">
        <v>667</v>
      </c>
      <c r="D141" t="s">
        <v>668</v>
      </c>
    </row>
    <row r="142" spans="1:4" x14ac:dyDescent="0.3">
      <c r="A142" s="1">
        <v>524</v>
      </c>
      <c r="B142" t="s">
        <v>669</v>
      </c>
      <c r="C142" t="s">
        <v>670</v>
      </c>
      <c r="D142" t="s">
        <v>671</v>
      </c>
    </row>
    <row r="143" spans="1:4" x14ac:dyDescent="0.3">
      <c r="A143" s="1">
        <v>528</v>
      </c>
      <c r="B143" t="s">
        <v>672</v>
      </c>
      <c r="C143" t="s">
        <v>673</v>
      </c>
      <c r="D143" t="s">
        <v>674</v>
      </c>
    </row>
    <row r="144" spans="1:4" x14ac:dyDescent="0.3">
      <c r="A144" s="1">
        <v>530</v>
      </c>
      <c r="B144" t="s">
        <v>675</v>
      </c>
      <c r="C144" t="s">
        <v>676</v>
      </c>
      <c r="D144" t="s">
        <v>677</v>
      </c>
    </row>
    <row r="145" spans="1:4" x14ac:dyDescent="0.3">
      <c r="A145" s="1">
        <v>531</v>
      </c>
      <c r="B145" t="s">
        <v>678</v>
      </c>
      <c r="C145" t="s">
        <v>679</v>
      </c>
      <c r="D145" t="s">
        <v>680</v>
      </c>
    </row>
    <row r="146" spans="1:4" x14ac:dyDescent="0.3">
      <c r="A146" s="1">
        <v>533</v>
      </c>
      <c r="B146" t="s">
        <v>681</v>
      </c>
      <c r="C146" t="s">
        <v>682</v>
      </c>
      <c r="D146" t="s">
        <v>683</v>
      </c>
    </row>
    <row r="147" spans="1:4" x14ac:dyDescent="0.3">
      <c r="A147" s="1">
        <v>534</v>
      </c>
      <c r="B147" t="s">
        <v>684</v>
      </c>
      <c r="C147" t="s">
        <v>685</v>
      </c>
      <c r="D147" t="s">
        <v>686</v>
      </c>
    </row>
    <row r="148" spans="1:4" x14ac:dyDescent="0.3">
      <c r="A148" s="1">
        <v>535</v>
      </c>
      <c r="B148" t="s">
        <v>687</v>
      </c>
      <c r="C148" t="s">
        <v>688</v>
      </c>
      <c r="D148" t="s">
        <v>689</v>
      </c>
    </row>
    <row r="149" spans="1:4" x14ac:dyDescent="0.3">
      <c r="A149" s="1">
        <v>540</v>
      </c>
      <c r="B149" t="s">
        <v>690</v>
      </c>
      <c r="C149" t="s">
        <v>691</v>
      </c>
      <c r="D149" t="s">
        <v>692</v>
      </c>
    </row>
    <row r="150" spans="1:4" x14ac:dyDescent="0.3">
      <c r="A150" s="1">
        <v>548</v>
      </c>
      <c r="B150" t="s">
        <v>693</v>
      </c>
      <c r="C150" t="s">
        <v>694</v>
      </c>
      <c r="D150" t="s">
        <v>695</v>
      </c>
    </row>
    <row r="151" spans="1:4" x14ac:dyDescent="0.3">
      <c r="A151" s="1">
        <v>554</v>
      </c>
      <c r="B151" t="s">
        <v>696</v>
      </c>
      <c r="C151" t="s">
        <v>697</v>
      </c>
      <c r="D151" t="s">
        <v>698</v>
      </c>
    </row>
    <row r="152" spans="1:4" x14ac:dyDescent="0.3">
      <c r="A152" s="1">
        <v>558</v>
      </c>
      <c r="B152" t="s">
        <v>699</v>
      </c>
      <c r="C152" t="s">
        <v>700</v>
      </c>
      <c r="D152" t="s">
        <v>701</v>
      </c>
    </row>
    <row r="153" spans="1:4" x14ac:dyDescent="0.3">
      <c r="A153" s="1">
        <v>562</v>
      </c>
      <c r="B153" t="s">
        <v>702</v>
      </c>
      <c r="C153" t="s">
        <v>703</v>
      </c>
      <c r="D153" t="s">
        <v>704</v>
      </c>
    </row>
    <row r="154" spans="1:4" x14ac:dyDescent="0.3">
      <c r="A154" s="1">
        <v>566</v>
      </c>
      <c r="B154" t="s">
        <v>705</v>
      </c>
      <c r="C154" t="s">
        <v>706</v>
      </c>
      <c r="D154" t="s">
        <v>707</v>
      </c>
    </row>
    <row r="155" spans="1:4" x14ac:dyDescent="0.3">
      <c r="A155" s="1">
        <v>570</v>
      </c>
      <c r="B155" t="s">
        <v>708</v>
      </c>
      <c r="C155" t="s">
        <v>709</v>
      </c>
      <c r="D155" t="s">
        <v>710</v>
      </c>
    </row>
    <row r="156" spans="1:4" x14ac:dyDescent="0.3">
      <c r="A156" s="1">
        <v>574</v>
      </c>
      <c r="B156" t="s">
        <v>711</v>
      </c>
      <c r="C156" t="s">
        <v>712</v>
      </c>
      <c r="D156" t="s">
        <v>713</v>
      </c>
    </row>
    <row r="157" spans="1:4" x14ac:dyDescent="0.3">
      <c r="A157" s="1">
        <v>579</v>
      </c>
      <c r="B157" t="s">
        <v>714</v>
      </c>
      <c r="C157" t="s">
        <v>715</v>
      </c>
      <c r="D157" t="s">
        <v>716</v>
      </c>
    </row>
    <row r="158" spans="1:4" x14ac:dyDescent="0.3">
      <c r="A158" s="1">
        <v>580</v>
      </c>
      <c r="B158" t="s">
        <v>717</v>
      </c>
      <c r="C158" t="s">
        <v>718</v>
      </c>
      <c r="D158" t="s">
        <v>719</v>
      </c>
    </row>
    <row r="159" spans="1:4" x14ac:dyDescent="0.3">
      <c r="A159" s="1">
        <v>583</v>
      </c>
      <c r="B159" t="s">
        <v>720</v>
      </c>
      <c r="C159" t="s">
        <v>721</v>
      </c>
      <c r="D159" t="s">
        <v>722</v>
      </c>
    </row>
    <row r="160" spans="1:4" x14ac:dyDescent="0.3">
      <c r="A160" s="1">
        <v>584</v>
      </c>
      <c r="B160" t="s">
        <v>723</v>
      </c>
      <c r="C160" t="s">
        <v>724</v>
      </c>
      <c r="D160" t="s">
        <v>725</v>
      </c>
    </row>
    <row r="161" spans="1:4" x14ac:dyDescent="0.3">
      <c r="A161" s="1">
        <v>585</v>
      </c>
      <c r="B161" t="s">
        <v>726</v>
      </c>
      <c r="C161" t="s">
        <v>727</v>
      </c>
      <c r="D161" t="s">
        <v>728</v>
      </c>
    </row>
    <row r="162" spans="1:4" x14ac:dyDescent="0.3">
      <c r="A162" s="1">
        <v>586</v>
      </c>
      <c r="B162" t="s">
        <v>729</v>
      </c>
      <c r="C162" t="s">
        <v>730</v>
      </c>
      <c r="D162" t="s">
        <v>731</v>
      </c>
    </row>
    <row r="163" spans="1:4" x14ac:dyDescent="0.3">
      <c r="A163" s="1">
        <v>591</v>
      </c>
      <c r="B163" t="s">
        <v>732</v>
      </c>
      <c r="C163" t="s">
        <v>733</v>
      </c>
      <c r="D163" t="s">
        <v>734</v>
      </c>
    </row>
    <row r="164" spans="1:4" x14ac:dyDescent="0.3">
      <c r="A164" s="1">
        <v>598</v>
      </c>
      <c r="B164" t="s">
        <v>735</v>
      </c>
      <c r="C164" t="s">
        <v>736</v>
      </c>
      <c r="D164" t="s">
        <v>737</v>
      </c>
    </row>
    <row r="165" spans="1:4" x14ac:dyDescent="0.3">
      <c r="A165" s="1">
        <v>600</v>
      </c>
      <c r="B165" t="s">
        <v>738</v>
      </c>
      <c r="C165" t="s">
        <v>739</v>
      </c>
      <c r="D165" t="s">
        <v>740</v>
      </c>
    </row>
    <row r="166" spans="1:4" x14ac:dyDescent="0.3">
      <c r="A166" s="1">
        <v>604</v>
      </c>
      <c r="B166" t="s">
        <v>741</v>
      </c>
      <c r="C166" t="s">
        <v>742</v>
      </c>
      <c r="D166" t="s">
        <v>743</v>
      </c>
    </row>
    <row r="167" spans="1:4" x14ac:dyDescent="0.3">
      <c r="A167" s="1">
        <v>608</v>
      </c>
      <c r="B167" t="s">
        <v>744</v>
      </c>
      <c r="C167" t="s">
        <v>745</v>
      </c>
      <c r="D167" t="s">
        <v>746</v>
      </c>
    </row>
    <row r="168" spans="1:4" x14ac:dyDescent="0.3">
      <c r="A168" s="1">
        <v>612</v>
      </c>
      <c r="B168" t="s">
        <v>747</v>
      </c>
      <c r="C168" t="s">
        <v>748</v>
      </c>
      <c r="D168" t="s">
        <v>749</v>
      </c>
    </row>
    <row r="169" spans="1:4" x14ac:dyDescent="0.3">
      <c r="A169" s="1">
        <v>616</v>
      </c>
      <c r="B169" t="s">
        <v>750</v>
      </c>
      <c r="C169" t="s">
        <v>751</v>
      </c>
      <c r="D169" t="s">
        <v>752</v>
      </c>
    </row>
    <row r="170" spans="1:4" x14ac:dyDescent="0.3">
      <c r="A170" s="1">
        <v>620</v>
      </c>
      <c r="B170" t="s">
        <v>753</v>
      </c>
      <c r="C170" t="s">
        <v>754</v>
      </c>
      <c r="D170" t="s">
        <v>755</v>
      </c>
    </row>
    <row r="171" spans="1:4" x14ac:dyDescent="0.3">
      <c r="A171" s="1">
        <v>624</v>
      </c>
      <c r="B171" t="s">
        <v>756</v>
      </c>
      <c r="C171" t="s">
        <v>757</v>
      </c>
      <c r="D171" t="s">
        <v>758</v>
      </c>
    </row>
    <row r="172" spans="1:4" x14ac:dyDescent="0.3">
      <c r="A172" s="1">
        <v>626</v>
      </c>
      <c r="B172" t="s">
        <v>759</v>
      </c>
      <c r="C172" t="s">
        <v>760</v>
      </c>
      <c r="D172" t="s">
        <v>761</v>
      </c>
    </row>
    <row r="173" spans="1:4" x14ac:dyDescent="0.3">
      <c r="A173" s="1">
        <v>634</v>
      </c>
      <c r="B173" t="s">
        <v>762</v>
      </c>
      <c r="C173" t="s">
        <v>763</v>
      </c>
      <c r="D173" t="s">
        <v>764</v>
      </c>
    </row>
    <row r="174" spans="1:4" x14ac:dyDescent="0.3">
      <c r="A174" s="1">
        <v>642</v>
      </c>
      <c r="B174" t="s">
        <v>765</v>
      </c>
      <c r="C174" t="s">
        <v>766</v>
      </c>
      <c r="D174" t="s">
        <v>767</v>
      </c>
    </row>
    <row r="175" spans="1:4" x14ac:dyDescent="0.3">
      <c r="A175" s="1">
        <v>643</v>
      </c>
      <c r="B175" t="s">
        <v>768</v>
      </c>
      <c r="C175" t="s">
        <v>769</v>
      </c>
      <c r="D175" t="s">
        <v>770</v>
      </c>
    </row>
    <row r="176" spans="1:4" x14ac:dyDescent="0.3">
      <c r="A176" s="1">
        <v>646</v>
      </c>
      <c r="B176" t="s">
        <v>771</v>
      </c>
      <c r="C176" t="s">
        <v>772</v>
      </c>
      <c r="D176" t="s">
        <v>773</v>
      </c>
    </row>
    <row r="177" spans="1:4" x14ac:dyDescent="0.3">
      <c r="A177" s="1">
        <v>652</v>
      </c>
      <c r="B177" t="s">
        <v>774</v>
      </c>
      <c r="C177" t="s">
        <v>775</v>
      </c>
      <c r="D177" t="s">
        <v>776</v>
      </c>
    </row>
    <row r="178" spans="1:4" x14ac:dyDescent="0.3">
      <c r="A178" s="1">
        <v>654</v>
      </c>
      <c r="B178" t="s">
        <v>777</v>
      </c>
      <c r="C178" t="s">
        <v>778</v>
      </c>
      <c r="D178" t="s">
        <v>779</v>
      </c>
    </row>
    <row r="179" spans="1:4" x14ac:dyDescent="0.3">
      <c r="A179" s="1">
        <v>659</v>
      </c>
      <c r="B179" t="s">
        <v>780</v>
      </c>
      <c r="C179" t="s">
        <v>781</v>
      </c>
      <c r="D179" t="s">
        <v>782</v>
      </c>
    </row>
    <row r="180" spans="1:4" x14ac:dyDescent="0.3">
      <c r="A180" s="1">
        <v>660</v>
      </c>
      <c r="B180" t="s">
        <v>783</v>
      </c>
      <c r="C180" t="s">
        <v>784</v>
      </c>
      <c r="D180" t="s">
        <v>785</v>
      </c>
    </row>
    <row r="181" spans="1:4" x14ac:dyDescent="0.3">
      <c r="A181" s="1">
        <v>662</v>
      </c>
      <c r="B181" t="s">
        <v>786</v>
      </c>
      <c r="C181" t="s">
        <v>787</v>
      </c>
      <c r="D181" t="s">
        <v>788</v>
      </c>
    </row>
    <row r="182" spans="1:4" x14ac:dyDescent="0.3">
      <c r="A182" s="1">
        <v>666</v>
      </c>
      <c r="B182" t="s">
        <v>789</v>
      </c>
      <c r="C182" t="s">
        <v>790</v>
      </c>
      <c r="D182" t="s">
        <v>791</v>
      </c>
    </row>
    <row r="183" spans="1:4" x14ac:dyDescent="0.3">
      <c r="A183" s="1">
        <v>670</v>
      </c>
      <c r="B183" t="s">
        <v>792</v>
      </c>
      <c r="C183" t="s">
        <v>793</v>
      </c>
      <c r="D183" t="s">
        <v>794</v>
      </c>
    </row>
    <row r="184" spans="1:4" x14ac:dyDescent="0.3">
      <c r="A184" s="1">
        <v>674</v>
      </c>
      <c r="B184" t="s">
        <v>795</v>
      </c>
      <c r="C184" t="s">
        <v>796</v>
      </c>
      <c r="D184" t="s">
        <v>797</v>
      </c>
    </row>
    <row r="185" spans="1:4" x14ac:dyDescent="0.3">
      <c r="A185" s="1">
        <v>678</v>
      </c>
      <c r="B185" t="s">
        <v>798</v>
      </c>
      <c r="C185" t="s">
        <v>799</v>
      </c>
      <c r="D185" t="s">
        <v>800</v>
      </c>
    </row>
    <row r="186" spans="1:4" x14ac:dyDescent="0.3">
      <c r="A186" s="1">
        <v>682</v>
      </c>
      <c r="B186" t="s">
        <v>801</v>
      </c>
      <c r="C186" t="s">
        <v>802</v>
      </c>
      <c r="D186" t="s">
        <v>803</v>
      </c>
    </row>
    <row r="187" spans="1:4" x14ac:dyDescent="0.3">
      <c r="A187" s="1">
        <v>686</v>
      </c>
      <c r="B187" t="s">
        <v>804</v>
      </c>
      <c r="C187" t="s">
        <v>805</v>
      </c>
      <c r="D187" t="s">
        <v>806</v>
      </c>
    </row>
    <row r="188" spans="1:4" x14ac:dyDescent="0.3">
      <c r="A188" s="1">
        <v>688</v>
      </c>
      <c r="B188" t="s">
        <v>807</v>
      </c>
      <c r="C188" t="s">
        <v>808</v>
      </c>
      <c r="D188" t="s">
        <v>809</v>
      </c>
    </row>
    <row r="189" spans="1:4" x14ac:dyDescent="0.3">
      <c r="A189" s="1">
        <v>690</v>
      </c>
      <c r="B189" t="s">
        <v>810</v>
      </c>
      <c r="C189" t="s">
        <v>811</v>
      </c>
      <c r="D189" t="s">
        <v>812</v>
      </c>
    </row>
    <row r="190" spans="1:4" x14ac:dyDescent="0.3">
      <c r="A190" s="1">
        <v>694</v>
      </c>
      <c r="B190" t="s">
        <v>813</v>
      </c>
      <c r="C190" t="s">
        <v>814</v>
      </c>
      <c r="D190" t="s">
        <v>815</v>
      </c>
    </row>
    <row r="191" spans="1:4" x14ac:dyDescent="0.3">
      <c r="A191" s="1">
        <v>697</v>
      </c>
      <c r="B191" t="s">
        <v>816</v>
      </c>
      <c r="D191" t="s">
        <v>817</v>
      </c>
    </row>
    <row r="192" spans="1:4" x14ac:dyDescent="0.3">
      <c r="A192" s="1">
        <v>699</v>
      </c>
      <c r="B192" t="s">
        <v>818</v>
      </c>
      <c r="C192" t="s">
        <v>819</v>
      </c>
      <c r="D192" t="s">
        <v>820</v>
      </c>
    </row>
    <row r="193" spans="1:4" x14ac:dyDescent="0.3">
      <c r="A193" s="1">
        <v>702</v>
      </c>
      <c r="B193" t="s">
        <v>821</v>
      </c>
      <c r="C193" t="s">
        <v>822</v>
      </c>
      <c r="D193" t="s">
        <v>823</v>
      </c>
    </row>
    <row r="194" spans="1:4" x14ac:dyDescent="0.3">
      <c r="A194" s="1">
        <v>703</v>
      </c>
      <c r="B194" t="s">
        <v>824</v>
      </c>
      <c r="C194" t="s">
        <v>825</v>
      </c>
      <c r="D194" t="s">
        <v>826</v>
      </c>
    </row>
    <row r="195" spans="1:4" x14ac:dyDescent="0.3">
      <c r="A195" s="1">
        <v>704</v>
      </c>
      <c r="B195" t="s">
        <v>827</v>
      </c>
      <c r="C195" t="s">
        <v>828</v>
      </c>
      <c r="D195" t="s">
        <v>829</v>
      </c>
    </row>
    <row r="196" spans="1:4" x14ac:dyDescent="0.3">
      <c r="A196" s="1">
        <v>705</v>
      </c>
      <c r="B196" t="s">
        <v>830</v>
      </c>
      <c r="C196" t="s">
        <v>831</v>
      </c>
      <c r="D196" t="s">
        <v>832</v>
      </c>
    </row>
    <row r="197" spans="1:4" x14ac:dyDescent="0.3">
      <c r="A197" s="1">
        <v>706</v>
      </c>
      <c r="B197" t="s">
        <v>833</v>
      </c>
      <c r="C197" t="s">
        <v>834</v>
      </c>
      <c r="D197" t="s">
        <v>835</v>
      </c>
    </row>
    <row r="198" spans="1:4" x14ac:dyDescent="0.3">
      <c r="A198" s="1">
        <v>710</v>
      </c>
      <c r="B198" t="s">
        <v>836</v>
      </c>
      <c r="C198" t="s">
        <v>837</v>
      </c>
      <c r="D198" t="s">
        <v>838</v>
      </c>
    </row>
    <row r="199" spans="1:4" x14ac:dyDescent="0.3">
      <c r="A199" s="1">
        <v>711</v>
      </c>
      <c r="B199" t="s">
        <v>839</v>
      </c>
      <c r="D199" t="s">
        <v>840</v>
      </c>
    </row>
    <row r="200" spans="1:4" x14ac:dyDescent="0.3">
      <c r="A200" s="1">
        <v>716</v>
      </c>
      <c r="B200" t="s">
        <v>841</v>
      </c>
      <c r="C200" t="s">
        <v>842</v>
      </c>
      <c r="D200" t="s">
        <v>843</v>
      </c>
    </row>
    <row r="201" spans="1:4" x14ac:dyDescent="0.3">
      <c r="A201" s="1">
        <v>724</v>
      </c>
      <c r="B201" t="s">
        <v>844</v>
      </c>
      <c r="C201" t="s">
        <v>845</v>
      </c>
      <c r="D201" t="s">
        <v>846</v>
      </c>
    </row>
    <row r="202" spans="1:4" x14ac:dyDescent="0.3">
      <c r="A202" s="1">
        <v>728</v>
      </c>
      <c r="B202" t="s">
        <v>847</v>
      </c>
      <c r="C202" t="s">
        <v>848</v>
      </c>
      <c r="D202" t="s">
        <v>849</v>
      </c>
    </row>
    <row r="203" spans="1:4" x14ac:dyDescent="0.3">
      <c r="A203" s="1">
        <v>729</v>
      </c>
      <c r="B203" t="s">
        <v>850</v>
      </c>
      <c r="C203" t="s">
        <v>851</v>
      </c>
      <c r="D203" t="s">
        <v>852</v>
      </c>
    </row>
    <row r="204" spans="1:4" x14ac:dyDescent="0.3">
      <c r="A204" s="1">
        <v>736</v>
      </c>
      <c r="B204" t="s">
        <v>853</v>
      </c>
      <c r="C204" t="s">
        <v>851</v>
      </c>
      <c r="D204" t="s">
        <v>852</v>
      </c>
    </row>
    <row r="205" spans="1:4" x14ac:dyDescent="0.3">
      <c r="A205" s="1">
        <v>740</v>
      </c>
      <c r="B205" t="s">
        <v>854</v>
      </c>
      <c r="C205" t="s">
        <v>855</v>
      </c>
      <c r="D205" t="s">
        <v>856</v>
      </c>
    </row>
    <row r="206" spans="1:4" x14ac:dyDescent="0.3">
      <c r="A206" s="1">
        <v>748</v>
      </c>
      <c r="B206" t="s">
        <v>857</v>
      </c>
      <c r="C206" t="s">
        <v>858</v>
      </c>
      <c r="D206" t="s">
        <v>859</v>
      </c>
    </row>
    <row r="207" spans="1:4" x14ac:dyDescent="0.3">
      <c r="A207" s="1">
        <v>752</v>
      </c>
      <c r="B207" t="s">
        <v>860</v>
      </c>
      <c r="C207" t="s">
        <v>861</v>
      </c>
      <c r="D207" t="s">
        <v>862</v>
      </c>
    </row>
    <row r="208" spans="1:4" x14ac:dyDescent="0.3">
      <c r="A208" s="1">
        <v>757</v>
      </c>
      <c r="B208" t="s">
        <v>863</v>
      </c>
      <c r="C208" t="s">
        <v>864</v>
      </c>
      <c r="D208" t="s">
        <v>865</v>
      </c>
    </row>
    <row r="209" spans="1:4" x14ac:dyDescent="0.3">
      <c r="A209" s="1">
        <v>760</v>
      </c>
      <c r="B209" t="s">
        <v>866</v>
      </c>
      <c r="C209" t="s">
        <v>867</v>
      </c>
      <c r="D209" t="s">
        <v>868</v>
      </c>
    </row>
    <row r="210" spans="1:4" x14ac:dyDescent="0.3">
      <c r="A210" s="1">
        <v>762</v>
      </c>
      <c r="B210" t="s">
        <v>869</v>
      </c>
      <c r="C210" t="s">
        <v>870</v>
      </c>
      <c r="D210" t="s">
        <v>871</v>
      </c>
    </row>
    <row r="211" spans="1:4" x14ac:dyDescent="0.3">
      <c r="A211" s="1">
        <v>764</v>
      </c>
      <c r="B211" t="s">
        <v>872</v>
      </c>
      <c r="C211" t="s">
        <v>873</v>
      </c>
      <c r="D211" t="s">
        <v>874</v>
      </c>
    </row>
    <row r="212" spans="1:4" x14ac:dyDescent="0.3">
      <c r="A212" s="1">
        <v>768</v>
      </c>
      <c r="B212" t="s">
        <v>875</v>
      </c>
      <c r="C212" t="s">
        <v>876</v>
      </c>
      <c r="D212" t="s">
        <v>877</v>
      </c>
    </row>
    <row r="213" spans="1:4" x14ac:dyDescent="0.3">
      <c r="A213" s="1">
        <v>772</v>
      </c>
      <c r="B213" t="s">
        <v>878</v>
      </c>
      <c r="C213" t="s">
        <v>879</v>
      </c>
      <c r="D213" t="s">
        <v>880</v>
      </c>
    </row>
    <row r="214" spans="1:4" x14ac:dyDescent="0.3">
      <c r="A214" s="1">
        <v>776</v>
      </c>
      <c r="B214" t="s">
        <v>881</v>
      </c>
      <c r="C214" t="s">
        <v>882</v>
      </c>
      <c r="D214" t="s">
        <v>883</v>
      </c>
    </row>
    <row r="215" spans="1:4" x14ac:dyDescent="0.3">
      <c r="A215" s="1">
        <v>780</v>
      </c>
      <c r="B215" t="s">
        <v>884</v>
      </c>
      <c r="C215" t="s">
        <v>885</v>
      </c>
      <c r="D215" t="s">
        <v>886</v>
      </c>
    </row>
    <row r="216" spans="1:4" x14ac:dyDescent="0.3">
      <c r="A216" s="1">
        <v>784</v>
      </c>
      <c r="B216" t="s">
        <v>887</v>
      </c>
      <c r="C216" t="s">
        <v>888</v>
      </c>
      <c r="D216" t="s">
        <v>889</v>
      </c>
    </row>
    <row r="217" spans="1:4" x14ac:dyDescent="0.3">
      <c r="A217" s="1">
        <v>788</v>
      </c>
      <c r="B217" t="s">
        <v>890</v>
      </c>
      <c r="C217" t="s">
        <v>891</v>
      </c>
      <c r="D217" t="s">
        <v>892</v>
      </c>
    </row>
    <row r="218" spans="1:4" x14ac:dyDescent="0.3">
      <c r="A218" s="1">
        <v>792</v>
      </c>
      <c r="B218" t="s">
        <v>893</v>
      </c>
      <c r="C218" t="s">
        <v>894</v>
      </c>
      <c r="D218" t="s">
        <v>895</v>
      </c>
    </row>
    <row r="219" spans="1:4" x14ac:dyDescent="0.3">
      <c r="A219" s="1">
        <v>795</v>
      </c>
      <c r="B219" t="s">
        <v>896</v>
      </c>
      <c r="C219" t="s">
        <v>897</v>
      </c>
      <c r="D219" t="s">
        <v>898</v>
      </c>
    </row>
    <row r="220" spans="1:4" x14ac:dyDescent="0.3">
      <c r="A220" s="1">
        <v>796</v>
      </c>
      <c r="B220" t="s">
        <v>899</v>
      </c>
      <c r="C220" t="s">
        <v>900</v>
      </c>
      <c r="D220" t="s">
        <v>901</v>
      </c>
    </row>
    <row r="221" spans="1:4" x14ac:dyDescent="0.3">
      <c r="A221" s="1">
        <v>798</v>
      </c>
      <c r="B221" t="s">
        <v>902</v>
      </c>
      <c r="C221" t="s">
        <v>903</v>
      </c>
      <c r="D221" t="s">
        <v>904</v>
      </c>
    </row>
    <row r="222" spans="1:4" x14ac:dyDescent="0.3">
      <c r="A222" s="1">
        <v>800</v>
      </c>
      <c r="B222" t="s">
        <v>905</v>
      </c>
      <c r="C222" t="s">
        <v>906</v>
      </c>
      <c r="D222" t="s">
        <v>907</v>
      </c>
    </row>
    <row r="223" spans="1:4" x14ac:dyDescent="0.3">
      <c r="A223" s="1">
        <v>804</v>
      </c>
      <c r="B223" t="s">
        <v>908</v>
      </c>
      <c r="C223" t="s">
        <v>909</v>
      </c>
      <c r="D223" t="s">
        <v>910</v>
      </c>
    </row>
    <row r="224" spans="1:4" x14ac:dyDescent="0.3">
      <c r="A224" s="1">
        <v>807</v>
      </c>
      <c r="B224" t="s">
        <v>911</v>
      </c>
      <c r="C224" t="s">
        <v>912</v>
      </c>
      <c r="D224" t="s">
        <v>913</v>
      </c>
    </row>
    <row r="225" spans="1:4" x14ac:dyDescent="0.3">
      <c r="A225" s="1">
        <v>810</v>
      </c>
      <c r="B225" t="s">
        <v>914</v>
      </c>
      <c r="C225" t="s">
        <v>915</v>
      </c>
      <c r="D225" t="s">
        <v>916</v>
      </c>
    </row>
    <row r="226" spans="1:4" x14ac:dyDescent="0.3">
      <c r="A226" s="1">
        <v>818</v>
      </c>
      <c r="B226" t="s">
        <v>917</v>
      </c>
      <c r="C226" t="s">
        <v>918</v>
      </c>
      <c r="D226" t="s">
        <v>919</v>
      </c>
    </row>
    <row r="227" spans="1:4" x14ac:dyDescent="0.3">
      <c r="A227" s="1">
        <v>826</v>
      </c>
      <c r="B227" t="s">
        <v>920</v>
      </c>
      <c r="C227" t="s">
        <v>921</v>
      </c>
      <c r="D227" t="s">
        <v>922</v>
      </c>
    </row>
    <row r="228" spans="1:4" x14ac:dyDescent="0.3">
      <c r="A228" s="1">
        <v>834</v>
      </c>
      <c r="B228" t="s">
        <v>923</v>
      </c>
      <c r="C228" t="s">
        <v>924</v>
      </c>
      <c r="D228" t="s">
        <v>925</v>
      </c>
    </row>
    <row r="229" spans="1:4" x14ac:dyDescent="0.3">
      <c r="A229" s="1">
        <v>842</v>
      </c>
      <c r="B229" t="s">
        <v>926</v>
      </c>
      <c r="C229" t="s">
        <v>927</v>
      </c>
      <c r="D229" t="s">
        <v>926</v>
      </c>
    </row>
    <row r="230" spans="1:4" x14ac:dyDescent="0.3">
      <c r="A230" s="1">
        <v>849</v>
      </c>
      <c r="B230" t="s">
        <v>928</v>
      </c>
      <c r="C230" t="s">
        <v>929</v>
      </c>
      <c r="D230" t="s">
        <v>930</v>
      </c>
    </row>
    <row r="231" spans="1:4" x14ac:dyDescent="0.3">
      <c r="A231" s="1">
        <v>854</v>
      </c>
      <c r="B231" t="s">
        <v>931</v>
      </c>
      <c r="C231" t="s">
        <v>932</v>
      </c>
      <c r="D231" t="s">
        <v>933</v>
      </c>
    </row>
    <row r="232" spans="1:4" x14ac:dyDescent="0.3">
      <c r="A232" s="1">
        <v>858</v>
      </c>
      <c r="B232" t="s">
        <v>934</v>
      </c>
      <c r="C232" t="s">
        <v>935</v>
      </c>
      <c r="D232" t="s">
        <v>936</v>
      </c>
    </row>
    <row r="233" spans="1:4" x14ac:dyDescent="0.3">
      <c r="A233" s="1">
        <v>860</v>
      </c>
      <c r="B233" t="s">
        <v>937</v>
      </c>
      <c r="C233" t="s">
        <v>938</v>
      </c>
      <c r="D233" t="s">
        <v>939</v>
      </c>
    </row>
    <row r="234" spans="1:4" x14ac:dyDescent="0.3">
      <c r="A234" s="1">
        <v>862</v>
      </c>
      <c r="B234" t="s">
        <v>940</v>
      </c>
      <c r="C234" t="s">
        <v>941</v>
      </c>
      <c r="D234" t="s">
        <v>942</v>
      </c>
    </row>
    <row r="235" spans="1:4" x14ac:dyDescent="0.3">
      <c r="A235" s="1">
        <v>876</v>
      </c>
      <c r="B235" t="s">
        <v>943</v>
      </c>
      <c r="C235" t="s">
        <v>944</v>
      </c>
      <c r="D235" t="s">
        <v>945</v>
      </c>
    </row>
    <row r="236" spans="1:4" x14ac:dyDescent="0.3">
      <c r="A236" s="1">
        <v>882</v>
      </c>
      <c r="B236" t="s">
        <v>946</v>
      </c>
      <c r="C236" t="s">
        <v>947</v>
      </c>
      <c r="D236" t="s">
        <v>948</v>
      </c>
    </row>
    <row r="237" spans="1:4" x14ac:dyDescent="0.3">
      <c r="A237" s="1">
        <v>887</v>
      </c>
      <c r="B237" t="s">
        <v>949</v>
      </c>
      <c r="C237" t="s">
        <v>950</v>
      </c>
      <c r="D237" t="s">
        <v>951</v>
      </c>
    </row>
    <row r="238" spans="1:4" x14ac:dyDescent="0.3">
      <c r="A238" s="1">
        <v>891</v>
      </c>
      <c r="B238" t="s">
        <v>952</v>
      </c>
      <c r="C238" t="s">
        <v>419</v>
      </c>
      <c r="D238" t="s">
        <v>953</v>
      </c>
    </row>
    <row r="239" spans="1:4" x14ac:dyDescent="0.3">
      <c r="A239" s="1">
        <v>894</v>
      </c>
      <c r="B239" t="s">
        <v>954</v>
      </c>
      <c r="C239" t="s">
        <v>955</v>
      </c>
      <c r="D239" t="s">
        <v>956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C015-97BA-4551-B5B0-846978B350C7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F76B-CA69-40D1-B53D-3CAF0C4EA666}">
  <dimension ref="A1:B93"/>
  <sheetViews>
    <sheetView showGridLines="0" workbookViewId="0">
      <selection sqref="A1:XFD1048576"/>
    </sheetView>
  </sheetViews>
  <sheetFormatPr defaultRowHeight="14.4" x14ac:dyDescent="0.3"/>
  <sheetData>
    <row r="1" spans="1:2" x14ac:dyDescent="0.3">
      <c r="A1" s="4" t="s">
        <v>0</v>
      </c>
      <c r="B1" s="5">
        <v>281410</v>
      </c>
    </row>
    <row r="2" spans="1:2" x14ac:dyDescent="0.3">
      <c r="A2" s="4" t="s">
        <v>1</v>
      </c>
      <c r="B2" s="5">
        <v>2024</v>
      </c>
    </row>
    <row r="4" spans="1:2" x14ac:dyDescent="0.3">
      <c r="A4" s="4" t="s">
        <v>2</v>
      </c>
      <c r="B4" s="1" t="s">
        <v>3</v>
      </c>
    </row>
    <row r="5" spans="1:2" x14ac:dyDescent="0.3">
      <c r="A5" s="5">
        <v>12</v>
      </c>
      <c r="B5" s="6">
        <v>66890227</v>
      </c>
    </row>
    <row r="6" spans="1:2" x14ac:dyDescent="0.3">
      <c r="A6" s="5">
        <v>24</v>
      </c>
      <c r="B6" s="6">
        <v>594</v>
      </c>
    </row>
    <row r="7" spans="1:2" x14ac:dyDescent="0.3">
      <c r="A7" s="5">
        <v>32</v>
      </c>
      <c r="B7" s="6">
        <v>558834</v>
      </c>
    </row>
    <row r="8" spans="1:2" x14ac:dyDescent="0.3">
      <c r="A8" s="5">
        <v>36</v>
      </c>
      <c r="B8" s="6">
        <v>244111412</v>
      </c>
    </row>
    <row r="9" spans="1:2" x14ac:dyDescent="0.3">
      <c r="A9" s="5">
        <v>40</v>
      </c>
      <c r="B9" s="6">
        <v>3352763</v>
      </c>
    </row>
    <row r="10" spans="1:2" x14ac:dyDescent="0.3">
      <c r="A10" s="5">
        <v>48</v>
      </c>
      <c r="B10" s="6">
        <v>15837538</v>
      </c>
    </row>
    <row r="11" spans="1:2" x14ac:dyDescent="0.3">
      <c r="A11" s="5">
        <v>50</v>
      </c>
      <c r="B11" s="6">
        <v>896464</v>
      </c>
    </row>
    <row r="12" spans="1:2" x14ac:dyDescent="0.3">
      <c r="A12" s="5">
        <v>56</v>
      </c>
      <c r="B12" s="6">
        <v>80926336</v>
      </c>
    </row>
    <row r="13" spans="1:2" x14ac:dyDescent="0.3">
      <c r="A13" s="5">
        <v>76</v>
      </c>
      <c r="B13" s="6">
        <v>240</v>
      </c>
    </row>
    <row r="14" spans="1:2" x14ac:dyDescent="0.3">
      <c r="A14" s="5">
        <v>100</v>
      </c>
      <c r="B14" s="6">
        <v>57268331</v>
      </c>
    </row>
    <row r="15" spans="1:2" x14ac:dyDescent="0.3">
      <c r="A15" s="5">
        <v>116</v>
      </c>
      <c r="B15" s="6">
        <v>213</v>
      </c>
    </row>
    <row r="16" spans="1:2" x14ac:dyDescent="0.3">
      <c r="A16" s="5">
        <v>124</v>
      </c>
      <c r="B16" s="6">
        <v>1081034591</v>
      </c>
    </row>
    <row r="17" spans="1:2" x14ac:dyDescent="0.3">
      <c r="A17" s="5">
        <v>144</v>
      </c>
      <c r="B17" s="6">
        <v>26695</v>
      </c>
    </row>
    <row r="18" spans="1:2" x14ac:dyDescent="0.3">
      <c r="A18" s="5">
        <v>152</v>
      </c>
      <c r="B18" s="6">
        <v>520427</v>
      </c>
    </row>
    <row r="19" spans="1:2" x14ac:dyDescent="0.3">
      <c r="A19" s="5">
        <v>156</v>
      </c>
      <c r="B19" s="6">
        <v>42493270</v>
      </c>
    </row>
    <row r="20" spans="1:2" x14ac:dyDescent="0.3">
      <c r="A20" s="5">
        <v>170</v>
      </c>
      <c r="B20" s="6">
        <v>553796</v>
      </c>
    </row>
    <row r="21" spans="1:2" x14ac:dyDescent="0.3">
      <c r="A21" s="5">
        <v>188</v>
      </c>
      <c r="B21" s="6">
        <v>5372</v>
      </c>
    </row>
    <row r="22" spans="1:2" x14ac:dyDescent="0.3">
      <c r="A22" s="5">
        <v>191</v>
      </c>
      <c r="B22" s="6">
        <v>2695701</v>
      </c>
    </row>
    <row r="23" spans="1:2" x14ac:dyDescent="0.3">
      <c r="A23" s="5">
        <v>203</v>
      </c>
      <c r="B23" s="6">
        <v>25669136</v>
      </c>
    </row>
    <row r="24" spans="1:2" x14ac:dyDescent="0.3">
      <c r="A24" s="5">
        <v>204</v>
      </c>
      <c r="B24" s="6">
        <v>308</v>
      </c>
    </row>
    <row r="25" spans="1:2" x14ac:dyDescent="0.3">
      <c r="A25" s="5">
        <v>208</v>
      </c>
      <c r="B25" s="6">
        <v>483641</v>
      </c>
    </row>
    <row r="26" spans="1:2" x14ac:dyDescent="0.3">
      <c r="A26" s="5">
        <v>214</v>
      </c>
      <c r="B26" s="6">
        <v>32931</v>
      </c>
    </row>
    <row r="27" spans="1:2" x14ac:dyDescent="0.3">
      <c r="A27" s="5">
        <v>222</v>
      </c>
      <c r="B27" s="6">
        <v>59</v>
      </c>
    </row>
    <row r="28" spans="1:2" x14ac:dyDescent="0.3">
      <c r="A28" s="5">
        <v>251</v>
      </c>
      <c r="B28" s="6">
        <v>93866970</v>
      </c>
    </row>
    <row r="29" spans="1:2" x14ac:dyDescent="0.3">
      <c r="A29" s="5">
        <v>268</v>
      </c>
      <c r="B29" s="6">
        <v>5866</v>
      </c>
    </row>
    <row r="30" spans="1:2" x14ac:dyDescent="0.3">
      <c r="A30" s="5">
        <v>276</v>
      </c>
      <c r="B30" s="6">
        <v>475065757</v>
      </c>
    </row>
    <row r="31" spans="1:2" x14ac:dyDescent="0.3">
      <c r="A31" s="5">
        <v>300</v>
      </c>
      <c r="B31" s="6">
        <v>1968852</v>
      </c>
    </row>
    <row r="32" spans="1:2" x14ac:dyDescent="0.3">
      <c r="A32" s="5">
        <v>320</v>
      </c>
      <c r="B32" s="6">
        <v>197583</v>
      </c>
    </row>
    <row r="33" spans="1:2" x14ac:dyDescent="0.3">
      <c r="A33" s="5">
        <v>344</v>
      </c>
      <c r="B33" s="6">
        <v>26958</v>
      </c>
    </row>
    <row r="34" spans="1:2" x14ac:dyDescent="0.3">
      <c r="A34" s="5">
        <v>348</v>
      </c>
      <c r="B34" s="6">
        <v>2364961</v>
      </c>
    </row>
    <row r="35" spans="1:2" x14ac:dyDescent="0.3">
      <c r="A35" s="5">
        <v>360</v>
      </c>
      <c r="B35" s="6">
        <v>1563582543</v>
      </c>
    </row>
    <row r="36" spans="1:2" x14ac:dyDescent="0.3">
      <c r="A36" s="5">
        <v>364</v>
      </c>
      <c r="B36" s="6">
        <v>1320263</v>
      </c>
    </row>
    <row r="37" spans="1:2" x14ac:dyDescent="0.3">
      <c r="A37" s="5">
        <v>372</v>
      </c>
      <c r="B37" s="6">
        <v>10151</v>
      </c>
    </row>
    <row r="38" spans="1:2" x14ac:dyDescent="0.3">
      <c r="A38" s="5">
        <v>380</v>
      </c>
      <c r="B38" s="6">
        <v>48892</v>
      </c>
    </row>
    <row r="39" spans="1:2" x14ac:dyDescent="0.3">
      <c r="A39" s="5">
        <v>392</v>
      </c>
      <c r="B39" s="6">
        <v>99311</v>
      </c>
    </row>
    <row r="40" spans="1:2" x14ac:dyDescent="0.3">
      <c r="A40" s="5">
        <v>398</v>
      </c>
      <c r="B40" s="6">
        <v>1017</v>
      </c>
    </row>
    <row r="41" spans="1:2" x14ac:dyDescent="0.3">
      <c r="A41" s="5">
        <v>404</v>
      </c>
      <c r="B41" s="6">
        <v>32591</v>
      </c>
    </row>
    <row r="42" spans="1:2" x14ac:dyDescent="0.3">
      <c r="A42" s="5">
        <v>410</v>
      </c>
      <c r="B42" s="6">
        <v>23662098</v>
      </c>
    </row>
    <row r="43" spans="1:2" x14ac:dyDescent="0.3">
      <c r="A43" s="5">
        <v>414</v>
      </c>
      <c r="B43" s="6">
        <v>42</v>
      </c>
    </row>
    <row r="44" spans="1:2" x14ac:dyDescent="0.3">
      <c r="A44" s="5">
        <v>422</v>
      </c>
      <c r="B44" s="6">
        <v>6466</v>
      </c>
    </row>
    <row r="45" spans="1:2" x14ac:dyDescent="0.3">
      <c r="A45" s="5">
        <v>428</v>
      </c>
      <c r="B45" s="6">
        <v>24310</v>
      </c>
    </row>
    <row r="46" spans="1:2" x14ac:dyDescent="0.3">
      <c r="A46" s="5">
        <v>434</v>
      </c>
      <c r="B46" s="6">
        <v>7770601</v>
      </c>
    </row>
    <row r="47" spans="1:2" x14ac:dyDescent="0.3">
      <c r="A47" s="5">
        <v>440</v>
      </c>
      <c r="B47" s="6">
        <v>33044</v>
      </c>
    </row>
    <row r="48" spans="1:2" x14ac:dyDescent="0.3">
      <c r="A48" s="5">
        <v>442</v>
      </c>
      <c r="B48" s="6">
        <v>122</v>
      </c>
    </row>
    <row r="49" spans="1:2" x14ac:dyDescent="0.3">
      <c r="A49" s="5">
        <v>458</v>
      </c>
      <c r="B49" s="6">
        <v>461130952</v>
      </c>
    </row>
    <row r="50" spans="1:2" x14ac:dyDescent="0.3">
      <c r="A50" s="5">
        <v>480</v>
      </c>
      <c r="B50" s="6">
        <v>1043</v>
      </c>
    </row>
    <row r="51" spans="1:2" x14ac:dyDescent="0.3">
      <c r="A51" s="5">
        <v>484</v>
      </c>
      <c r="B51" s="6">
        <v>3024852</v>
      </c>
    </row>
    <row r="52" spans="1:2" x14ac:dyDescent="0.3">
      <c r="A52" s="5">
        <v>490</v>
      </c>
      <c r="B52" s="6">
        <v>990665</v>
      </c>
    </row>
    <row r="53" spans="1:2" x14ac:dyDescent="0.3">
      <c r="A53" s="5">
        <v>498</v>
      </c>
      <c r="B53" s="6">
        <v>1928</v>
      </c>
    </row>
    <row r="54" spans="1:2" x14ac:dyDescent="0.3">
      <c r="A54" s="5">
        <v>504</v>
      </c>
      <c r="B54" s="6">
        <v>928</v>
      </c>
    </row>
    <row r="55" spans="1:2" x14ac:dyDescent="0.3">
      <c r="A55" s="5">
        <v>512</v>
      </c>
      <c r="B55" s="6">
        <v>52341485</v>
      </c>
    </row>
    <row r="56" spans="1:2" x14ac:dyDescent="0.3">
      <c r="A56" s="5">
        <v>516</v>
      </c>
      <c r="B56" s="6">
        <v>3095</v>
      </c>
    </row>
    <row r="57" spans="1:2" x14ac:dyDescent="0.3">
      <c r="A57" s="5">
        <v>528</v>
      </c>
      <c r="B57" s="6">
        <v>477720861</v>
      </c>
    </row>
    <row r="58" spans="1:2" x14ac:dyDescent="0.3">
      <c r="A58" s="5">
        <v>554</v>
      </c>
      <c r="B58" s="6">
        <v>26</v>
      </c>
    </row>
    <row r="59" spans="1:2" x14ac:dyDescent="0.3">
      <c r="A59" s="5">
        <v>566</v>
      </c>
      <c r="B59" s="6">
        <v>32768</v>
      </c>
    </row>
    <row r="60" spans="1:2" x14ac:dyDescent="0.3">
      <c r="A60" s="5">
        <v>579</v>
      </c>
      <c r="B60" s="6">
        <v>32</v>
      </c>
    </row>
    <row r="61" spans="1:2" x14ac:dyDescent="0.3">
      <c r="A61" s="5">
        <v>586</v>
      </c>
      <c r="B61" s="6">
        <v>206907</v>
      </c>
    </row>
    <row r="62" spans="1:2" x14ac:dyDescent="0.3">
      <c r="A62" s="5">
        <v>616</v>
      </c>
      <c r="B62" s="6">
        <v>20484949</v>
      </c>
    </row>
    <row r="63" spans="1:2" x14ac:dyDescent="0.3">
      <c r="A63" s="5">
        <v>620</v>
      </c>
      <c r="B63" s="6">
        <v>20708077</v>
      </c>
    </row>
    <row r="64" spans="1:2" x14ac:dyDescent="0.3">
      <c r="A64" s="5">
        <v>634</v>
      </c>
      <c r="B64" s="6">
        <v>12782258</v>
      </c>
    </row>
    <row r="65" spans="1:2" x14ac:dyDescent="0.3">
      <c r="A65" s="5">
        <v>642</v>
      </c>
      <c r="B65" s="6">
        <v>77179</v>
      </c>
    </row>
    <row r="66" spans="1:2" x14ac:dyDescent="0.3">
      <c r="A66" s="5">
        <v>643</v>
      </c>
      <c r="B66" s="6">
        <v>4737992</v>
      </c>
    </row>
    <row r="67" spans="1:2" x14ac:dyDescent="0.3">
      <c r="A67" s="5">
        <v>682</v>
      </c>
      <c r="B67" s="6">
        <v>1723645577</v>
      </c>
    </row>
    <row r="68" spans="1:2" x14ac:dyDescent="0.3">
      <c r="A68" s="5">
        <v>686</v>
      </c>
      <c r="B68" s="6">
        <v>228</v>
      </c>
    </row>
    <row r="69" spans="1:2" x14ac:dyDescent="0.3">
      <c r="A69" s="5">
        <v>688</v>
      </c>
      <c r="B69" s="6">
        <v>4669</v>
      </c>
    </row>
    <row r="70" spans="1:2" x14ac:dyDescent="0.3">
      <c r="A70" s="5">
        <v>699</v>
      </c>
      <c r="B70" s="6">
        <v>1791498</v>
      </c>
    </row>
    <row r="71" spans="1:2" x14ac:dyDescent="0.3">
      <c r="A71" s="5">
        <v>702</v>
      </c>
      <c r="B71" s="6">
        <v>40269</v>
      </c>
    </row>
    <row r="72" spans="1:2" x14ac:dyDescent="0.3">
      <c r="A72" s="5">
        <v>703</v>
      </c>
      <c r="B72" s="6">
        <v>42777985</v>
      </c>
    </row>
    <row r="73" spans="1:2" x14ac:dyDescent="0.3">
      <c r="A73" s="5">
        <v>704</v>
      </c>
      <c r="B73" s="6">
        <v>200344</v>
      </c>
    </row>
    <row r="74" spans="1:2" x14ac:dyDescent="0.3">
      <c r="A74" s="5">
        <v>705</v>
      </c>
      <c r="B74" s="6">
        <v>33963</v>
      </c>
    </row>
    <row r="75" spans="1:2" x14ac:dyDescent="0.3">
      <c r="A75" s="5">
        <v>710</v>
      </c>
      <c r="B75" s="6">
        <v>4774979</v>
      </c>
    </row>
    <row r="76" spans="1:2" x14ac:dyDescent="0.3">
      <c r="A76" s="5">
        <v>724</v>
      </c>
      <c r="B76" s="6">
        <v>96795596</v>
      </c>
    </row>
    <row r="77" spans="1:2" x14ac:dyDescent="0.3">
      <c r="A77" s="5">
        <v>752</v>
      </c>
      <c r="B77" s="6">
        <v>1760215</v>
      </c>
    </row>
    <row r="78" spans="1:2" x14ac:dyDescent="0.3">
      <c r="A78" s="5">
        <v>757</v>
      </c>
      <c r="B78" s="6">
        <v>2107350</v>
      </c>
    </row>
    <row r="79" spans="1:2" x14ac:dyDescent="0.3">
      <c r="A79" s="5">
        <v>764</v>
      </c>
      <c r="B79" s="6">
        <v>701843</v>
      </c>
    </row>
    <row r="80" spans="1:2" x14ac:dyDescent="0.3">
      <c r="A80" s="5">
        <v>780</v>
      </c>
      <c r="B80" s="6">
        <v>57031015</v>
      </c>
    </row>
    <row r="81" spans="1:2" x14ac:dyDescent="0.3">
      <c r="A81" s="5">
        <v>784</v>
      </c>
      <c r="B81" s="6">
        <v>1977796</v>
      </c>
    </row>
    <row r="82" spans="1:2" x14ac:dyDescent="0.3">
      <c r="A82" s="5">
        <v>788</v>
      </c>
      <c r="B82" s="6">
        <v>30372</v>
      </c>
    </row>
    <row r="83" spans="1:2" x14ac:dyDescent="0.3">
      <c r="A83" s="5">
        <v>792</v>
      </c>
      <c r="B83" s="6">
        <v>190581138</v>
      </c>
    </row>
    <row r="84" spans="1:2" x14ac:dyDescent="0.3">
      <c r="A84" s="5">
        <v>800</v>
      </c>
      <c r="B84" s="6">
        <v>1175</v>
      </c>
    </row>
    <row r="85" spans="1:2" x14ac:dyDescent="0.3">
      <c r="A85" s="5">
        <v>804</v>
      </c>
      <c r="B85" s="6">
        <v>11520</v>
      </c>
    </row>
    <row r="86" spans="1:2" x14ac:dyDescent="0.3">
      <c r="A86" s="5">
        <v>807</v>
      </c>
      <c r="B86" s="6">
        <v>248</v>
      </c>
    </row>
    <row r="87" spans="1:2" x14ac:dyDescent="0.3">
      <c r="A87" s="5">
        <v>818</v>
      </c>
      <c r="B87" s="6">
        <v>410248949</v>
      </c>
    </row>
    <row r="88" spans="1:2" x14ac:dyDescent="0.3">
      <c r="A88" s="5">
        <v>826</v>
      </c>
      <c r="B88" s="6">
        <v>90600061</v>
      </c>
    </row>
    <row r="89" spans="1:2" x14ac:dyDescent="0.3">
      <c r="A89" s="5">
        <v>834</v>
      </c>
      <c r="B89" s="6">
        <v>25</v>
      </c>
    </row>
    <row r="90" spans="1:2" x14ac:dyDescent="0.3">
      <c r="A90" s="5">
        <v>842</v>
      </c>
      <c r="B90" s="6">
        <v>1327123766</v>
      </c>
    </row>
    <row r="91" spans="1:2" x14ac:dyDescent="0.3">
      <c r="A91" s="5">
        <v>860</v>
      </c>
      <c r="B91" s="6">
        <v>309331</v>
      </c>
    </row>
    <row r="92" spans="1:2" x14ac:dyDescent="0.3">
      <c r="A92" s="5">
        <v>894</v>
      </c>
      <c r="B92" s="6">
        <v>3</v>
      </c>
    </row>
    <row r="93" spans="1:2" x14ac:dyDescent="0.3">
      <c r="A93" s="5" t="s">
        <v>4</v>
      </c>
      <c r="B93" s="6">
        <v>8800243189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B1C2-01E0-4F53-B2D6-B94C23BDC132}">
  <dimension ref="A1:A239"/>
  <sheetViews>
    <sheetView showGridLines="0" workbookViewId="0">
      <selection sqref="A1:A239"/>
    </sheetView>
  </sheetViews>
  <sheetFormatPr defaultRowHeight="14.4" x14ac:dyDescent="0.3"/>
  <sheetData>
    <row r="1" spans="1:1" x14ac:dyDescent="0.3">
      <c r="A1" s="1" t="s">
        <v>12</v>
      </c>
    </row>
    <row r="2" spans="1:1" x14ac:dyDescent="0.3">
      <c r="A2" s="1" t="s">
        <v>13</v>
      </c>
    </row>
    <row r="3" spans="1:1" x14ac:dyDescent="0.3">
      <c r="A3" s="1" t="s">
        <v>14</v>
      </c>
    </row>
    <row r="4" spans="1:1" x14ac:dyDescent="0.3">
      <c r="A4" s="1" t="s">
        <v>15</v>
      </c>
    </row>
    <row r="5" spans="1:1" x14ac:dyDescent="0.3">
      <c r="A5" s="1" t="s">
        <v>16</v>
      </c>
    </row>
    <row r="6" spans="1:1" x14ac:dyDescent="0.3">
      <c r="A6" s="1" t="s">
        <v>17</v>
      </c>
    </row>
    <row r="7" spans="1:1" x14ac:dyDescent="0.3">
      <c r="A7" s="1" t="s">
        <v>18</v>
      </c>
    </row>
    <row r="8" spans="1:1" x14ac:dyDescent="0.3">
      <c r="A8" s="1" t="s">
        <v>19</v>
      </c>
    </row>
    <row r="9" spans="1:1" x14ac:dyDescent="0.3">
      <c r="A9" s="1" t="s">
        <v>20</v>
      </c>
    </row>
    <row r="10" spans="1:1" x14ac:dyDescent="0.3">
      <c r="A10" s="1" t="s">
        <v>21</v>
      </c>
    </row>
    <row r="11" spans="1:1" x14ac:dyDescent="0.3">
      <c r="A11" s="1" t="s">
        <v>22</v>
      </c>
    </row>
    <row r="12" spans="1:1" x14ac:dyDescent="0.3">
      <c r="A12" s="1" t="s">
        <v>23</v>
      </c>
    </row>
    <row r="13" spans="1:1" x14ac:dyDescent="0.3">
      <c r="A13" s="1" t="s">
        <v>24</v>
      </c>
    </row>
    <row r="14" spans="1:1" x14ac:dyDescent="0.3">
      <c r="A14" s="1" t="s">
        <v>25</v>
      </c>
    </row>
    <row r="15" spans="1:1" x14ac:dyDescent="0.3">
      <c r="A15" s="1" t="s">
        <v>26</v>
      </c>
    </row>
    <row r="16" spans="1:1" x14ac:dyDescent="0.3">
      <c r="A16" s="1" t="s">
        <v>27</v>
      </c>
    </row>
    <row r="17" spans="1:1" x14ac:dyDescent="0.3">
      <c r="A17" s="1" t="s">
        <v>28</v>
      </c>
    </row>
    <row r="18" spans="1:1" x14ac:dyDescent="0.3">
      <c r="A18" s="1" t="s">
        <v>29</v>
      </c>
    </row>
    <row r="19" spans="1:1" x14ac:dyDescent="0.3">
      <c r="A19" s="1" t="s">
        <v>30</v>
      </c>
    </row>
    <row r="20" spans="1:1" x14ac:dyDescent="0.3">
      <c r="A20" s="1" t="s">
        <v>31</v>
      </c>
    </row>
    <row r="21" spans="1:1" x14ac:dyDescent="0.3">
      <c r="A21" s="1" t="s">
        <v>32</v>
      </c>
    </row>
    <row r="22" spans="1:1" x14ac:dyDescent="0.3">
      <c r="A22" s="1" t="s">
        <v>33</v>
      </c>
    </row>
    <row r="23" spans="1:1" x14ac:dyDescent="0.3">
      <c r="A23" s="1" t="s">
        <v>34</v>
      </c>
    </row>
    <row r="24" spans="1:1" x14ac:dyDescent="0.3">
      <c r="A24" s="1" t="s">
        <v>35</v>
      </c>
    </row>
    <row r="25" spans="1:1" x14ac:dyDescent="0.3">
      <c r="A25" s="1" t="s">
        <v>36</v>
      </c>
    </row>
    <row r="26" spans="1:1" x14ac:dyDescent="0.3">
      <c r="A26" s="1" t="s">
        <v>37</v>
      </c>
    </row>
    <row r="27" spans="1:1" x14ac:dyDescent="0.3">
      <c r="A27" s="1" t="s">
        <v>38</v>
      </c>
    </row>
    <row r="28" spans="1:1" x14ac:dyDescent="0.3">
      <c r="A28" s="1" t="s">
        <v>39</v>
      </c>
    </row>
    <row r="29" spans="1:1" x14ac:dyDescent="0.3">
      <c r="A29" s="1" t="s">
        <v>40</v>
      </c>
    </row>
    <row r="30" spans="1:1" x14ac:dyDescent="0.3">
      <c r="A30" s="1" t="s">
        <v>41</v>
      </c>
    </row>
    <row r="31" spans="1:1" x14ac:dyDescent="0.3">
      <c r="A31" s="1" t="s">
        <v>42</v>
      </c>
    </row>
    <row r="32" spans="1:1" x14ac:dyDescent="0.3">
      <c r="A32" s="1" t="s">
        <v>43</v>
      </c>
    </row>
    <row r="33" spans="1:1" x14ac:dyDescent="0.3">
      <c r="A33" s="1" t="s">
        <v>44</v>
      </c>
    </row>
    <row r="34" spans="1:1" x14ac:dyDescent="0.3">
      <c r="A34" s="1" t="s">
        <v>45</v>
      </c>
    </row>
    <row r="35" spans="1:1" x14ac:dyDescent="0.3">
      <c r="A35" s="1" t="s">
        <v>46</v>
      </c>
    </row>
    <row r="36" spans="1:1" x14ac:dyDescent="0.3">
      <c r="A36" s="1" t="s">
        <v>47</v>
      </c>
    </row>
    <row r="37" spans="1:1" x14ac:dyDescent="0.3">
      <c r="A37" s="1" t="s">
        <v>48</v>
      </c>
    </row>
    <row r="38" spans="1:1" x14ac:dyDescent="0.3">
      <c r="A38" s="1" t="s">
        <v>49</v>
      </c>
    </row>
    <row r="39" spans="1:1" x14ac:dyDescent="0.3">
      <c r="A39" s="1" t="s">
        <v>50</v>
      </c>
    </row>
    <row r="40" spans="1:1" x14ac:dyDescent="0.3">
      <c r="A40" s="1" t="s">
        <v>51</v>
      </c>
    </row>
    <row r="41" spans="1:1" x14ac:dyDescent="0.3">
      <c r="A41" s="1" t="s">
        <v>52</v>
      </c>
    </row>
    <row r="42" spans="1:1" x14ac:dyDescent="0.3">
      <c r="A42" s="1" t="s">
        <v>53</v>
      </c>
    </row>
    <row r="43" spans="1:1" x14ac:dyDescent="0.3">
      <c r="A43" s="1" t="s">
        <v>54</v>
      </c>
    </row>
    <row r="44" spans="1:1" x14ac:dyDescent="0.3">
      <c r="A44" s="1" t="s">
        <v>55</v>
      </c>
    </row>
    <row r="45" spans="1:1" x14ac:dyDescent="0.3">
      <c r="A45" s="1" t="s">
        <v>56</v>
      </c>
    </row>
    <row r="46" spans="1:1" x14ac:dyDescent="0.3">
      <c r="A46" s="1" t="s">
        <v>57</v>
      </c>
    </row>
    <row r="47" spans="1:1" x14ac:dyDescent="0.3">
      <c r="A47" s="1" t="s">
        <v>58</v>
      </c>
    </row>
    <row r="48" spans="1:1" x14ac:dyDescent="0.3">
      <c r="A48" s="1" t="s">
        <v>59</v>
      </c>
    </row>
    <row r="49" spans="1:1" x14ac:dyDescent="0.3">
      <c r="A49" s="1" t="s">
        <v>60</v>
      </c>
    </row>
    <row r="50" spans="1:1" x14ac:dyDescent="0.3">
      <c r="A50" s="1" t="s">
        <v>61</v>
      </c>
    </row>
    <row r="51" spans="1:1" x14ac:dyDescent="0.3">
      <c r="A51" s="1" t="s">
        <v>62</v>
      </c>
    </row>
    <row r="52" spans="1:1" x14ac:dyDescent="0.3">
      <c r="A52" s="1" t="s">
        <v>63</v>
      </c>
    </row>
    <row r="53" spans="1:1" x14ac:dyDescent="0.3">
      <c r="A53" s="1" t="s">
        <v>64</v>
      </c>
    </row>
    <row r="54" spans="1:1" x14ac:dyDescent="0.3">
      <c r="A54" s="1" t="s">
        <v>65</v>
      </c>
    </row>
    <row r="55" spans="1:1" x14ac:dyDescent="0.3">
      <c r="A55" s="1" t="s">
        <v>66</v>
      </c>
    </row>
    <row r="56" spans="1:1" x14ac:dyDescent="0.3">
      <c r="A56" s="1" t="s">
        <v>67</v>
      </c>
    </row>
    <row r="57" spans="1:1" x14ac:dyDescent="0.3">
      <c r="A57" s="1" t="s">
        <v>68</v>
      </c>
    </row>
    <row r="58" spans="1:1" x14ac:dyDescent="0.3">
      <c r="A58" s="1" t="s">
        <v>69</v>
      </c>
    </row>
    <row r="59" spans="1:1" x14ac:dyDescent="0.3">
      <c r="A59" s="1" t="s">
        <v>70</v>
      </c>
    </row>
    <row r="60" spans="1:1" x14ac:dyDescent="0.3">
      <c r="A60" s="1" t="s">
        <v>71</v>
      </c>
    </row>
    <row r="61" spans="1:1" x14ac:dyDescent="0.3">
      <c r="A61" s="1" t="s">
        <v>72</v>
      </c>
    </row>
    <row r="62" spans="1:1" x14ac:dyDescent="0.3">
      <c r="A62" s="1" t="s">
        <v>73</v>
      </c>
    </row>
    <row r="63" spans="1:1" x14ac:dyDescent="0.3">
      <c r="A63" s="1" t="s">
        <v>74</v>
      </c>
    </row>
    <row r="64" spans="1:1" x14ac:dyDescent="0.3">
      <c r="A64" s="1" t="s">
        <v>75</v>
      </c>
    </row>
    <row r="65" spans="1:1" x14ac:dyDescent="0.3">
      <c r="A65" s="1" t="s">
        <v>76</v>
      </c>
    </row>
    <row r="66" spans="1:1" x14ac:dyDescent="0.3">
      <c r="A66" s="1" t="s">
        <v>77</v>
      </c>
    </row>
    <row r="67" spans="1:1" x14ac:dyDescent="0.3">
      <c r="A67" s="1" t="s">
        <v>78</v>
      </c>
    </row>
    <row r="68" spans="1:1" x14ac:dyDescent="0.3">
      <c r="A68" s="1" t="s">
        <v>79</v>
      </c>
    </row>
    <row r="69" spans="1:1" x14ac:dyDescent="0.3">
      <c r="A69" s="1" t="s">
        <v>80</v>
      </c>
    </row>
    <row r="70" spans="1:1" x14ac:dyDescent="0.3">
      <c r="A70" s="1" t="s">
        <v>81</v>
      </c>
    </row>
    <row r="71" spans="1:1" x14ac:dyDescent="0.3">
      <c r="A71" s="1" t="s">
        <v>82</v>
      </c>
    </row>
    <row r="72" spans="1:1" x14ac:dyDescent="0.3">
      <c r="A72" s="1" t="s">
        <v>83</v>
      </c>
    </row>
    <row r="73" spans="1:1" x14ac:dyDescent="0.3">
      <c r="A73" s="1" t="s">
        <v>84</v>
      </c>
    </row>
    <row r="74" spans="1:1" x14ac:dyDescent="0.3">
      <c r="A74" s="1" t="s">
        <v>85</v>
      </c>
    </row>
    <row r="75" spans="1:1" x14ac:dyDescent="0.3">
      <c r="A75" s="1" t="s">
        <v>86</v>
      </c>
    </row>
    <row r="76" spans="1:1" x14ac:dyDescent="0.3">
      <c r="A76" s="1" t="s">
        <v>87</v>
      </c>
    </row>
    <row r="77" spans="1:1" x14ac:dyDescent="0.3">
      <c r="A77" s="1" t="s">
        <v>88</v>
      </c>
    </row>
    <row r="78" spans="1:1" x14ac:dyDescent="0.3">
      <c r="A78" s="1" t="s">
        <v>89</v>
      </c>
    </row>
    <row r="79" spans="1:1" x14ac:dyDescent="0.3">
      <c r="A79" s="1" t="s">
        <v>90</v>
      </c>
    </row>
    <row r="80" spans="1:1" x14ac:dyDescent="0.3">
      <c r="A80" s="1" t="s">
        <v>91</v>
      </c>
    </row>
    <row r="81" spans="1:1" x14ac:dyDescent="0.3">
      <c r="A81" s="1" t="s">
        <v>92</v>
      </c>
    </row>
    <row r="82" spans="1:1" x14ac:dyDescent="0.3">
      <c r="A82" s="1" t="s">
        <v>93</v>
      </c>
    </row>
    <row r="83" spans="1:1" x14ac:dyDescent="0.3">
      <c r="A83" s="1" t="s">
        <v>94</v>
      </c>
    </row>
    <row r="84" spans="1:1" x14ac:dyDescent="0.3">
      <c r="A84" s="1" t="s">
        <v>95</v>
      </c>
    </row>
    <row r="85" spans="1:1" x14ac:dyDescent="0.3">
      <c r="A85" s="1" t="s">
        <v>96</v>
      </c>
    </row>
    <row r="86" spans="1:1" x14ac:dyDescent="0.3">
      <c r="A86" s="1" t="s">
        <v>97</v>
      </c>
    </row>
    <row r="87" spans="1:1" x14ac:dyDescent="0.3">
      <c r="A87" s="1" t="s">
        <v>98</v>
      </c>
    </row>
    <row r="88" spans="1:1" x14ac:dyDescent="0.3">
      <c r="A88" s="1" t="s">
        <v>99</v>
      </c>
    </row>
    <row r="89" spans="1:1" x14ac:dyDescent="0.3">
      <c r="A89" s="1" t="s">
        <v>100</v>
      </c>
    </row>
    <row r="90" spans="1:1" x14ac:dyDescent="0.3">
      <c r="A90" s="1" t="s">
        <v>101</v>
      </c>
    </row>
    <row r="91" spans="1:1" x14ac:dyDescent="0.3">
      <c r="A91" s="1" t="s">
        <v>102</v>
      </c>
    </row>
    <row r="92" spans="1:1" x14ac:dyDescent="0.3">
      <c r="A92" s="1" t="s">
        <v>103</v>
      </c>
    </row>
    <row r="93" spans="1:1" x14ac:dyDescent="0.3">
      <c r="A93" s="1" t="s">
        <v>104</v>
      </c>
    </row>
    <row r="94" spans="1:1" x14ac:dyDescent="0.3">
      <c r="A94" s="1" t="s">
        <v>105</v>
      </c>
    </row>
    <row r="95" spans="1:1" x14ac:dyDescent="0.3">
      <c r="A95" s="1" t="s">
        <v>106</v>
      </c>
    </row>
    <row r="96" spans="1:1" x14ac:dyDescent="0.3">
      <c r="A96" s="1" t="s">
        <v>107</v>
      </c>
    </row>
    <row r="97" spans="1:1" x14ac:dyDescent="0.3">
      <c r="A97" s="1" t="s">
        <v>108</v>
      </c>
    </row>
    <row r="98" spans="1:1" x14ac:dyDescent="0.3">
      <c r="A98" s="1" t="s">
        <v>109</v>
      </c>
    </row>
    <row r="99" spans="1:1" x14ac:dyDescent="0.3">
      <c r="A99" s="1" t="s">
        <v>110</v>
      </c>
    </row>
    <row r="100" spans="1:1" x14ac:dyDescent="0.3">
      <c r="A100" s="1" t="s">
        <v>111</v>
      </c>
    </row>
    <row r="101" spans="1:1" x14ac:dyDescent="0.3">
      <c r="A101" s="1" t="s">
        <v>112</v>
      </c>
    </row>
    <row r="102" spans="1:1" x14ac:dyDescent="0.3">
      <c r="A102" s="1" t="s">
        <v>113</v>
      </c>
    </row>
    <row r="103" spans="1:1" x14ac:dyDescent="0.3">
      <c r="A103" s="1" t="s">
        <v>114</v>
      </c>
    </row>
    <row r="104" spans="1:1" x14ac:dyDescent="0.3">
      <c r="A104" s="1" t="s">
        <v>115</v>
      </c>
    </row>
    <row r="105" spans="1:1" x14ac:dyDescent="0.3">
      <c r="A105" s="1" t="s">
        <v>116</v>
      </c>
    </row>
    <row r="106" spans="1:1" x14ac:dyDescent="0.3">
      <c r="A106" s="1" t="s">
        <v>117</v>
      </c>
    </row>
    <row r="107" spans="1:1" x14ac:dyDescent="0.3">
      <c r="A107" s="1" t="s">
        <v>118</v>
      </c>
    </row>
    <row r="108" spans="1:1" x14ac:dyDescent="0.3">
      <c r="A108" s="1" t="s">
        <v>119</v>
      </c>
    </row>
    <row r="109" spans="1:1" x14ac:dyDescent="0.3">
      <c r="A109" s="1" t="s">
        <v>120</v>
      </c>
    </row>
    <row r="110" spans="1:1" x14ac:dyDescent="0.3">
      <c r="A110" s="1" t="s">
        <v>121</v>
      </c>
    </row>
    <row r="111" spans="1:1" x14ac:dyDescent="0.3">
      <c r="A111" s="1" t="s">
        <v>122</v>
      </c>
    </row>
    <row r="112" spans="1:1" x14ac:dyDescent="0.3">
      <c r="A112" s="1" t="s">
        <v>123</v>
      </c>
    </row>
    <row r="113" spans="1:1" x14ac:dyDescent="0.3">
      <c r="A113" s="1" t="s">
        <v>124</v>
      </c>
    </row>
    <row r="114" spans="1:1" x14ac:dyDescent="0.3">
      <c r="A114" s="1" t="s">
        <v>125</v>
      </c>
    </row>
    <row r="115" spans="1:1" x14ac:dyDescent="0.3">
      <c r="A115" s="1" t="s">
        <v>126</v>
      </c>
    </row>
    <row r="116" spans="1:1" x14ac:dyDescent="0.3">
      <c r="A116" s="1" t="s">
        <v>127</v>
      </c>
    </row>
    <row r="117" spans="1:1" x14ac:dyDescent="0.3">
      <c r="A117" s="1" t="s">
        <v>128</v>
      </c>
    </row>
    <row r="118" spans="1:1" x14ac:dyDescent="0.3">
      <c r="A118" s="1" t="s">
        <v>129</v>
      </c>
    </row>
    <row r="119" spans="1:1" x14ac:dyDescent="0.3">
      <c r="A119" s="1" t="s">
        <v>130</v>
      </c>
    </row>
    <row r="120" spans="1:1" x14ac:dyDescent="0.3">
      <c r="A120" s="1" t="s">
        <v>131</v>
      </c>
    </row>
    <row r="121" spans="1:1" x14ac:dyDescent="0.3">
      <c r="A121" s="1" t="s">
        <v>132</v>
      </c>
    </row>
    <row r="122" spans="1:1" x14ac:dyDescent="0.3">
      <c r="A122" s="1" t="s">
        <v>133</v>
      </c>
    </row>
    <row r="123" spans="1:1" x14ac:dyDescent="0.3">
      <c r="A123" s="1" t="s">
        <v>134</v>
      </c>
    </row>
    <row r="124" spans="1:1" x14ac:dyDescent="0.3">
      <c r="A124" s="1" t="s">
        <v>135</v>
      </c>
    </row>
    <row r="125" spans="1:1" x14ac:dyDescent="0.3">
      <c r="A125" s="1" t="s">
        <v>136</v>
      </c>
    </row>
    <row r="126" spans="1:1" x14ac:dyDescent="0.3">
      <c r="A126" s="1" t="s">
        <v>137</v>
      </c>
    </row>
    <row r="127" spans="1:1" x14ac:dyDescent="0.3">
      <c r="A127" s="1" t="s">
        <v>138</v>
      </c>
    </row>
    <row r="128" spans="1:1" x14ac:dyDescent="0.3">
      <c r="A128" s="1" t="s">
        <v>139</v>
      </c>
    </row>
    <row r="129" spans="1:1" x14ac:dyDescent="0.3">
      <c r="A129" s="1" t="s">
        <v>140</v>
      </c>
    </row>
    <row r="130" spans="1:1" x14ac:dyDescent="0.3">
      <c r="A130" s="1" t="s">
        <v>141</v>
      </c>
    </row>
    <row r="131" spans="1:1" x14ac:dyDescent="0.3">
      <c r="A131" s="1" t="s">
        <v>142</v>
      </c>
    </row>
    <row r="132" spans="1:1" x14ac:dyDescent="0.3">
      <c r="A132" s="1" t="s">
        <v>143</v>
      </c>
    </row>
    <row r="133" spans="1:1" x14ac:dyDescent="0.3">
      <c r="A133" s="1" t="s">
        <v>144</v>
      </c>
    </row>
    <row r="134" spans="1:1" x14ac:dyDescent="0.3">
      <c r="A134" s="1" t="s">
        <v>145</v>
      </c>
    </row>
    <row r="135" spans="1:1" x14ac:dyDescent="0.3">
      <c r="A135" s="1" t="s">
        <v>146</v>
      </c>
    </row>
    <row r="136" spans="1:1" x14ac:dyDescent="0.3">
      <c r="A136" s="1" t="s">
        <v>147</v>
      </c>
    </row>
    <row r="137" spans="1:1" x14ac:dyDescent="0.3">
      <c r="A137" s="1" t="s">
        <v>148</v>
      </c>
    </row>
    <row r="138" spans="1:1" x14ac:dyDescent="0.3">
      <c r="A138" s="1" t="s">
        <v>149</v>
      </c>
    </row>
    <row r="139" spans="1:1" x14ac:dyDescent="0.3">
      <c r="A139" s="1" t="s">
        <v>150</v>
      </c>
    </row>
    <row r="140" spans="1:1" x14ac:dyDescent="0.3">
      <c r="A140" s="1" t="s">
        <v>151</v>
      </c>
    </row>
    <row r="141" spans="1:1" x14ac:dyDescent="0.3">
      <c r="A141" s="1" t="s">
        <v>152</v>
      </c>
    </row>
    <row r="142" spans="1:1" x14ac:dyDescent="0.3">
      <c r="A142" s="1" t="s">
        <v>153</v>
      </c>
    </row>
    <row r="143" spans="1:1" x14ac:dyDescent="0.3">
      <c r="A143" s="1" t="s">
        <v>154</v>
      </c>
    </row>
    <row r="144" spans="1:1" x14ac:dyDescent="0.3">
      <c r="A144" s="1" t="s">
        <v>155</v>
      </c>
    </row>
    <row r="145" spans="1:1" x14ac:dyDescent="0.3">
      <c r="A145" s="1" t="s">
        <v>156</v>
      </c>
    </row>
    <row r="146" spans="1:1" x14ac:dyDescent="0.3">
      <c r="A146" s="1" t="s">
        <v>157</v>
      </c>
    </row>
    <row r="147" spans="1:1" x14ac:dyDescent="0.3">
      <c r="A147" s="1" t="s">
        <v>158</v>
      </c>
    </row>
    <row r="148" spans="1:1" x14ac:dyDescent="0.3">
      <c r="A148" s="1" t="s">
        <v>159</v>
      </c>
    </row>
    <row r="149" spans="1:1" x14ac:dyDescent="0.3">
      <c r="A149" s="1" t="s">
        <v>160</v>
      </c>
    </row>
    <row r="150" spans="1:1" x14ac:dyDescent="0.3">
      <c r="A150" s="1" t="s">
        <v>161</v>
      </c>
    </row>
    <row r="151" spans="1:1" x14ac:dyDescent="0.3">
      <c r="A151" s="1" t="s">
        <v>162</v>
      </c>
    </row>
    <row r="152" spans="1:1" x14ac:dyDescent="0.3">
      <c r="A152" s="1" t="s">
        <v>163</v>
      </c>
    </row>
    <row r="153" spans="1:1" x14ac:dyDescent="0.3">
      <c r="A153" s="1" t="s">
        <v>164</v>
      </c>
    </row>
    <row r="154" spans="1:1" x14ac:dyDescent="0.3">
      <c r="A154" s="1" t="s">
        <v>165</v>
      </c>
    </row>
    <row r="155" spans="1:1" x14ac:dyDescent="0.3">
      <c r="A155" s="1" t="s">
        <v>166</v>
      </c>
    </row>
    <row r="156" spans="1:1" x14ac:dyDescent="0.3">
      <c r="A156" s="1" t="s">
        <v>167</v>
      </c>
    </row>
    <row r="157" spans="1:1" x14ac:dyDescent="0.3">
      <c r="A157" s="1" t="s">
        <v>168</v>
      </c>
    </row>
    <row r="158" spans="1:1" x14ac:dyDescent="0.3">
      <c r="A158" s="1" t="s">
        <v>169</v>
      </c>
    </row>
    <row r="159" spans="1:1" x14ac:dyDescent="0.3">
      <c r="A159" s="1" t="s">
        <v>170</v>
      </c>
    </row>
    <row r="160" spans="1:1" x14ac:dyDescent="0.3">
      <c r="A160" s="1" t="s">
        <v>171</v>
      </c>
    </row>
    <row r="161" spans="1:1" x14ac:dyDescent="0.3">
      <c r="A161" s="1" t="s">
        <v>172</v>
      </c>
    </row>
    <row r="162" spans="1:1" x14ac:dyDescent="0.3">
      <c r="A162" s="1" t="s">
        <v>173</v>
      </c>
    </row>
    <row r="163" spans="1:1" x14ac:dyDescent="0.3">
      <c r="A163" s="1" t="s">
        <v>174</v>
      </c>
    </row>
    <row r="164" spans="1:1" x14ac:dyDescent="0.3">
      <c r="A164" s="1" t="s">
        <v>175</v>
      </c>
    </row>
    <row r="165" spans="1:1" x14ac:dyDescent="0.3">
      <c r="A165" s="1" t="s">
        <v>176</v>
      </c>
    </row>
    <row r="166" spans="1:1" x14ac:dyDescent="0.3">
      <c r="A166" s="1" t="s">
        <v>177</v>
      </c>
    </row>
    <row r="167" spans="1:1" x14ac:dyDescent="0.3">
      <c r="A167" s="1" t="s">
        <v>178</v>
      </c>
    </row>
    <row r="168" spans="1:1" x14ac:dyDescent="0.3">
      <c r="A168" s="1" t="s">
        <v>179</v>
      </c>
    </row>
    <row r="169" spans="1:1" x14ac:dyDescent="0.3">
      <c r="A169" s="1" t="s">
        <v>180</v>
      </c>
    </row>
    <row r="170" spans="1:1" x14ac:dyDescent="0.3">
      <c r="A170" s="1" t="s">
        <v>181</v>
      </c>
    </row>
    <row r="171" spans="1:1" x14ac:dyDescent="0.3">
      <c r="A171" s="1" t="s">
        <v>182</v>
      </c>
    </row>
    <row r="172" spans="1:1" x14ac:dyDescent="0.3">
      <c r="A172" s="1" t="s">
        <v>183</v>
      </c>
    </row>
    <row r="173" spans="1:1" x14ac:dyDescent="0.3">
      <c r="A173" s="1" t="s">
        <v>184</v>
      </c>
    </row>
    <row r="174" spans="1:1" x14ac:dyDescent="0.3">
      <c r="A174" s="1" t="s">
        <v>185</v>
      </c>
    </row>
    <row r="175" spans="1:1" x14ac:dyDescent="0.3">
      <c r="A175" s="1" t="s">
        <v>186</v>
      </c>
    </row>
    <row r="176" spans="1:1" x14ac:dyDescent="0.3">
      <c r="A176" s="1" t="s">
        <v>187</v>
      </c>
    </row>
    <row r="177" spans="1:1" x14ac:dyDescent="0.3">
      <c r="A177" s="1" t="s">
        <v>188</v>
      </c>
    </row>
    <row r="178" spans="1:1" x14ac:dyDescent="0.3">
      <c r="A178" s="1" t="s">
        <v>189</v>
      </c>
    </row>
    <row r="179" spans="1:1" x14ac:dyDescent="0.3">
      <c r="A179" s="1" t="s">
        <v>190</v>
      </c>
    </row>
    <row r="180" spans="1:1" x14ac:dyDescent="0.3">
      <c r="A180" s="1" t="s">
        <v>191</v>
      </c>
    </row>
    <row r="181" spans="1:1" x14ac:dyDescent="0.3">
      <c r="A181" s="1" t="s">
        <v>192</v>
      </c>
    </row>
    <row r="182" spans="1:1" x14ac:dyDescent="0.3">
      <c r="A182" s="1" t="s">
        <v>193</v>
      </c>
    </row>
    <row r="183" spans="1:1" x14ac:dyDescent="0.3">
      <c r="A183" s="1" t="s">
        <v>194</v>
      </c>
    </row>
    <row r="184" spans="1:1" x14ac:dyDescent="0.3">
      <c r="A184" s="1" t="s">
        <v>195</v>
      </c>
    </row>
    <row r="185" spans="1:1" x14ac:dyDescent="0.3">
      <c r="A185" s="1" t="s">
        <v>196</v>
      </c>
    </row>
    <row r="186" spans="1:1" x14ac:dyDescent="0.3">
      <c r="A186" s="1" t="s">
        <v>197</v>
      </c>
    </row>
    <row r="187" spans="1:1" x14ac:dyDescent="0.3">
      <c r="A187" s="1" t="s">
        <v>198</v>
      </c>
    </row>
    <row r="188" spans="1:1" x14ac:dyDescent="0.3">
      <c r="A188" s="1" t="s">
        <v>199</v>
      </c>
    </row>
    <row r="189" spans="1:1" x14ac:dyDescent="0.3">
      <c r="A189" s="1" t="s">
        <v>200</v>
      </c>
    </row>
    <row r="190" spans="1:1" x14ac:dyDescent="0.3">
      <c r="A190" s="1" t="s">
        <v>201</v>
      </c>
    </row>
    <row r="191" spans="1:1" x14ac:dyDescent="0.3">
      <c r="A191" s="1" t="s">
        <v>202</v>
      </c>
    </row>
    <row r="192" spans="1:1" x14ac:dyDescent="0.3">
      <c r="A192" s="1" t="s">
        <v>203</v>
      </c>
    </row>
    <row r="193" spans="1:1" x14ac:dyDescent="0.3">
      <c r="A193" s="1" t="s">
        <v>204</v>
      </c>
    </row>
    <row r="194" spans="1:1" x14ac:dyDescent="0.3">
      <c r="A194" s="1" t="s">
        <v>205</v>
      </c>
    </row>
    <row r="195" spans="1:1" x14ac:dyDescent="0.3">
      <c r="A195" s="1" t="s">
        <v>206</v>
      </c>
    </row>
    <row r="196" spans="1:1" x14ac:dyDescent="0.3">
      <c r="A196" s="1" t="s">
        <v>207</v>
      </c>
    </row>
    <row r="197" spans="1:1" x14ac:dyDescent="0.3">
      <c r="A197" s="1" t="s">
        <v>208</v>
      </c>
    </row>
    <row r="198" spans="1:1" x14ac:dyDescent="0.3">
      <c r="A198" s="1" t="s">
        <v>209</v>
      </c>
    </row>
    <row r="199" spans="1:1" x14ac:dyDescent="0.3">
      <c r="A199" s="1" t="s">
        <v>210</v>
      </c>
    </row>
    <row r="200" spans="1:1" x14ac:dyDescent="0.3">
      <c r="A200" s="1" t="s">
        <v>211</v>
      </c>
    </row>
    <row r="201" spans="1:1" x14ac:dyDescent="0.3">
      <c r="A201" s="1" t="s">
        <v>212</v>
      </c>
    </row>
    <row r="202" spans="1:1" x14ac:dyDescent="0.3">
      <c r="A202" s="1" t="s">
        <v>213</v>
      </c>
    </row>
    <row r="203" spans="1:1" x14ac:dyDescent="0.3">
      <c r="A203" s="1" t="s">
        <v>214</v>
      </c>
    </row>
    <row r="204" spans="1:1" x14ac:dyDescent="0.3">
      <c r="A204" s="1" t="s">
        <v>215</v>
      </c>
    </row>
    <row r="205" spans="1:1" x14ac:dyDescent="0.3">
      <c r="A205" s="1" t="s">
        <v>216</v>
      </c>
    </row>
    <row r="206" spans="1:1" x14ac:dyDescent="0.3">
      <c r="A206" s="1" t="s">
        <v>217</v>
      </c>
    </row>
    <row r="207" spans="1:1" x14ac:dyDescent="0.3">
      <c r="A207" s="1" t="s">
        <v>218</v>
      </c>
    </row>
    <row r="208" spans="1:1" x14ac:dyDescent="0.3">
      <c r="A208" s="1" t="s">
        <v>219</v>
      </c>
    </row>
    <row r="209" spans="1:1" x14ac:dyDescent="0.3">
      <c r="A209" s="1" t="s">
        <v>220</v>
      </c>
    </row>
    <row r="210" spans="1:1" x14ac:dyDescent="0.3">
      <c r="A210" s="1" t="s">
        <v>221</v>
      </c>
    </row>
    <row r="211" spans="1:1" x14ac:dyDescent="0.3">
      <c r="A211" s="1" t="s">
        <v>222</v>
      </c>
    </row>
    <row r="212" spans="1:1" x14ac:dyDescent="0.3">
      <c r="A212" s="1" t="s">
        <v>223</v>
      </c>
    </row>
    <row r="213" spans="1:1" x14ac:dyDescent="0.3">
      <c r="A213" s="1" t="s">
        <v>224</v>
      </c>
    </row>
    <row r="214" spans="1:1" x14ac:dyDescent="0.3">
      <c r="A214" s="1" t="s">
        <v>225</v>
      </c>
    </row>
    <row r="215" spans="1:1" x14ac:dyDescent="0.3">
      <c r="A215" s="1" t="s">
        <v>226</v>
      </c>
    </row>
    <row r="216" spans="1:1" x14ac:dyDescent="0.3">
      <c r="A216" s="1" t="s">
        <v>227</v>
      </c>
    </row>
    <row r="217" spans="1:1" x14ac:dyDescent="0.3">
      <c r="A217" s="1" t="s">
        <v>228</v>
      </c>
    </row>
    <row r="218" spans="1:1" x14ac:dyDescent="0.3">
      <c r="A218" s="1" t="s">
        <v>229</v>
      </c>
    </row>
    <row r="219" spans="1:1" x14ac:dyDescent="0.3">
      <c r="A219" s="1" t="s">
        <v>230</v>
      </c>
    </row>
    <row r="220" spans="1:1" x14ac:dyDescent="0.3">
      <c r="A220" s="1" t="s">
        <v>231</v>
      </c>
    </row>
    <row r="221" spans="1:1" x14ac:dyDescent="0.3">
      <c r="A221" s="1" t="s">
        <v>232</v>
      </c>
    </row>
    <row r="222" spans="1:1" x14ac:dyDescent="0.3">
      <c r="A222" s="1" t="s">
        <v>233</v>
      </c>
    </row>
    <row r="223" spans="1:1" x14ac:dyDescent="0.3">
      <c r="A223" s="1" t="s">
        <v>234</v>
      </c>
    </row>
    <row r="224" spans="1:1" x14ac:dyDescent="0.3">
      <c r="A224" s="1" t="s">
        <v>235</v>
      </c>
    </row>
    <row r="225" spans="1:1" x14ac:dyDescent="0.3">
      <c r="A225" s="1" t="s">
        <v>236</v>
      </c>
    </row>
    <row r="226" spans="1:1" x14ac:dyDescent="0.3">
      <c r="A226" s="1" t="s">
        <v>237</v>
      </c>
    </row>
    <row r="227" spans="1:1" x14ac:dyDescent="0.3">
      <c r="A227" s="1" t="s">
        <v>238</v>
      </c>
    </row>
    <row r="228" spans="1:1" x14ac:dyDescent="0.3">
      <c r="A228" s="1" t="s">
        <v>239</v>
      </c>
    </row>
    <row r="229" spans="1:1" x14ac:dyDescent="0.3">
      <c r="A229" s="1" t="s">
        <v>240</v>
      </c>
    </row>
    <row r="230" spans="1:1" x14ac:dyDescent="0.3">
      <c r="A230" s="1" t="s">
        <v>241</v>
      </c>
    </row>
    <row r="231" spans="1:1" x14ac:dyDescent="0.3">
      <c r="A231" s="1" t="s">
        <v>242</v>
      </c>
    </row>
    <row r="232" spans="1:1" x14ac:dyDescent="0.3">
      <c r="A232" s="1" t="s">
        <v>243</v>
      </c>
    </row>
    <row r="233" spans="1:1" x14ac:dyDescent="0.3">
      <c r="A233" s="1" t="s">
        <v>244</v>
      </c>
    </row>
    <row r="234" spans="1:1" x14ac:dyDescent="0.3">
      <c r="A234" s="1" t="s">
        <v>245</v>
      </c>
    </row>
    <row r="235" spans="1:1" x14ac:dyDescent="0.3">
      <c r="A235" s="1" t="s">
        <v>246</v>
      </c>
    </row>
    <row r="236" spans="1:1" x14ac:dyDescent="0.3">
      <c r="A236" s="1" t="s">
        <v>247</v>
      </c>
    </row>
    <row r="237" spans="1:1" x14ac:dyDescent="0.3">
      <c r="A237" s="1" t="s">
        <v>248</v>
      </c>
    </row>
    <row r="238" spans="1:1" x14ac:dyDescent="0.3">
      <c r="A238" s="1" t="s">
        <v>249</v>
      </c>
    </row>
    <row r="239" spans="1:1" x14ac:dyDescent="0.3">
      <c r="A239" s="1" t="s">
        <v>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CB9ECB3B0DFE42A61CA68338208089" ma:contentTypeVersion="10" ma:contentTypeDescription="Ein neues Dokument erstellen." ma:contentTypeScope="" ma:versionID="32c5804f83d42255678497615c7cdf27">
  <xsd:schema xmlns:xsd="http://www.w3.org/2001/XMLSchema" xmlns:xs="http://www.w3.org/2001/XMLSchema" xmlns:p="http://schemas.microsoft.com/office/2006/metadata/properties" xmlns:ns2="938da60d-4642-413d-85aa-e98b25a009ac" xmlns:ns3="9baeeacb-e513-4050-b326-d2145e9eb1ca" targetNamespace="http://schemas.microsoft.com/office/2006/metadata/properties" ma:root="true" ma:fieldsID="275f817f2ad96d0554193fb5d0e68d48" ns2:_="" ns3:_="">
    <xsd:import namespace="938da60d-4642-413d-85aa-e98b25a009ac"/>
    <xsd:import namespace="9baeeacb-e513-4050-b326-d2145e9eb1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da60d-4642-413d-85aa-e98b25a00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a14e36f-e084-4b04-bba6-548b1473dc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eeacb-e513-4050-b326-d2145e9eb1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96d2ee-de58-4e75-a6ca-1ac75aeec518}" ma:internalName="TaxCatchAll" ma:showField="CatchAllData" ma:web="9baeeacb-e513-4050-b326-d2145e9eb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aeeacb-e513-4050-b326-d2145e9eb1ca" xsi:nil="true"/>
    <lcf76f155ced4ddcb4097134ff3c332f xmlns="938da60d-4642-413d-85aa-e98b25a009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BD4D40-C90F-4598-B80B-B260CED3A292}"/>
</file>

<file path=customXml/itemProps2.xml><?xml version="1.0" encoding="utf-8"?>
<ds:datastoreItem xmlns:ds="http://schemas.openxmlformats.org/officeDocument/2006/customXml" ds:itemID="{496BDA8D-40F4-4CA2-B719-EAE9DB1207EE}"/>
</file>

<file path=customXml/itemProps3.xml><?xml version="1.0" encoding="utf-8"?>
<ds:datastoreItem xmlns:ds="http://schemas.openxmlformats.org/officeDocument/2006/customXml" ds:itemID="{2168BDAE-C166-4B85-8C70-E6B0D17EADE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Methodology</vt:lpstr>
      <vt:lpstr>Ouput&gt;&gt;</vt:lpstr>
      <vt:lpstr>Output</vt:lpstr>
      <vt:lpstr>Transformed&gt;&gt;</vt:lpstr>
      <vt:lpstr>ED_CEPII Data</vt:lpstr>
      <vt:lpstr>ED_Country Codes</vt:lpstr>
      <vt:lpstr>Raw&gt;&gt;</vt:lpstr>
      <vt:lpstr>CEPII Data</vt:lpstr>
      <vt:lpstr>Country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Rohkämper, Felix Balthasar</dc:creator>
  <cp:lastModifiedBy>Rohkämper, Felix Balthasar</cp:lastModifiedBy>
  <dcterms:created xsi:type="dcterms:W3CDTF">2026-04-09T08:11:11Z</dcterms:created>
  <dcterms:modified xsi:type="dcterms:W3CDTF">2026-04-09T08:26:32Z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0x0101005BCB9ECB3B0DFE42A61CA68338208089</vt:lpwstr>
  </property>
</Properties>
</file>